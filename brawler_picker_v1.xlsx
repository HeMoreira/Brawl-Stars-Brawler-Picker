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hidePivotFieldList="1"/>
  <xr:revisionPtr revIDLastSave="0" documentId="8_{DB2E4CD5-52F9-4BCD-BE59-062F029B3CA3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Planilha2" sheetId="2" r:id="rId1"/>
    <sheet name="Planilha1" sheetId="1" r:id="rId2"/>
    <sheet name="DADOS UTEISA" sheetId="3" r:id="rId3"/>
    <sheet name="Planilha3" sheetId="10" r:id="rId4"/>
    <sheet name="BRAWLERS OFICIAL" sheetId="4" r:id="rId5"/>
    <sheet name="PRIMEIRO ACESSÓRIO" sheetId="5" r:id="rId6"/>
    <sheet name="SEGUNDO ACESSÓRIO" sheetId="6" r:id="rId7"/>
    <sheet name="PRIMEIRO PODER-DE-ESTRELA" sheetId="7" r:id="rId8"/>
    <sheet name="SEGUNDO PODER-DE-ESTRELA" sheetId="8" r:id="rId9"/>
    <sheet name="HIPERCARGA" sheetId="9" r:id="rId10"/>
  </sheets>
  <calcPr calcId="191028"/>
  <pivotCaches>
    <pivotCache cacheId="31" r:id="rId11"/>
    <pivotCache cacheId="32" r:id="rId12"/>
    <pivotCache cacheId="33" r:id="rId13"/>
    <pivotCache cacheId="34" r:id="rId14"/>
    <pivotCache cacheId="35" r:id="rId15"/>
    <pivotCache cacheId="36" r:id="rId16"/>
    <pivotCache cacheId="3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4" i="9" l="1"/>
  <c r="BI20" i="9"/>
  <c r="BH20" i="9"/>
  <c r="BG20" i="9"/>
  <c r="BI19" i="9"/>
  <c r="BH19" i="9"/>
  <c r="BG19" i="9"/>
  <c r="BI18" i="9"/>
  <c r="BG18" i="9"/>
  <c r="BI17" i="9"/>
  <c r="BH17" i="9"/>
  <c r="BG17" i="9"/>
  <c r="BI16" i="9"/>
  <c r="BH16" i="9"/>
  <c r="BG16" i="9"/>
  <c r="BI15" i="9"/>
  <c r="BH15" i="9"/>
  <c r="BG15" i="9"/>
  <c r="BI14" i="9"/>
  <c r="BG14" i="9"/>
  <c r="BI13" i="9"/>
  <c r="BH13" i="9"/>
  <c r="BG13" i="9"/>
  <c r="BI12" i="9"/>
  <c r="BH12" i="9"/>
  <c r="BG12" i="9"/>
  <c r="BI11" i="9"/>
  <c r="BH11" i="9"/>
  <c r="BG11" i="9"/>
  <c r="BI10" i="9"/>
  <c r="BH10" i="9"/>
  <c r="BG10" i="9"/>
  <c r="BI9" i="9"/>
  <c r="BH9" i="9"/>
  <c r="BG9" i="9"/>
  <c r="BI8" i="9"/>
  <c r="BH8" i="9"/>
  <c r="BG8" i="9"/>
  <c r="BI7" i="9"/>
  <c r="BH7" i="9"/>
  <c r="BG7" i="9"/>
  <c r="BI6" i="9"/>
  <c r="BG6" i="9"/>
  <c r="BI5" i="9"/>
  <c r="BH5" i="9"/>
  <c r="BG5" i="9"/>
  <c r="BI4" i="9"/>
  <c r="BH4" i="9"/>
  <c r="BG4" i="9"/>
  <c r="BE4" i="9"/>
  <c r="BE5" i="9"/>
  <c r="BE6" i="9"/>
  <c r="BE7" i="9"/>
  <c r="BE8" i="9"/>
  <c r="BE9" i="9"/>
  <c r="BE10" i="9"/>
  <c r="BE11" i="9"/>
  <c r="BE12" i="9"/>
  <c r="BE13" i="9"/>
  <c r="BE14" i="9"/>
  <c r="BE15" i="9"/>
  <c r="BE16" i="9"/>
  <c r="BE17" i="9"/>
  <c r="BE18" i="9"/>
  <c r="BE19" i="9"/>
  <c r="BE20" i="9"/>
  <c r="AX20" i="9"/>
  <c r="AX10" i="9"/>
  <c r="BB4" i="9"/>
  <c r="BB5" i="9"/>
  <c r="BB6" i="9"/>
  <c r="BB7" i="9"/>
  <c r="BB8" i="9"/>
  <c r="BB9" i="9"/>
  <c r="BB10" i="9"/>
  <c r="BB11" i="9"/>
  <c r="BB12" i="9"/>
  <c r="BB14" i="9"/>
  <c r="BB15" i="9"/>
  <c r="BB16" i="9"/>
  <c r="BB17" i="9"/>
  <c r="BB18" i="9"/>
  <c r="BB19" i="9"/>
  <c r="BB20" i="9"/>
  <c r="BA4" i="9"/>
  <c r="BA5" i="9"/>
  <c r="BA6" i="9"/>
  <c r="BA7" i="9"/>
  <c r="BA8" i="9"/>
  <c r="BA9" i="9"/>
  <c r="BA10" i="9"/>
  <c r="BA11" i="9"/>
  <c r="BA12" i="9"/>
  <c r="BA13" i="9"/>
  <c r="BA14" i="9"/>
  <c r="BA15" i="9"/>
  <c r="BA16" i="9"/>
  <c r="BA17" i="9"/>
  <c r="BA18" i="9"/>
  <c r="BA19" i="9"/>
  <c r="AV4" i="9"/>
  <c r="AX4" i="9"/>
  <c r="AY4" i="9"/>
  <c r="AV5" i="9"/>
  <c r="AX5" i="9"/>
  <c r="AY5" i="9"/>
  <c r="AV6" i="9"/>
  <c r="AX6" i="9"/>
  <c r="AY6" i="9"/>
  <c r="AV7" i="9"/>
  <c r="AX7" i="9"/>
  <c r="AY7" i="9"/>
  <c r="AV8" i="9"/>
  <c r="AX8" i="9"/>
  <c r="AY8" i="9"/>
  <c r="AV9" i="9"/>
  <c r="AX9" i="9"/>
  <c r="AY9" i="9"/>
  <c r="AY10" i="9"/>
  <c r="AX11" i="9"/>
  <c r="AY11" i="9"/>
  <c r="AV12" i="9"/>
  <c r="AX12" i="9"/>
  <c r="AY12" i="9"/>
  <c r="AV13" i="9"/>
  <c r="AX13" i="9"/>
  <c r="AY13" i="9"/>
  <c r="AV14" i="9"/>
  <c r="AX14" i="9"/>
  <c r="AY14" i="9"/>
  <c r="AV15" i="9"/>
  <c r="AX15" i="9"/>
  <c r="AY15" i="9"/>
  <c r="AV16" i="9"/>
  <c r="AX16" i="9"/>
  <c r="AY16" i="9"/>
  <c r="AV17" i="9"/>
  <c r="AX17" i="9"/>
  <c r="AY17" i="9"/>
  <c r="AV18" i="9"/>
  <c r="AX18" i="9"/>
  <c r="AY18" i="9"/>
  <c r="AV19" i="9"/>
  <c r="AX19" i="9"/>
  <c r="AY19" i="9"/>
  <c r="AV20" i="9"/>
  <c r="AY20" i="9"/>
  <c r="BI3" i="9"/>
  <c r="BH3" i="9"/>
  <c r="BG3" i="9"/>
  <c r="BE3" i="9"/>
  <c r="BB3" i="9"/>
  <c r="BA3" i="9"/>
  <c r="AY3" i="9"/>
  <c r="AX3" i="9"/>
  <c r="AV3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X13" i="9"/>
  <c r="X10" i="9"/>
  <c r="X12" i="9"/>
  <c r="X14" i="9"/>
  <c r="X15" i="9"/>
  <c r="X17" i="9"/>
  <c r="X18" i="9"/>
  <c r="X19" i="9"/>
  <c r="Z7" i="9"/>
  <c r="Z6" i="9"/>
  <c r="X6" i="9"/>
  <c r="Z5" i="9"/>
  <c r="X5" i="9"/>
  <c r="X4" i="9"/>
  <c r="Z4" i="9"/>
  <c r="Z3" i="9"/>
  <c r="BN3" i="8"/>
  <c r="BN15" i="8"/>
  <c r="BN9" i="8"/>
  <c r="D20" i="7"/>
  <c r="H19" i="8"/>
  <c r="L19" i="8"/>
  <c r="I19" i="8"/>
  <c r="J19" i="8"/>
  <c r="K19" i="8"/>
  <c r="AN18" i="7"/>
  <c r="X16" i="4"/>
  <c r="X16" i="9" s="1"/>
  <c r="X16" i="8"/>
  <c r="AI16" i="8"/>
  <c r="W16" i="8"/>
  <c r="V16" i="4"/>
  <c r="BJ15" i="8"/>
  <c r="BF15" i="8"/>
  <c r="AB15" i="8"/>
  <c r="Z15" i="8"/>
  <c r="Y15" i="8"/>
  <c r="X15" i="8"/>
  <c r="W14" i="7"/>
  <c r="J14" i="7"/>
  <c r="AV13" i="8"/>
  <c r="BA13" i="7"/>
  <c r="BH9" i="7"/>
  <c r="X9" i="4"/>
  <c r="BH8" i="7"/>
  <c r="BJ3" i="8"/>
  <c r="BJ4" i="8"/>
  <c r="BJ6" i="8"/>
  <c r="BJ9" i="8"/>
  <c r="BJ11" i="8"/>
  <c r="BJ12" i="8"/>
  <c r="BJ14" i="8"/>
  <c r="BJ16" i="8"/>
  <c r="BJ17" i="8"/>
  <c r="BJ19" i="8"/>
  <c r="BK3" i="8"/>
  <c r="BL3" i="8"/>
  <c r="BK4" i="8"/>
  <c r="BL4" i="8"/>
  <c r="BK6" i="8"/>
  <c r="BL6" i="8"/>
  <c r="BK9" i="8"/>
  <c r="BL9" i="8"/>
  <c r="BK11" i="8"/>
  <c r="BL11" i="8"/>
  <c r="BK12" i="8"/>
  <c r="BL12" i="8"/>
  <c r="BK14" i="8"/>
  <c r="BL14" i="8"/>
  <c r="BK15" i="8"/>
  <c r="BL15" i="8"/>
  <c r="BK16" i="8"/>
  <c r="BL16" i="8"/>
  <c r="BK17" i="8"/>
  <c r="BL17" i="8"/>
  <c r="BK19" i="8"/>
  <c r="BL19" i="8"/>
  <c r="BK20" i="8"/>
  <c r="BI3" i="8"/>
  <c r="BI4" i="8"/>
  <c r="BI5" i="8"/>
  <c r="BI6" i="8"/>
  <c r="BI7" i="8"/>
  <c r="BI8" i="8"/>
  <c r="BI9" i="8"/>
  <c r="BI10" i="8"/>
  <c r="BI11" i="8"/>
  <c r="BI12" i="8"/>
  <c r="BI13" i="8"/>
  <c r="BI14" i="8"/>
  <c r="BI15" i="8"/>
  <c r="BI16" i="8"/>
  <c r="BI17" i="8"/>
  <c r="BI18" i="8"/>
  <c r="BI19" i="8"/>
  <c r="BG3" i="8"/>
  <c r="BG4" i="8"/>
  <c r="BG5" i="8"/>
  <c r="BG6" i="8"/>
  <c r="BG7" i="8"/>
  <c r="BG8" i="8"/>
  <c r="BG9" i="8"/>
  <c r="BG10" i="8"/>
  <c r="BG11" i="8"/>
  <c r="BG12" i="8"/>
  <c r="BG13" i="8"/>
  <c r="BG14" i="8"/>
  <c r="BG15" i="8"/>
  <c r="BG16" i="8"/>
  <c r="BG17" i="8"/>
  <c r="BG18" i="8"/>
  <c r="BG19" i="8"/>
  <c r="BF17" i="8"/>
  <c r="BF19" i="8"/>
  <c r="BF3" i="8"/>
  <c r="BF4" i="8"/>
  <c r="BF6" i="8"/>
  <c r="BF9" i="8"/>
  <c r="BF11" i="8"/>
  <c r="BF12" i="8"/>
  <c r="BF14" i="8"/>
  <c r="BF16" i="8"/>
  <c r="AV3" i="8"/>
  <c r="AV4" i="8"/>
  <c r="AV5" i="8"/>
  <c r="AV6" i="8"/>
  <c r="AV7" i="8"/>
  <c r="AV8" i="8"/>
  <c r="AV9" i="8"/>
  <c r="AV12" i="8"/>
  <c r="AV14" i="8"/>
  <c r="AV15" i="8"/>
  <c r="AV16" i="8"/>
  <c r="AV17" i="8"/>
  <c r="AV18" i="8"/>
  <c r="AV19" i="8"/>
  <c r="AW3" i="8"/>
  <c r="AX3" i="8"/>
  <c r="AY3" i="8"/>
  <c r="AZ3" i="8"/>
  <c r="BA3" i="8"/>
  <c r="BB3" i="8"/>
  <c r="BC3" i="8"/>
  <c r="BD3" i="8"/>
  <c r="BE3" i="8"/>
  <c r="AW4" i="8"/>
  <c r="AX4" i="8"/>
  <c r="AY4" i="8"/>
  <c r="AZ4" i="8"/>
  <c r="BA4" i="8"/>
  <c r="BB4" i="8"/>
  <c r="BC4" i="8"/>
  <c r="BD4" i="8"/>
  <c r="BE4" i="8"/>
  <c r="AX5" i="8"/>
  <c r="AY5" i="8"/>
  <c r="BA5" i="8"/>
  <c r="BB5" i="8"/>
  <c r="BE5" i="8"/>
  <c r="AW6" i="8"/>
  <c r="AX6" i="8"/>
  <c r="AY6" i="8"/>
  <c r="AZ6" i="8"/>
  <c r="BA6" i="8"/>
  <c r="BB6" i="8"/>
  <c r="BC6" i="8"/>
  <c r="BD6" i="8"/>
  <c r="BE6" i="8"/>
  <c r="AX7" i="8"/>
  <c r="AY7" i="8"/>
  <c r="BA7" i="8"/>
  <c r="BB7" i="8"/>
  <c r="BE7" i="8"/>
  <c r="AX8" i="8"/>
  <c r="AY8" i="8"/>
  <c r="BA8" i="8"/>
  <c r="BB8" i="8"/>
  <c r="BE8" i="8"/>
  <c r="AW9" i="8"/>
  <c r="AX9" i="8"/>
  <c r="AY9" i="8"/>
  <c r="AZ9" i="8"/>
  <c r="BA9" i="8"/>
  <c r="BB9" i="8"/>
  <c r="BC9" i="8"/>
  <c r="BD9" i="8"/>
  <c r="BE9" i="8"/>
  <c r="AX10" i="8"/>
  <c r="AY10" i="8"/>
  <c r="BA10" i="8"/>
  <c r="BB10" i="8"/>
  <c r="BE10" i="8"/>
  <c r="AW11" i="8"/>
  <c r="AX11" i="8"/>
  <c r="AY11" i="8"/>
  <c r="AZ11" i="8"/>
  <c r="BA11" i="8"/>
  <c r="BB11" i="8"/>
  <c r="BC11" i="8"/>
  <c r="BD11" i="8"/>
  <c r="BE11" i="8"/>
  <c r="AW12" i="8"/>
  <c r="AX12" i="8"/>
  <c r="AY12" i="8"/>
  <c r="AZ12" i="8"/>
  <c r="BA12" i="8"/>
  <c r="BB12" i="8"/>
  <c r="BC12" i="8"/>
  <c r="BD12" i="8"/>
  <c r="BE12" i="8"/>
  <c r="AX13" i="8"/>
  <c r="AY13" i="8"/>
  <c r="BA13" i="8"/>
  <c r="BE13" i="8"/>
  <c r="AW14" i="8"/>
  <c r="AX14" i="8"/>
  <c r="AY14" i="8"/>
  <c r="AZ14" i="8"/>
  <c r="BA14" i="8"/>
  <c r="BB14" i="8"/>
  <c r="BC14" i="8"/>
  <c r="BD14" i="8"/>
  <c r="BE14" i="8"/>
  <c r="AW15" i="8"/>
  <c r="AX15" i="8"/>
  <c r="AY15" i="8"/>
  <c r="AZ15" i="8"/>
  <c r="BA15" i="8"/>
  <c r="BB15" i="8"/>
  <c r="BC15" i="8"/>
  <c r="BD15" i="8"/>
  <c r="BE15" i="8"/>
  <c r="AW16" i="8"/>
  <c r="AX16" i="8"/>
  <c r="AY16" i="8"/>
  <c r="AZ16" i="8"/>
  <c r="BA16" i="8"/>
  <c r="BB16" i="8"/>
  <c r="BC16" i="8"/>
  <c r="BD16" i="8"/>
  <c r="BE16" i="8"/>
  <c r="AW17" i="8"/>
  <c r="AX17" i="8"/>
  <c r="AY17" i="8"/>
  <c r="AZ17" i="8"/>
  <c r="BA17" i="8"/>
  <c r="BB17" i="8"/>
  <c r="BC17" i="8"/>
  <c r="BD17" i="8"/>
  <c r="BE17" i="8"/>
  <c r="AX18" i="8"/>
  <c r="AY18" i="8"/>
  <c r="BA18" i="8"/>
  <c r="BB18" i="8"/>
  <c r="BE18" i="8"/>
  <c r="AW19" i="8"/>
  <c r="AX19" i="8"/>
  <c r="AY19" i="8"/>
  <c r="AZ19" i="8"/>
  <c r="BA19" i="8"/>
  <c r="BB19" i="8"/>
  <c r="BC19" i="8"/>
  <c r="BD19" i="8"/>
  <c r="BE19" i="8"/>
  <c r="BH3" i="8"/>
  <c r="BH4" i="8"/>
  <c r="BH5" i="8"/>
  <c r="BH7" i="8"/>
  <c r="BH9" i="8"/>
  <c r="BH10" i="8"/>
  <c r="BH11" i="8"/>
  <c r="BH12" i="8"/>
  <c r="BH13" i="8"/>
  <c r="BH14" i="8"/>
  <c r="BH15" i="8"/>
  <c r="BH16" i="8"/>
  <c r="BH17" i="8"/>
  <c r="BH19" i="8"/>
  <c r="BH8" i="8"/>
  <c r="Z6" i="8"/>
  <c r="X5" i="8"/>
  <c r="AS6" i="8"/>
  <c r="BN5" i="8"/>
  <c r="AH9" i="8"/>
  <c r="W6" i="8"/>
  <c r="W3" i="8"/>
  <c r="W4" i="8"/>
  <c r="W5" i="8"/>
  <c r="W9" i="8"/>
  <c r="W11" i="8"/>
  <c r="W12" i="8"/>
  <c r="W14" i="8"/>
  <c r="W15" i="8"/>
  <c r="W17" i="8"/>
  <c r="W19" i="8"/>
  <c r="Y3" i="8"/>
  <c r="Y4" i="8"/>
  <c r="Y5" i="8"/>
  <c r="Y6" i="8"/>
  <c r="Y9" i="8"/>
  <c r="Y11" i="8"/>
  <c r="Y12" i="8"/>
  <c r="Y14" i="8"/>
  <c r="Y16" i="8"/>
  <c r="Y17" i="8"/>
  <c r="Y19" i="8"/>
  <c r="Z13" i="7"/>
  <c r="Z4" i="7"/>
  <c r="Z5" i="7"/>
  <c r="Z6" i="7"/>
  <c r="Z7" i="7"/>
  <c r="Z8" i="7"/>
  <c r="Z9" i="7"/>
  <c r="Z10" i="7"/>
  <c r="Z11" i="7"/>
  <c r="Z12" i="7"/>
  <c r="Z14" i="7"/>
  <c r="Z15" i="7"/>
  <c r="Z16" i="7"/>
  <c r="Z17" i="7"/>
  <c r="Z18" i="7"/>
  <c r="Z19" i="7"/>
  <c r="Z20" i="7"/>
  <c r="Z3" i="7"/>
  <c r="Z10" i="8"/>
  <c r="Z4" i="8"/>
  <c r="Z5" i="8"/>
  <c r="Z7" i="8"/>
  <c r="Z8" i="8"/>
  <c r="Z9" i="8"/>
  <c r="Z11" i="8"/>
  <c r="Z12" i="8"/>
  <c r="Z13" i="8"/>
  <c r="Z14" i="8"/>
  <c r="Z16" i="8"/>
  <c r="Z17" i="8"/>
  <c r="Z18" i="8"/>
  <c r="Z19" i="8"/>
  <c r="Z20" i="8"/>
  <c r="Z3" i="8"/>
  <c r="AA3" i="8"/>
  <c r="AB3" i="8"/>
  <c r="AC3" i="8"/>
  <c r="AD3" i="8"/>
  <c r="AB4" i="8"/>
  <c r="AC4" i="8"/>
  <c r="AD4" i="8"/>
  <c r="AA5" i="8"/>
  <c r="AB5" i="8"/>
  <c r="AC5" i="8"/>
  <c r="AD5" i="8"/>
  <c r="AB6" i="8"/>
  <c r="AC6" i="8"/>
  <c r="AD6" i="8"/>
  <c r="AA9" i="8"/>
  <c r="AB9" i="8"/>
  <c r="AC9" i="8"/>
  <c r="AD9" i="8"/>
  <c r="AB11" i="8"/>
  <c r="AC11" i="8"/>
  <c r="AD11" i="8"/>
  <c r="AA12" i="8"/>
  <c r="AB12" i="8"/>
  <c r="AC12" i="8"/>
  <c r="AD12" i="8"/>
  <c r="AA14" i="8"/>
  <c r="AB14" i="8"/>
  <c r="AC14" i="8"/>
  <c r="AD14" i="8"/>
  <c r="AC15" i="8"/>
  <c r="AD15" i="8"/>
  <c r="AA16" i="8"/>
  <c r="AB16" i="8"/>
  <c r="AC16" i="8"/>
  <c r="AD16" i="8"/>
  <c r="AB17" i="8"/>
  <c r="AC17" i="8"/>
  <c r="AD17" i="8"/>
  <c r="AA19" i="8"/>
  <c r="AB19" i="8"/>
  <c r="AC19" i="8"/>
  <c r="AD19" i="8"/>
  <c r="AH4" i="8"/>
  <c r="AH3" i="8"/>
  <c r="AH6" i="8"/>
  <c r="AH11" i="8"/>
  <c r="AH12" i="8"/>
  <c r="AH14" i="8"/>
  <c r="AH15" i="8"/>
  <c r="AH16" i="8"/>
  <c r="AH17" i="8"/>
  <c r="AH19" i="8"/>
  <c r="AI3" i="8"/>
  <c r="AI4" i="8"/>
  <c r="AI5" i="8"/>
  <c r="AI6" i="8"/>
  <c r="AI9" i="8"/>
  <c r="AI11" i="8"/>
  <c r="AI12" i="8"/>
  <c r="AI14" i="8"/>
  <c r="AI15" i="8"/>
  <c r="AI17" i="8"/>
  <c r="AI19" i="8"/>
  <c r="AM3" i="8"/>
  <c r="AM4" i="8"/>
  <c r="AM5" i="8"/>
  <c r="AM6" i="8"/>
  <c r="AM9" i="8"/>
  <c r="AM11" i="8"/>
  <c r="AM12" i="8"/>
  <c r="AM14" i="8"/>
  <c r="AM15" i="8"/>
  <c r="AM16" i="8"/>
  <c r="AM17" i="8"/>
  <c r="AM19" i="8"/>
  <c r="AS3" i="8"/>
  <c r="AS4" i="8"/>
  <c r="AS5" i="8"/>
  <c r="AS9" i="8"/>
  <c r="AS11" i="8"/>
  <c r="AS12" i="8"/>
  <c r="AS14" i="8"/>
  <c r="AS15" i="8"/>
  <c r="AS16" i="8"/>
  <c r="AS17" i="8"/>
  <c r="AS19" i="8"/>
  <c r="X4" i="8"/>
  <c r="X6" i="8"/>
  <c r="X9" i="8"/>
  <c r="X10" i="8"/>
  <c r="X12" i="8"/>
  <c r="X13" i="8"/>
  <c r="X14" i="8"/>
  <c r="X17" i="8"/>
  <c r="X18" i="8"/>
  <c r="X19" i="8"/>
  <c r="AE3" i="8"/>
  <c r="AF3" i="8"/>
  <c r="AG3" i="8"/>
  <c r="AE4" i="8"/>
  <c r="AF4" i="8"/>
  <c r="AG4" i="8"/>
  <c r="AE5" i="8"/>
  <c r="AF5" i="8"/>
  <c r="AG5" i="8"/>
  <c r="AE6" i="8"/>
  <c r="AF6" i="8"/>
  <c r="AG6" i="8"/>
  <c r="AE7" i="8"/>
  <c r="AF7" i="8"/>
  <c r="AG7" i="8"/>
  <c r="AE8" i="8"/>
  <c r="AF8" i="8"/>
  <c r="AG8" i="8"/>
  <c r="AE9" i="8"/>
  <c r="AF9" i="8"/>
  <c r="AG9" i="8"/>
  <c r="AE10" i="8"/>
  <c r="AF10" i="8"/>
  <c r="AG10" i="8"/>
  <c r="AE11" i="8"/>
  <c r="AF11" i="8"/>
  <c r="AG11" i="8"/>
  <c r="AE12" i="8"/>
  <c r="AF12" i="8"/>
  <c r="AG12" i="8"/>
  <c r="AE13" i="8"/>
  <c r="AF13" i="8"/>
  <c r="AG13" i="8"/>
  <c r="AE14" i="8"/>
  <c r="AF14" i="8"/>
  <c r="AG14" i="8"/>
  <c r="AE15" i="8"/>
  <c r="AF15" i="8"/>
  <c r="AG15" i="8"/>
  <c r="AE16" i="8"/>
  <c r="AF16" i="8"/>
  <c r="AG16" i="8"/>
  <c r="AE17" i="8"/>
  <c r="AF17" i="8"/>
  <c r="AG17" i="8"/>
  <c r="AE18" i="8"/>
  <c r="AF18" i="8"/>
  <c r="AG18" i="8"/>
  <c r="AE19" i="8"/>
  <c r="AF19" i="8"/>
  <c r="AG19" i="8"/>
  <c r="AL19" i="8"/>
  <c r="AK19" i="8"/>
  <c r="AK3" i="8"/>
  <c r="AL3" i="8"/>
  <c r="AK4" i="8"/>
  <c r="AL4" i="8"/>
  <c r="AK5" i="8"/>
  <c r="AL5" i="8"/>
  <c r="AK6" i="8"/>
  <c r="AL6" i="8"/>
  <c r="AK7" i="8"/>
  <c r="AL7" i="8"/>
  <c r="AK8" i="8"/>
  <c r="AL8" i="8"/>
  <c r="AK9" i="8"/>
  <c r="AL9" i="8"/>
  <c r="AK10" i="8"/>
  <c r="AL10" i="8"/>
  <c r="AK11" i="8"/>
  <c r="AL11" i="8"/>
  <c r="AK12" i="8"/>
  <c r="AL12" i="8"/>
  <c r="AK13" i="8"/>
  <c r="AL13" i="8"/>
  <c r="AK14" i="8"/>
  <c r="AL14" i="8"/>
  <c r="AK15" i="8"/>
  <c r="AL15" i="8"/>
  <c r="AK16" i="8"/>
  <c r="AL16" i="8"/>
  <c r="AK17" i="8"/>
  <c r="AL17" i="8"/>
  <c r="AL18" i="8"/>
  <c r="AK18" i="8"/>
  <c r="AN3" i="8"/>
  <c r="AO3" i="8"/>
  <c r="AP3" i="8"/>
  <c r="AQ3" i="8"/>
  <c r="AR3" i="8"/>
  <c r="AN4" i="8"/>
  <c r="AO4" i="8"/>
  <c r="AP4" i="8"/>
  <c r="AQ4" i="8"/>
  <c r="AR4" i="8"/>
  <c r="AN5" i="8"/>
  <c r="AO5" i="8"/>
  <c r="AP5" i="8"/>
  <c r="AQ5" i="8"/>
  <c r="AR5" i="8"/>
  <c r="AN6" i="8"/>
  <c r="AO6" i="8"/>
  <c r="AP6" i="8"/>
  <c r="AQ6" i="8"/>
  <c r="AR6" i="8"/>
  <c r="AN7" i="8"/>
  <c r="AO7" i="8"/>
  <c r="AP7" i="8"/>
  <c r="AQ7" i="8"/>
  <c r="AR7" i="8"/>
  <c r="AN8" i="8"/>
  <c r="AO8" i="8"/>
  <c r="AP8" i="8"/>
  <c r="AQ8" i="8"/>
  <c r="AR8" i="8"/>
  <c r="AN9" i="8"/>
  <c r="AO9" i="8"/>
  <c r="AP9" i="8"/>
  <c r="AQ9" i="8"/>
  <c r="AR9" i="8"/>
  <c r="AN10" i="8"/>
  <c r="AO10" i="8"/>
  <c r="AP10" i="8"/>
  <c r="AQ10" i="8"/>
  <c r="AR10" i="8"/>
  <c r="AN11" i="8"/>
  <c r="AO11" i="8"/>
  <c r="AP11" i="8"/>
  <c r="AQ11" i="8"/>
  <c r="AR11" i="8"/>
  <c r="AN12" i="8"/>
  <c r="AO12" i="8"/>
  <c r="AP12" i="8"/>
  <c r="AQ12" i="8"/>
  <c r="AR12" i="8"/>
  <c r="AN13" i="8"/>
  <c r="AO13" i="8"/>
  <c r="AP13" i="8"/>
  <c r="AQ13" i="8"/>
  <c r="AR13" i="8"/>
  <c r="AN14" i="8"/>
  <c r="AO14" i="8"/>
  <c r="AP14" i="8"/>
  <c r="AQ14" i="8"/>
  <c r="AR14" i="8"/>
  <c r="AN15" i="8"/>
  <c r="AO15" i="8"/>
  <c r="AP15" i="8"/>
  <c r="AQ15" i="8"/>
  <c r="AR15" i="8"/>
  <c r="AN16" i="8"/>
  <c r="V16" i="8" s="1"/>
  <c r="AO16" i="8"/>
  <c r="AP16" i="8"/>
  <c r="AQ16" i="8"/>
  <c r="AR16" i="8"/>
  <c r="AN17" i="8"/>
  <c r="AO17" i="8"/>
  <c r="AP17" i="8"/>
  <c r="AQ17" i="8"/>
  <c r="AR17" i="8"/>
  <c r="AN18" i="8"/>
  <c r="AO18" i="8"/>
  <c r="AP18" i="8"/>
  <c r="AQ18" i="8"/>
  <c r="AR18" i="8"/>
  <c r="AN19" i="8"/>
  <c r="AO19" i="8"/>
  <c r="AP19" i="8"/>
  <c r="AQ19" i="8"/>
  <c r="AR19" i="8"/>
  <c r="AT3" i="8"/>
  <c r="AT4" i="8"/>
  <c r="AT5" i="8"/>
  <c r="AT6" i="8"/>
  <c r="AT7" i="8"/>
  <c r="AT8" i="8"/>
  <c r="AT9" i="8"/>
  <c r="AT10" i="8"/>
  <c r="AT11" i="8"/>
  <c r="AT12" i="8"/>
  <c r="AT13" i="8"/>
  <c r="AT14" i="8"/>
  <c r="AT15" i="8"/>
  <c r="AT16" i="8"/>
  <c r="BN7" i="8"/>
  <c r="BN10" i="8"/>
  <c r="BN13" i="8"/>
  <c r="BN18" i="8"/>
  <c r="BL20" i="8"/>
  <c r="BJ20" i="8"/>
  <c r="BI20" i="8"/>
  <c r="BH20" i="8"/>
  <c r="BG20" i="8"/>
  <c r="BF20" i="8"/>
  <c r="BE20" i="8"/>
  <c r="BD20" i="8"/>
  <c r="BC20" i="8"/>
  <c r="BB20" i="8"/>
  <c r="AZ20" i="8"/>
  <c r="AY20" i="8"/>
  <c r="AX20" i="8"/>
  <c r="AW20" i="8"/>
  <c r="AV20" i="8"/>
  <c r="AT20" i="8"/>
  <c r="AS20" i="8"/>
  <c r="AR20" i="8"/>
  <c r="AQ20" i="8"/>
  <c r="AP20" i="8"/>
  <c r="AO20" i="8"/>
  <c r="AN20" i="8"/>
  <c r="AM20" i="8"/>
  <c r="AL20" i="8"/>
  <c r="AK20" i="8"/>
  <c r="AI20" i="8"/>
  <c r="AH20" i="8"/>
  <c r="AG20" i="8"/>
  <c r="AF20" i="8"/>
  <c r="AE20" i="8"/>
  <c r="AD20" i="8"/>
  <c r="AC20" i="8"/>
  <c r="AB20" i="8"/>
  <c r="AA20" i="8"/>
  <c r="Y20" i="8"/>
  <c r="W20" i="8"/>
  <c r="U20" i="8"/>
  <c r="T20" i="8"/>
  <c r="S20" i="8"/>
  <c r="R20" i="8"/>
  <c r="Q20" i="8"/>
  <c r="P20" i="8"/>
  <c r="O20" i="8"/>
  <c r="L20" i="8"/>
  <c r="K20" i="8"/>
  <c r="J20" i="8"/>
  <c r="I20" i="8"/>
  <c r="H20" i="8"/>
  <c r="F20" i="8"/>
  <c r="D20" i="8"/>
  <c r="AW5" i="7"/>
  <c r="AW10" i="7"/>
  <c r="AW11" i="7"/>
  <c r="AW12" i="7"/>
  <c r="AW14" i="7"/>
  <c r="AW15" i="7"/>
  <c r="AW16" i="7"/>
  <c r="AW17" i="7"/>
  <c r="AW19" i="7"/>
  <c r="AZ5" i="7"/>
  <c r="AZ10" i="7"/>
  <c r="AZ11" i="7"/>
  <c r="AZ12" i="7"/>
  <c r="AZ14" i="7"/>
  <c r="AZ15" i="7"/>
  <c r="AZ16" i="7"/>
  <c r="AZ17" i="7"/>
  <c r="AZ19" i="7"/>
  <c r="BC5" i="7"/>
  <c r="BD5" i="7"/>
  <c r="BC10" i="7"/>
  <c r="BD10" i="7"/>
  <c r="BC11" i="7"/>
  <c r="BD11" i="7"/>
  <c r="BC12" i="7"/>
  <c r="BD12" i="7"/>
  <c r="BC14" i="7"/>
  <c r="BD14" i="7"/>
  <c r="BC15" i="7"/>
  <c r="BD15" i="7"/>
  <c r="BC16" i="7"/>
  <c r="BD16" i="7"/>
  <c r="BC17" i="7"/>
  <c r="BD17" i="7"/>
  <c r="BC19" i="7"/>
  <c r="BD19" i="7"/>
  <c r="BF5" i="7"/>
  <c r="BF10" i="7"/>
  <c r="BF11" i="7"/>
  <c r="BF12" i="7"/>
  <c r="BF14" i="7"/>
  <c r="BF15" i="7"/>
  <c r="BF16" i="7"/>
  <c r="BF17" i="7"/>
  <c r="BF19" i="7"/>
  <c r="BJ5" i="7"/>
  <c r="BK5" i="7"/>
  <c r="BL5" i="7"/>
  <c r="BJ10" i="7"/>
  <c r="BK10" i="7"/>
  <c r="BL10" i="7"/>
  <c r="BJ11" i="7"/>
  <c r="BK11" i="7"/>
  <c r="BL11" i="7"/>
  <c r="BJ12" i="7"/>
  <c r="BK12" i="7"/>
  <c r="BL12" i="7"/>
  <c r="BJ14" i="7"/>
  <c r="BK14" i="7"/>
  <c r="BL14" i="7"/>
  <c r="BJ15" i="7"/>
  <c r="BK15" i="7"/>
  <c r="BL15" i="7"/>
  <c r="BJ16" i="7"/>
  <c r="BK16" i="7"/>
  <c r="BL16" i="7"/>
  <c r="BJ17" i="7"/>
  <c r="BK17" i="7"/>
  <c r="BL17" i="7"/>
  <c r="BJ19" i="7"/>
  <c r="BK19" i="7"/>
  <c r="BL19" i="7"/>
  <c r="BG3" i="7"/>
  <c r="BH3" i="7"/>
  <c r="BI3" i="7"/>
  <c r="BG4" i="7"/>
  <c r="BH4" i="7"/>
  <c r="BI4" i="7"/>
  <c r="BG5" i="7"/>
  <c r="BH5" i="7"/>
  <c r="BI5" i="7"/>
  <c r="BG6" i="7"/>
  <c r="BI6" i="7"/>
  <c r="BG7" i="7"/>
  <c r="BH7" i="7"/>
  <c r="BI7" i="7"/>
  <c r="BG8" i="7"/>
  <c r="BI8" i="7"/>
  <c r="BG9" i="7"/>
  <c r="BI9" i="7"/>
  <c r="BG10" i="7"/>
  <c r="BH10" i="7"/>
  <c r="BI10" i="7"/>
  <c r="BG11" i="7"/>
  <c r="BH11" i="7"/>
  <c r="BI11" i="7"/>
  <c r="BG12" i="7"/>
  <c r="BH12" i="7"/>
  <c r="BI12" i="7"/>
  <c r="BG13" i="7"/>
  <c r="BH13" i="7"/>
  <c r="BI13" i="7"/>
  <c r="BG14" i="7"/>
  <c r="BH14" i="7"/>
  <c r="BI14" i="7"/>
  <c r="BG15" i="7"/>
  <c r="BH15" i="7"/>
  <c r="BI15" i="7"/>
  <c r="BG16" i="7"/>
  <c r="BH16" i="7"/>
  <c r="BI16" i="7"/>
  <c r="BG17" i="7"/>
  <c r="BH17" i="7"/>
  <c r="BI17" i="7"/>
  <c r="BG18" i="7"/>
  <c r="BI18" i="7"/>
  <c r="BG19" i="7"/>
  <c r="BH19" i="7"/>
  <c r="BI19" i="7"/>
  <c r="BE3" i="7"/>
  <c r="BE4" i="7"/>
  <c r="BE5" i="7"/>
  <c r="BE6" i="7"/>
  <c r="BE7" i="7"/>
  <c r="BE8" i="7"/>
  <c r="BE9" i="7"/>
  <c r="BE10" i="7"/>
  <c r="BE11" i="7"/>
  <c r="BE12" i="7"/>
  <c r="BE13" i="7"/>
  <c r="BE14" i="7"/>
  <c r="BE15" i="7"/>
  <c r="BE16" i="7"/>
  <c r="BE17" i="7"/>
  <c r="BE18" i="7"/>
  <c r="BE19" i="7"/>
  <c r="AX3" i="7"/>
  <c r="AY3" i="7"/>
  <c r="AX4" i="7"/>
  <c r="AY4" i="7"/>
  <c r="AX5" i="7"/>
  <c r="AY5" i="7"/>
  <c r="AX6" i="7"/>
  <c r="AY6" i="7"/>
  <c r="AX7" i="7"/>
  <c r="AY7" i="7"/>
  <c r="AX8" i="7"/>
  <c r="AY8" i="7"/>
  <c r="AX9" i="7"/>
  <c r="AY9" i="7"/>
  <c r="AX10" i="7"/>
  <c r="AY10" i="7"/>
  <c r="AX11" i="7"/>
  <c r="AY11" i="7"/>
  <c r="AX12" i="7"/>
  <c r="AY12" i="7"/>
  <c r="AX13" i="7"/>
  <c r="AY13" i="7"/>
  <c r="AX14" i="7"/>
  <c r="AY14" i="7"/>
  <c r="AX15" i="7"/>
  <c r="AY15" i="7"/>
  <c r="AX16" i="7"/>
  <c r="AY16" i="7"/>
  <c r="AX17" i="7"/>
  <c r="AY17" i="7"/>
  <c r="AX18" i="7"/>
  <c r="AY18" i="7"/>
  <c r="AX19" i="7"/>
  <c r="AY19" i="7"/>
  <c r="AV3" i="7"/>
  <c r="AV4" i="7"/>
  <c r="AV5" i="7"/>
  <c r="AV6" i="7"/>
  <c r="AV7" i="7"/>
  <c r="AV8" i="7"/>
  <c r="AV9" i="7"/>
  <c r="AV12" i="7"/>
  <c r="AV13" i="7"/>
  <c r="AV14" i="7"/>
  <c r="AV15" i="7"/>
  <c r="AV16" i="7"/>
  <c r="AV17" i="7"/>
  <c r="AV18" i="7"/>
  <c r="AV19" i="7"/>
  <c r="BB3" i="7"/>
  <c r="BB4" i="7"/>
  <c r="BB5" i="7"/>
  <c r="BB6" i="7"/>
  <c r="BB7" i="7"/>
  <c r="BB8" i="7"/>
  <c r="BB9" i="7"/>
  <c r="BB10" i="7"/>
  <c r="BB11" i="7"/>
  <c r="BB12" i="7"/>
  <c r="BB14" i="7"/>
  <c r="BB15" i="7"/>
  <c r="BB16" i="7"/>
  <c r="BB17" i="7"/>
  <c r="BB18" i="7"/>
  <c r="BB19" i="7"/>
  <c r="BA3" i="7"/>
  <c r="BA4" i="7"/>
  <c r="BA5" i="7"/>
  <c r="BA6" i="7"/>
  <c r="BA7" i="7"/>
  <c r="BA8" i="7"/>
  <c r="BA9" i="7"/>
  <c r="BA10" i="7"/>
  <c r="BA12" i="7"/>
  <c r="BA11" i="7"/>
  <c r="BA14" i="7"/>
  <c r="BA15" i="7"/>
  <c r="BA16" i="7"/>
  <c r="BA17" i="7"/>
  <c r="BA18" i="7"/>
  <c r="BA19" i="7"/>
  <c r="AS15" i="7"/>
  <c r="AS5" i="7"/>
  <c r="AS10" i="7"/>
  <c r="AS11" i="7"/>
  <c r="AS12" i="7"/>
  <c r="AS14" i="7"/>
  <c r="AS16" i="7"/>
  <c r="AS17" i="7"/>
  <c r="AS19" i="7"/>
  <c r="AM5" i="7"/>
  <c r="AM10" i="7"/>
  <c r="AM11" i="7"/>
  <c r="AM12" i="7"/>
  <c r="AM14" i="7"/>
  <c r="AM15" i="7"/>
  <c r="AM16" i="7"/>
  <c r="AM17" i="7"/>
  <c r="AM19" i="7"/>
  <c r="AH5" i="7"/>
  <c r="AI5" i="7"/>
  <c r="AH10" i="7"/>
  <c r="AI10" i="7"/>
  <c r="AH11" i="7"/>
  <c r="AI11" i="7"/>
  <c r="AH12" i="7"/>
  <c r="AI12" i="7"/>
  <c r="AH14" i="7"/>
  <c r="AI14" i="7"/>
  <c r="AH15" i="7"/>
  <c r="AI15" i="7"/>
  <c r="AH16" i="7"/>
  <c r="AI16" i="7"/>
  <c r="AH17" i="7"/>
  <c r="AI17" i="7"/>
  <c r="AH19" i="7"/>
  <c r="AI19" i="7"/>
  <c r="Y5" i="7"/>
  <c r="AA5" i="7"/>
  <c r="AB5" i="7"/>
  <c r="AC5" i="7"/>
  <c r="AD5" i="7"/>
  <c r="Y10" i="7"/>
  <c r="AA10" i="7"/>
  <c r="AB10" i="7"/>
  <c r="AC10" i="7"/>
  <c r="AD10" i="7"/>
  <c r="Y11" i="7"/>
  <c r="AB11" i="7"/>
  <c r="AC11" i="7"/>
  <c r="AD11" i="7"/>
  <c r="Y12" i="7"/>
  <c r="AA12" i="7"/>
  <c r="AB12" i="7"/>
  <c r="AC12" i="7"/>
  <c r="AD12" i="7"/>
  <c r="Y14" i="7"/>
  <c r="AA14" i="7"/>
  <c r="AB14" i="7"/>
  <c r="AC14" i="7"/>
  <c r="AD14" i="7"/>
  <c r="Y15" i="7"/>
  <c r="AB15" i="7"/>
  <c r="AC15" i="7"/>
  <c r="AD15" i="7"/>
  <c r="Y16" i="7"/>
  <c r="AA16" i="7"/>
  <c r="AB16" i="7"/>
  <c r="AC16" i="7"/>
  <c r="AD16" i="7"/>
  <c r="Y17" i="7"/>
  <c r="AB17" i="7"/>
  <c r="AC17" i="7"/>
  <c r="AD17" i="7"/>
  <c r="Y19" i="7"/>
  <c r="AA19" i="7"/>
  <c r="AB19" i="7"/>
  <c r="AC19" i="7"/>
  <c r="AD19" i="7"/>
  <c r="W5" i="7"/>
  <c r="W10" i="7"/>
  <c r="W11" i="7"/>
  <c r="W12" i="7"/>
  <c r="W15" i="7"/>
  <c r="W19" i="7"/>
  <c r="W17" i="7"/>
  <c r="W16" i="7"/>
  <c r="AT3" i="7"/>
  <c r="AT4" i="7"/>
  <c r="AT5" i="7"/>
  <c r="AT6" i="7"/>
  <c r="AT7" i="7"/>
  <c r="AT8" i="7"/>
  <c r="AT9" i="7"/>
  <c r="AT10" i="7"/>
  <c r="AT11" i="7"/>
  <c r="AT12" i="7"/>
  <c r="AT14" i="7"/>
  <c r="AT15" i="7"/>
  <c r="AT16" i="7"/>
  <c r="AN3" i="7"/>
  <c r="AO3" i="7"/>
  <c r="AP3" i="7"/>
  <c r="AQ3" i="7"/>
  <c r="AR3" i="7"/>
  <c r="AN4" i="7"/>
  <c r="AO4" i="7"/>
  <c r="AP4" i="7"/>
  <c r="AQ4" i="7"/>
  <c r="AR4" i="7"/>
  <c r="AN5" i="7"/>
  <c r="AO5" i="7"/>
  <c r="AP5" i="7"/>
  <c r="AQ5" i="7"/>
  <c r="AR5" i="7"/>
  <c r="AN6" i="7"/>
  <c r="AO6" i="7"/>
  <c r="AP6" i="7"/>
  <c r="AQ6" i="7"/>
  <c r="AR6" i="7"/>
  <c r="AN7" i="7"/>
  <c r="AO7" i="7"/>
  <c r="AP7" i="7"/>
  <c r="AQ7" i="7"/>
  <c r="AR7" i="7"/>
  <c r="AN8" i="7"/>
  <c r="AO8" i="7"/>
  <c r="AP8" i="7"/>
  <c r="AQ8" i="7"/>
  <c r="AR8" i="7"/>
  <c r="AN9" i="7"/>
  <c r="AO9" i="7"/>
  <c r="AP9" i="7"/>
  <c r="AQ9" i="7"/>
  <c r="AR9" i="7"/>
  <c r="AN10" i="7"/>
  <c r="AO10" i="7"/>
  <c r="AP10" i="7"/>
  <c r="AQ10" i="7"/>
  <c r="AR10" i="7"/>
  <c r="AN11" i="7"/>
  <c r="AO11" i="7"/>
  <c r="AP11" i="7"/>
  <c r="AQ11" i="7"/>
  <c r="AR11" i="7"/>
  <c r="AN12" i="7"/>
  <c r="AO12" i="7"/>
  <c r="AP12" i="7"/>
  <c r="AQ12" i="7"/>
  <c r="AR12" i="7"/>
  <c r="AN13" i="7"/>
  <c r="AO13" i="7"/>
  <c r="AP13" i="7"/>
  <c r="AQ13" i="7"/>
  <c r="AR13" i="7"/>
  <c r="AN14" i="7"/>
  <c r="AO14" i="7"/>
  <c r="AP14" i="7"/>
  <c r="AQ14" i="7"/>
  <c r="AR14" i="7"/>
  <c r="AN15" i="7"/>
  <c r="AO15" i="7"/>
  <c r="AP15" i="7"/>
  <c r="AQ15" i="7"/>
  <c r="AR15" i="7"/>
  <c r="AN16" i="7"/>
  <c r="AO16" i="7"/>
  <c r="AP16" i="7"/>
  <c r="AQ16" i="7"/>
  <c r="AR16" i="7"/>
  <c r="AR17" i="7"/>
  <c r="AQ17" i="7"/>
  <c r="AP17" i="7"/>
  <c r="AO17" i="7"/>
  <c r="AN17" i="7"/>
  <c r="AO18" i="7"/>
  <c r="AP18" i="7"/>
  <c r="AQ18" i="7"/>
  <c r="AR18" i="7"/>
  <c r="AN19" i="7"/>
  <c r="AO19" i="7"/>
  <c r="AP19" i="7"/>
  <c r="AQ19" i="7"/>
  <c r="AR19" i="7"/>
  <c r="AK3" i="7"/>
  <c r="AL3" i="7"/>
  <c r="AK4" i="7"/>
  <c r="AL4" i="7"/>
  <c r="AK5" i="7"/>
  <c r="AL5" i="7"/>
  <c r="AK6" i="7"/>
  <c r="AL6" i="7"/>
  <c r="AK7" i="7"/>
  <c r="AL7" i="7"/>
  <c r="AK8" i="7"/>
  <c r="AL8" i="7"/>
  <c r="AK9" i="7"/>
  <c r="AL9" i="7"/>
  <c r="AK10" i="7"/>
  <c r="AL10" i="7"/>
  <c r="AK11" i="7"/>
  <c r="AL11" i="7"/>
  <c r="AK12" i="7"/>
  <c r="AL12" i="7"/>
  <c r="AK13" i="7"/>
  <c r="AL13" i="7"/>
  <c r="AK14" i="7"/>
  <c r="AL14" i="7"/>
  <c r="AK15" i="7"/>
  <c r="AL15" i="7"/>
  <c r="AK16" i="7"/>
  <c r="AL16" i="7"/>
  <c r="AK17" i="7"/>
  <c r="AL17" i="7"/>
  <c r="AK18" i="7"/>
  <c r="AL18" i="7"/>
  <c r="AK19" i="7"/>
  <c r="AL19" i="7"/>
  <c r="AE3" i="7"/>
  <c r="AF3" i="7"/>
  <c r="AG3" i="7"/>
  <c r="AE4" i="7"/>
  <c r="AF4" i="7"/>
  <c r="AG4" i="7"/>
  <c r="AE5" i="7"/>
  <c r="AF5" i="7"/>
  <c r="AG5" i="7"/>
  <c r="AE6" i="7"/>
  <c r="AF6" i="7"/>
  <c r="AG6" i="7"/>
  <c r="AE7" i="7"/>
  <c r="AF7" i="7"/>
  <c r="AG7" i="7"/>
  <c r="AE8" i="7"/>
  <c r="AF8" i="7"/>
  <c r="AG8" i="7"/>
  <c r="AE9" i="7"/>
  <c r="AF9" i="7"/>
  <c r="AG9" i="7"/>
  <c r="AE10" i="7"/>
  <c r="AF10" i="7"/>
  <c r="AG10" i="7"/>
  <c r="AE11" i="7"/>
  <c r="AF11" i="7"/>
  <c r="AG11" i="7"/>
  <c r="AE12" i="7"/>
  <c r="AF12" i="7"/>
  <c r="AG12" i="7"/>
  <c r="AE13" i="7"/>
  <c r="AF13" i="7"/>
  <c r="AG13" i="7"/>
  <c r="AE14" i="7"/>
  <c r="AF14" i="7"/>
  <c r="AG14" i="7"/>
  <c r="AE15" i="7"/>
  <c r="AF15" i="7"/>
  <c r="AG15" i="7"/>
  <c r="AE16" i="7"/>
  <c r="AF16" i="7"/>
  <c r="AG16" i="7"/>
  <c r="AE17" i="7"/>
  <c r="AF17" i="7"/>
  <c r="AG17" i="7"/>
  <c r="AE18" i="7"/>
  <c r="AF18" i="7"/>
  <c r="AG18" i="7"/>
  <c r="AE19" i="7"/>
  <c r="AF19" i="7"/>
  <c r="AG19" i="7"/>
  <c r="X4" i="7"/>
  <c r="X5" i="7"/>
  <c r="X6" i="7"/>
  <c r="X10" i="7"/>
  <c r="X12" i="7"/>
  <c r="X13" i="7"/>
  <c r="X14" i="7"/>
  <c r="X15" i="7"/>
  <c r="X16" i="7"/>
  <c r="X17" i="7"/>
  <c r="X18" i="7"/>
  <c r="X19" i="7"/>
  <c r="BN18" i="7"/>
  <c r="BN13" i="7"/>
  <c r="BN9" i="7"/>
  <c r="BN7" i="7"/>
  <c r="BN6" i="7"/>
  <c r="BN4" i="7"/>
  <c r="BN3" i="7"/>
  <c r="R3" i="7"/>
  <c r="S3" i="7"/>
  <c r="Q3" i="7"/>
  <c r="P3" i="7"/>
  <c r="D3" i="7"/>
  <c r="F3" i="7"/>
  <c r="H3" i="7"/>
  <c r="I3" i="7"/>
  <c r="J3" i="7"/>
  <c r="K3" i="7"/>
  <c r="L3" i="7"/>
  <c r="O3" i="7"/>
  <c r="S4" i="7"/>
  <c r="R4" i="7"/>
  <c r="Q4" i="7"/>
  <c r="P4" i="7"/>
  <c r="O4" i="7"/>
  <c r="L4" i="7"/>
  <c r="K4" i="7"/>
  <c r="J4" i="7"/>
  <c r="I4" i="7"/>
  <c r="H4" i="7"/>
  <c r="F4" i="7"/>
  <c r="D4" i="7"/>
  <c r="P5" i="7"/>
  <c r="Q5" i="7"/>
  <c r="R5" i="7"/>
  <c r="S5" i="7"/>
  <c r="J5" i="7"/>
  <c r="I5" i="7"/>
  <c r="K5" i="7"/>
  <c r="L5" i="7"/>
  <c r="H5" i="7"/>
  <c r="O5" i="7"/>
  <c r="F5" i="7"/>
  <c r="D5" i="7"/>
  <c r="Q6" i="7"/>
  <c r="R6" i="7"/>
  <c r="P6" i="7"/>
  <c r="U6" i="7"/>
  <c r="T6" i="7"/>
  <c r="S6" i="7"/>
  <c r="O6" i="7"/>
  <c r="L6" i="7"/>
  <c r="K6" i="7"/>
  <c r="J6" i="7"/>
  <c r="I6" i="7"/>
  <c r="H6" i="7"/>
  <c r="F6" i="7"/>
  <c r="D6" i="7"/>
  <c r="I7" i="7"/>
  <c r="J7" i="7"/>
  <c r="K7" i="7"/>
  <c r="L7" i="7"/>
  <c r="H7" i="7"/>
  <c r="D7" i="7"/>
  <c r="F7" i="7"/>
  <c r="O7" i="7"/>
  <c r="P7" i="7"/>
  <c r="Q7" i="7"/>
  <c r="R7" i="7"/>
  <c r="S7" i="7"/>
  <c r="T7" i="7"/>
  <c r="U7" i="7"/>
  <c r="Q9" i="7"/>
  <c r="D8" i="7"/>
  <c r="F8" i="7"/>
  <c r="H8" i="7"/>
  <c r="I8" i="7"/>
  <c r="J8" i="7"/>
  <c r="K8" i="7"/>
  <c r="L8" i="7"/>
  <c r="O8" i="7"/>
  <c r="P8" i="7"/>
  <c r="Q8" i="7"/>
  <c r="R8" i="7"/>
  <c r="S8" i="7"/>
  <c r="D9" i="7"/>
  <c r="F9" i="7"/>
  <c r="H9" i="7"/>
  <c r="I9" i="7"/>
  <c r="J9" i="7"/>
  <c r="K9" i="7"/>
  <c r="L9" i="7"/>
  <c r="O9" i="7"/>
  <c r="P9" i="7"/>
  <c r="R9" i="7"/>
  <c r="S9" i="7"/>
  <c r="U10" i="7"/>
  <c r="T10" i="7"/>
  <c r="S10" i="7"/>
  <c r="R10" i="7"/>
  <c r="Q10" i="7"/>
  <c r="P10" i="7"/>
  <c r="O10" i="7"/>
  <c r="L10" i="7"/>
  <c r="K10" i="7"/>
  <c r="J10" i="7"/>
  <c r="I10" i="7"/>
  <c r="H10" i="7"/>
  <c r="F10" i="7"/>
  <c r="D10" i="7"/>
  <c r="S11" i="7"/>
  <c r="R11" i="7"/>
  <c r="Q11" i="7"/>
  <c r="P11" i="7"/>
  <c r="O11" i="7"/>
  <c r="L11" i="7"/>
  <c r="K11" i="7"/>
  <c r="J11" i="7"/>
  <c r="I11" i="7"/>
  <c r="H11" i="7"/>
  <c r="F11" i="7"/>
  <c r="D11" i="7"/>
  <c r="F12" i="7"/>
  <c r="S12" i="7"/>
  <c r="R12" i="7"/>
  <c r="Q12" i="7"/>
  <c r="P12" i="7"/>
  <c r="O12" i="7"/>
  <c r="L12" i="7"/>
  <c r="K12" i="7"/>
  <c r="J12" i="7"/>
  <c r="I12" i="7"/>
  <c r="H12" i="7"/>
  <c r="D12" i="7"/>
  <c r="O13" i="7"/>
  <c r="P13" i="7"/>
  <c r="Q13" i="7"/>
  <c r="R13" i="7"/>
  <c r="S13" i="7"/>
  <c r="L13" i="7"/>
  <c r="K13" i="7"/>
  <c r="J13" i="7"/>
  <c r="I13" i="7"/>
  <c r="H13" i="7"/>
  <c r="F13" i="7"/>
  <c r="D13" i="7"/>
  <c r="I14" i="7"/>
  <c r="H14" i="7"/>
  <c r="D14" i="7"/>
  <c r="F14" i="7"/>
  <c r="K14" i="7"/>
  <c r="L14" i="7"/>
  <c r="O14" i="7"/>
  <c r="P14" i="7"/>
  <c r="Q14" i="7"/>
  <c r="R14" i="7"/>
  <c r="S14" i="7"/>
  <c r="T14" i="7"/>
  <c r="F19" i="7"/>
  <c r="D15" i="7"/>
  <c r="F15" i="7"/>
  <c r="H15" i="7"/>
  <c r="I15" i="7"/>
  <c r="J15" i="7"/>
  <c r="K15" i="7"/>
  <c r="L15" i="7"/>
  <c r="O15" i="7"/>
  <c r="P15" i="7"/>
  <c r="Q15" i="7"/>
  <c r="R15" i="7"/>
  <c r="S15" i="7"/>
  <c r="T15" i="7"/>
  <c r="D16" i="7"/>
  <c r="F16" i="7"/>
  <c r="H16" i="7"/>
  <c r="I16" i="7"/>
  <c r="J16" i="7"/>
  <c r="K16" i="7"/>
  <c r="L16" i="7"/>
  <c r="O16" i="7"/>
  <c r="P16" i="7"/>
  <c r="Q16" i="7"/>
  <c r="R16" i="7"/>
  <c r="S16" i="7"/>
  <c r="T16" i="7"/>
  <c r="D17" i="7"/>
  <c r="F17" i="7"/>
  <c r="H17" i="7"/>
  <c r="I17" i="7"/>
  <c r="J17" i="7"/>
  <c r="K17" i="7"/>
  <c r="L17" i="7"/>
  <c r="O17" i="7"/>
  <c r="P17" i="7"/>
  <c r="Q17" i="7"/>
  <c r="R17" i="7"/>
  <c r="S17" i="7"/>
  <c r="T17" i="7"/>
  <c r="D18" i="7"/>
  <c r="F18" i="7"/>
  <c r="H18" i="7"/>
  <c r="I18" i="7"/>
  <c r="J18" i="7"/>
  <c r="K18" i="7"/>
  <c r="L18" i="7"/>
  <c r="O18" i="7"/>
  <c r="P18" i="7"/>
  <c r="Q18" i="7"/>
  <c r="R18" i="7"/>
  <c r="S18" i="7"/>
  <c r="T18" i="7"/>
  <c r="D19" i="7"/>
  <c r="H19" i="7"/>
  <c r="I19" i="7"/>
  <c r="J19" i="7"/>
  <c r="K19" i="7"/>
  <c r="L19" i="7"/>
  <c r="O19" i="7"/>
  <c r="P19" i="7"/>
  <c r="Q19" i="7"/>
  <c r="R19" i="7"/>
  <c r="S19" i="7"/>
  <c r="T19" i="7"/>
  <c r="K20" i="7"/>
  <c r="L20" i="7"/>
  <c r="O20" i="7"/>
  <c r="P20" i="7"/>
  <c r="Q20" i="7"/>
  <c r="R20" i="7"/>
  <c r="S20" i="7"/>
  <c r="T20" i="7"/>
  <c r="J20" i="7"/>
  <c r="I20" i="7"/>
  <c r="H20" i="7"/>
  <c r="F20" i="7"/>
  <c r="T3" i="7"/>
  <c r="U3" i="7"/>
  <c r="U4" i="7"/>
  <c r="T4" i="7"/>
  <c r="U5" i="7"/>
  <c r="T5" i="7"/>
  <c r="U8" i="7"/>
  <c r="T9" i="7"/>
  <c r="U9" i="7"/>
  <c r="U11" i="7"/>
  <c r="T11" i="7"/>
  <c r="U12" i="7"/>
  <c r="T12" i="7"/>
  <c r="U13" i="7"/>
  <c r="T13" i="7"/>
  <c r="U14" i="7"/>
  <c r="U15" i="7"/>
  <c r="U16" i="7"/>
  <c r="U17" i="7"/>
  <c r="U18" i="7"/>
  <c r="U19" i="7"/>
  <c r="BL20" i="7"/>
  <c r="BK20" i="7"/>
  <c r="BJ20" i="7"/>
  <c r="BF20" i="7"/>
  <c r="BD20" i="7"/>
  <c r="BC20" i="7"/>
  <c r="AZ20" i="7"/>
  <c r="AW20" i="7"/>
  <c r="AS20" i="7"/>
  <c r="AM20" i="7"/>
  <c r="AI20" i="7"/>
  <c r="AH20" i="7"/>
  <c r="AD20" i="7"/>
  <c r="AC20" i="7"/>
  <c r="AB20" i="7"/>
  <c r="AA20" i="7"/>
  <c r="Y20" i="7"/>
  <c r="W20" i="7"/>
  <c r="BI20" i="7"/>
  <c r="BH20" i="7"/>
  <c r="BG20" i="7"/>
  <c r="BE20" i="7"/>
  <c r="BB20" i="7"/>
  <c r="AY20" i="7"/>
  <c r="AX20" i="7"/>
  <c r="AV20" i="7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AT20" i="7"/>
  <c r="AR20" i="7"/>
  <c r="AQ20" i="7"/>
  <c r="AP20" i="7"/>
  <c r="AO20" i="7"/>
  <c r="AN20" i="7"/>
  <c r="AL20" i="7"/>
  <c r="AK20" i="7"/>
  <c r="AG20" i="7"/>
  <c r="AF20" i="7"/>
  <c r="AE20" i="7"/>
  <c r="U20" i="7"/>
  <c r="AI20" i="6"/>
  <c r="AI20" i="5"/>
  <c r="AV19" i="6"/>
  <c r="AT17" i="4"/>
  <c r="AT18" i="4"/>
  <c r="AT19" i="4"/>
  <c r="AM19" i="5"/>
  <c r="AL19" i="5"/>
  <c r="AK19" i="5"/>
  <c r="AI19" i="5"/>
  <c r="X19" i="5"/>
  <c r="I19" i="5"/>
  <c r="H19" i="5"/>
  <c r="AI18" i="6"/>
  <c r="AH18" i="6"/>
  <c r="W18" i="5"/>
  <c r="I18" i="5"/>
  <c r="J18" i="5"/>
  <c r="K18" i="5"/>
  <c r="L18" i="5"/>
  <c r="H18" i="5"/>
  <c r="BJ17" i="6"/>
  <c r="BF17" i="6"/>
  <c r="AB17" i="6"/>
  <c r="H17" i="6"/>
  <c r="I17" i="6"/>
  <c r="H16" i="6"/>
  <c r="H16" i="5"/>
  <c r="H15" i="5"/>
  <c r="H4" i="5"/>
  <c r="AI16" i="6"/>
  <c r="Z16" i="6"/>
  <c r="X16" i="6"/>
  <c r="J16" i="6"/>
  <c r="I16" i="6"/>
  <c r="AD16" i="5"/>
  <c r="Y16" i="5"/>
  <c r="W16" i="5"/>
  <c r="J16" i="5"/>
  <c r="I16" i="5"/>
  <c r="AO15" i="6"/>
  <c r="I15" i="5"/>
  <c r="AR15" i="5"/>
  <c r="AL15" i="5"/>
  <c r="AK6" i="6"/>
  <c r="AK7" i="6"/>
  <c r="AK5" i="6"/>
  <c r="AK4" i="6"/>
  <c r="AK3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15" i="5"/>
  <c r="AK16" i="5"/>
  <c r="AK17" i="5"/>
  <c r="AK18" i="5"/>
  <c r="AK20" i="5"/>
  <c r="AK9" i="5"/>
  <c r="AK10" i="5"/>
  <c r="AK11" i="5"/>
  <c r="AK12" i="5"/>
  <c r="AK13" i="5"/>
  <c r="AK14" i="5"/>
  <c r="AK8" i="5"/>
  <c r="AK7" i="5"/>
  <c r="AK4" i="5"/>
  <c r="AK5" i="5"/>
  <c r="AK6" i="5"/>
  <c r="AK3" i="5"/>
  <c r="AG14" i="6"/>
  <c r="AE4" i="5"/>
  <c r="AF4" i="5"/>
  <c r="AG4" i="5"/>
  <c r="AE5" i="5"/>
  <c r="AF5" i="5"/>
  <c r="AG5" i="5"/>
  <c r="AE6" i="5"/>
  <c r="AF6" i="5"/>
  <c r="AG6" i="5"/>
  <c r="AE7" i="5"/>
  <c r="AF7" i="5"/>
  <c r="AG7" i="5"/>
  <c r="AE8" i="5"/>
  <c r="AF8" i="5"/>
  <c r="AG8" i="5"/>
  <c r="AE9" i="5"/>
  <c r="AF9" i="5"/>
  <c r="AG9" i="5"/>
  <c r="AE10" i="5"/>
  <c r="AF10" i="5"/>
  <c r="AG10" i="5"/>
  <c r="AE11" i="5"/>
  <c r="AF11" i="5"/>
  <c r="AG11" i="5"/>
  <c r="AE12" i="5"/>
  <c r="AF12" i="5"/>
  <c r="AG12" i="5"/>
  <c r="AE13" i="5"/>
  <c r="AF13" i="5"/>
  <c r="AG13" i="5"/>
  <c r="AE14" i="5"/>
  <c r="AF14" i="5"/>
  <c r="AG14" i="5"/>
  <c r="AE15" i="5"/>
  <c r="AF15" i="5"/>
  <c r="AG15" i="5"/>
  <c r="AE16" i="5"/>
  <c r="AF16" i="5"/>
  <c r="AG16" i="5"/>
  <c r="AE17" i="5"/>
  <c r="AF17" i="5"/>
  <c r="AG17" i="5"/>
  <c r="AE18" i="5"/>
  <c r="AF18" i="5"/>
  <c r="AG18" i="5"/>
  <c r="AE19" i="5"/>
  <c r="AF19" i="5"/>
  <c r="AG19" i="5"/>
  <c r="AE20" i="5"/>
  <c r="AF20" i="5"/>
  <c r="AG20" i="5"/>
  <c r="AG3" i="5"/>
  <c r="AF3" i="5"/>
  <c r="AE3" i="5"/>
  <c r="AE4" i="6"/>
  <c r="AF4" i="6"/>
  <c r="AG4" i="6"/>
  <c r="AE5" i="6"/>
  <c r="AF5" i="6"/>
  <c r="AG5" i="6"/>
  <c r="AE6" i="6"/>
  <c r="AF6" i="6"/>
  <c r="AG6" i="6"/>
  <c r="AE7" i="6"/>
  <c r="AF7" i="6"/>
  <c r="AG7" i="6"/>
  <c r="AE8" i="6"/>
  <c r="AF8" i="6"/>
  <c r="AG8" i="6"/>
  <c r="AE9" i="6"/>
  <c r="AF9" i="6"/>
  <c r="AG9" i="6"/>
  <c r="AE10" i="6"/>
  <c r="AF10" i="6"/>
  <c r="AG10" i="6"/>
  <c r="AE11" i="6"/>
  <c r="AF11" i="6"/>
  <c r="AG11" i="6"/>
  <c r="AE12" i="6"/>
  <c r="AF12" i="6"/>
  <c r="AG12" i="6"/>
  <c r="AE13" i="6"/>
  <c r="AF13" i="6"/>
  <c r="AG13" i="6"/>
  <c r="AE14" i="6"/>
  <c r="AF14" i="6"/>
  <c r="AE15" i="6"/>
  <c r="AF15" i="6"/>
  <c r="AG15" i="6"/>
  <c r="AE16" i="6"/>
  <c r="AF16" i="6"/>
  <c r="AG16" i="6"/>
  <c r="AE17" i="6"/>
  <c r="AF17" i="6"/>
  <c r="AG17" i="6"/>
  <c r="AE18" i="6"/>
  <c r="AF18" i="6"/>
  <c r="AG18" i="6"/>
  <c r="AE19" i="6"/>
  <c r="AF19" i="6"/>
  <c r="AG19" i="6"/>
  <c r="AE20" i="6"/>
  <c r="AF20" i="6"/>
  <c r="AG20" i="6"/>
  <c r="AG3" i="6"/>
  <c r="AF3" i="6"/>
  <c r="AE3" i="6"/>
  <c r="AH14" i="5"/>
  <c r="I4" i="5"/>
  <c r="U4" i="5"/>
  <c r="O4" i="5"/>
  <c r="BJ13" i="6"/>
  <c r="BF13" i="6"/>
  <c r="BK13" i="5"/>
  <c r="BK12" i="5"/>
  <c r="BJ12" i="6"/>
  <c r="BH12" i="6"/>
  <c r="BF12" i="6"/>
  <c r="AB12" i="6"/>
  <c r="W12" i="6"/>
  <c r="H12" i="6"/>
  <c r="BI12" i="5"/>
  <c r="BG12" i="5"/>
  <c r="AV11" i="4"/>
  <c r="BF11" i="5"/>
  <c r="BJ11" i="5"/>
  <c r="BJ8" i="5"/>
  <c r="AV11" i="5"/>
  <c r="AB11" i="5"/>
  <c r="AB8" i="5"/>
  <c r="BI10" i="6"/>
  <c r="BG10" i="6"/>
  <c r="BE10" i="6"/>
  <c r="BI9" i="5"/>
  <c r="BG9" i="5"/>
  <c r="BH9" i="6"/>
  <c r="W9" i="6"/>
  <c r="BB7" i="6"/>
  <c r="BB3" i="6"/>
  <c r="BB4" i="6"/>
  <c r="BB5" i="6"/>
  <c r="BB6" i="6"/>
  <c r="BA7" i="6"/>
  <c r="BA3" i="6"/>
  <c r="BA4" i="6"/>
  <c r="BA5" i="6"/>
  <c r="BA6" i="6"/>
  <c r="BA8" i="6"/>
  <c r="BA9" i="6"/>
  <c r="BA10" i="6"/>
  <c r="BA11" i="6"/>
  <c r="BA12" i="6"/>
  <c r="BA13" i="6"/>
  <c r="BA14" i="6"/>
  <c r="BA15" i="6"/>
  <c r="BA16" i="6"/>
  <c r="BA17" i="6"/>
  <c r="BA18" i="6"/>
  <c r="BA19" i="6"/>
  <c r="BA4" i="5"/>
  <c r="BA5" i="5"/>
  <c r="BA6" i="5"/>
  <c r="BA7" i="5"/>
  <c r="BA8" i="5"/>
  <c r="BA9" i="5"/>
  <c r="BA10" i="5"/>
  <c r="BA11" i="5"/>
  <c r="BA12" i="5"/>
  <c r="BA13" i="5"/>
  <c r="BA14" i="5"/>
  <c r="BA15" i="5"/>
  <c r="BA16" i="5"/>
  <c r="BA17" i="5"/>
  <c r="BA18" i="5"/>
  <c r="BA19" i="5"/>
  <c r="BC7" i="6"/>
  <c r="BD7" i="6"/>
  <c r="BE7" i="6"/>
  <c r="BF7" i="6"/>
  <c r="BG7" i="6"/>
  <c r="BH7" i="6"/>
  <c r="BI7" i="6"/>
  <c r="BJ7" i="6"/>
  <c r="BK7" i="6"/>
  <c r="BL7" i="6"/>
  <c r="AV7" i="6"/>
  <c r="AW7" i="6"/>
  <c r="AX7" i="6"/>
  <c r="AY7" i="6"/>
  <c r="AZ7" i="6"/>
  <c r="BK6" i="6"/>
  <c r="BL6" i="6"/>
  <c r="AW6" i="6"/>
  <c r="AX6" i="6"/>
  <c r="AY6" i="6"/>
  <c r="AZ6" i="6"/>
  <c r="BC6" i="6"/>
  <c r="BD6" i="6"/>
  <c r="BE6" i="6"/>
  <c r="BF6" i="6"/>
  <c r="BG6" i="6"/>
  <c r="BI6" i="6"/>
  <c r="AV6" i="6"/>
  <c r="AV4" i="6"/>
  <c r="AW4" i="6"/>
  <c r="AX4" i="6"/>
  <c r="AY4" i="6"/>
  <c r="AZ4" i="6"/>
  <c r="BC4" i="6"/>
  <c r="BD4" i="6"/>
  <c r="BE4" i="6"/>
  <c r="BF4" i="6"/>
  <c r="BG4" i="6"/>
  <c r="BH4" i="6"/>
  <c r="BI4" i="6"/>
  <c r="BJ4" i="6"/>
  <c r="BK4" i="6"/>
  <c r="BL4" i="6"/>
  <c r="AV5" i="6"/>
  <c r="AW5" i="6"/>
  <c r="AX5" i="6"/>
  <c r="AY5" i="6"/>
  <c r="AZ5" i="6"/>
  <c r="BC5" i="6"/>
  <c r="BD5" i="6"/>
  <c r="BE5" i="6"/>
  <c r="BF5" i="6"/>
  <c r="BG5" i="6"/>
  <c r="BH5" i="6"/>
  <c r="BI5" i="6"/>
  <c r="BJ5" i="6"/>
  <c r="BK5" i="6"/>
  <c r="BL5" i="6"/>
  <c r="BL3" i="6"/>
  <c r="BK3" i="6"/>
  <c r="BJ3" i="6"/>
  <c r="BI3" i="6"/>
  <c r="BH3" i="6"/>
  <c r="BG3" i="6"/>
  <c r="BF3" i="6"/>
  <c r="BE3" i="6"/>
  <c r="BD3" i="6"/>
  <c r="BC3" i="6"/>
  <c r="AZ3" i="6"/>
  <c r="AY3" i="6"/>
  <c r="AX3" i="6"/>
  <c r="AW3" i="6"/>
  <c r="AV3" i="6"/>
  <c r="AV8" i="6"/>
  <c r="AW8" i="6"/>
  <c r="AX8" i="6"/>
  <c r="AY8" i="6"/>
  <c r="AZ8" i="6"/>
  <c r="BB8" i="6"/>
  <c r="BC8" i="6"/>
  <c r="BD8" i="6"/>
  <c r="BE8" i="6"/>
  <c r="BF8" i="6"/>
  <c r="BG8" i="6"/>
  <c r="BH8" i="6"/>
  <c r="BI8" i="6"/>
  <c r="BJ8" i="6"/>
  <c r="BK8" i="6"/>
  <c r="BL8" i="6"/>
  <c r="AV9" i="6"/>
  <c r="AW9" i="6"/>
  <c r="AX9" i="6"/>
  <c r="AY9" i="6"/>
  <c r="AZ9" i="6"/>
  <c r="BB9" i="6"/>
  <c r="BC9" i="6"/>
  <c r="BD9" i="6"/>
  <c r="BE9" i="6"/>
  <c r="BF9" i="6"/>
  <c r="BG9" i="6"/>
  <c r="BI9" i="6"/>
  <c r="BJ9" i="6"/>
  <c r="BK9" i="6"/>
  <c r="BL9" i="6"/>
  <c r="AW10" i="6"/>
  <c r="AX10" i="6"/>
  <c r="AY10" i="6"/>
  <c r="AZ10" i="6"/>
  <c r="BB10" i="6"/>
  <c r="BC10" i="6"/>
  <c r="BD10" i="6"/>
  <c r="BF10" i="6"/>
  <c r="BH10" i="6"/>
  <c r="BJ10" i="6"/>
  <c r="BK10" i="6"/>
  <c r="BL10" i="6"/>
  <c r="AW11" i="6"/>
  <c r="AX11" i="6"/>
  <c r="AY11" i="6"/>
  <c r="AZ11" i="6"/>
  <c r="BB11" i="6"/>
  <c r="BC11" i="6"/>
  <c r="BD11" i="6"/>
  <c r="BE11" i="6"/>
  <c r="BF11" i="6"/>
  <c r="BG11" i="6"/>
  <c r="BH11" i="6"/>
  <c r="BI11" i="6"/>
  <c r="BJ11" i="6"/>
  <c r="BK11" i="6"/>
  <c r="BL11" i="6"/>
  <c r="AV12" i="6"/>
  <c r="AW12" i="6"/>
  <c r="AX12" i="6"/>
  <c r="AY12" i="6"/>
  <c r="AZ12" i="6"/>
  <c r="BB12" i="6"/>
  <c r="BC12" i="6"/>
  <c r="BD12" i="6"/>
  <c r="BE12" i="6"/>
  <c r="BG12" i="6"/>
  <c r="BI12" i="6"/>
  <c r="BK12" i="6"/>
  <c r="BL12" i="6"/>
  <c r="AV13" i="6"/>
  <c r="AW13" i="6"/>
  <c r="AX13" i="6"/>
  <c r="AY13" i="6"/>
  <c r="AZ13" i="6"/>
  <c r="BC13" i="6"/>
  <c r="BD13" i="6"/>
  <c r="BE13" i="6"/>
  <c r="BG13" i="6"/>
  <c r="BH13" i="6"/>
  <c r="BI13" i="6"/>
  <c r="BK13" i="6"/>
  <c r="BL13" i="6"/>
  <c r="AV14" i="6"/>
  <c r="AW14" i="6"/>
  <c r="AX14" i="6"/>
  <c r="AY14" i="6"/>
  <c r="AZ14" i="6"/>
  <c r="BB14" i="6"/>
  <c r="BC14" i="6"/>
  <c r="BD14" i="6"/>
  <c r="BE14" i="6"/>
  <c r="BF14" i="6"/>
  <c r="BG14" i="6"/>
  <c r="BH14" i="6"/>
  <c r="BI14" i="6"/>
  <c r="BJ14" i="6"/>
  <c r="BK14" i="6"/>
  <c r="BL14" i="6"/>
  <c r="AV15" i="6"/>
  <c r="AW15" i="6"/>
  <c r="AX15" i="6"/>
  <c r="AY15" i="6"/>
  <c r="AZ15" i="6"/>
  <c r="BB15" i="6"/>
  <c r="BC15" i="6"/>
  <c r="BD15" i="6"/>
  <c r="BE15" i="6"/>
  <c r="BF15" i="6"/>
  <c r="BG15" i="6"/>
  <c r="BH15" i="6"/>
  <c r="BI15" i="6"/>
  <c r="BJ15" i="6"/>
  <c r="BK15" i="6"/>
  <c r="BL15" i="6"/>
  <c r="AV16" i="6"/>
  <c r="AW16" i="6"/>
  <c r="AX16" i="6"/>
  <c r="AY16" i="6"/>
  <c r="AZ16" i="6"/>
  <c r="BB16" i="6"/>
  <c r="BC16" i="6"/>
  <c r="BD16" i="6"/>
  <c r="BE16" i="6"/>
  <c r="BF16" i="6"/>
  <c r="BG16" i="6"/>
  <c r="BH16" i="6"/>
  <c r="BI16" i="6"/>
  <c r="BJ16" i="6"/>
  <c r="BK16" i="6"/>
  <c r="BL16" i="6"/>
  <c r="AV17" i="6"/>
  <c r="AW17" i="6"/>
  <c r="AX17" i="6"/>
  <c r="AY17" i="6"/>
  <c r="AZ17" i="6"/>
  <c r="BB17" i="6"/>
  <c r="BC17" i="6"/>
  <c r="BD17" i="6"/>
  <c r="BE17" i="6"/>
  <c r="BG17" i="6"/>
  <c r="BH17" i="6"/>
  <c r="BI17" i="6"/>
  <c r="BK17" i="6"/>
  <c r="BL17" i="6"/>
  <c r="AV18" i="6"/>
  <c r="AW18" i="6"/>
  <c r="AX18" i="6"/>
  <c r="AY18" i="6"/>
  <c r="AZ18" i="6"/>
  <c r="BB18" i="6"/>
  <c r="BC18" i="6"/>
  <c r="BD18" i="6"/>
  <c r="BE18" i="6"/>
  <c r="BF18" i="6"/>
  <c r="BG18" i="6"/>
  <c r="BI18" i="6"/>
  <c r="BJ18" i="6"/>
  <c r="BK18" i="6"/>
  <c r="BL18" i="6"/>
  <c r="AW19" i="6"/>
  <c r="AX19" i="6"/>
  <c r="AY19" i="6"/>
  <c r="AZ19" i="6"/>
  <c r="BB19" i="6"/>
  <c r="BC19" i="6"/>
  <c r="BD19" i="6"/>
  <c r="BE19" i="6"/>
  <c r="BF19" i="6"/>
  <c r="BG19" i="6"/>
  <c r="BH19" i="6"/>
  <c r="BI19" i="6"/>
  <c r="BJ19" i="6"/>
  <c r="BK19" i="6"/>
  <c r="BL19" i="6"/>
  <c r="BL20" i="6"/>
  <c r="BK20" i="6"/>
  <c r="BJ20" i="6"/>
  <c r="BI20" i="6"/>
  <c r="BH20" i="6"/>
  <c r="BG20" i="6"/>
  <c r="BF20" i="6"/>
  <c r="BE20" i="6"/>
  <c r="BD20" i="6"/>
  <c r="BC20" i="6"/>
  <c r="BB20" i="6"/>
  <c r="AZ20" i="6"/>
  <c r="AY20" i="6"/>
  <c r="AX20" i="6"/>
  <c r="AW20" i="6"/>
  <c r="AV20" i="6"/>
  <c r="BH4" i="5"/>
  <c r="BH5" i="5"/>
  <c r="BH7" i="5"/>
  <c r="BH8" i="5"/>
  <c r="BH9" i="5"/>
  <c r="BH10" i="5"/>
  <c r="BH11" i="5"/>
  <c r="BH12" i="5"/>
  <c r="BH13" i="5"/>
  <c r="BH14" i="5"/>
  <c r="BH15" i="5"/>
  <c r="BH16" i="5"/>
  <c r="BH17" i="5"/>
  <c r="BH19" i="5"/>
  <c r="BH20" i="5"/>
  <c r="BI4" i="5"/>
  <c r="BI5" i="5"/>
  <c r="BI6" i="5"/>
  <c r="BI7" i="5"/>
  <c r="BI8" i="5"/>
  <c r="BI10" i="5"/>
  <c r="BI11" i="5"/>
  <c r="BI13" i="5"/>
  <c r="BI14" i="5"/>
  <c r="BI15" i="5"/>
  <c r="BI16" i="5"/>
  <c r="BI17" i="5"/>
  <c r="BI18" i="5"/>
  <c r="BI19" i="5"/>
  <c r="BI20" i="5"/>
  <c r="BG4" i="5"/>
  <c r="BG5" i="5"/>
  <c r="BG6" i="5"/>
  <c r="BG7" i="5"/>
  <c r="BG8" i="5"/>
  <c r="BG10" i="5"/>
  <c r="BG11" i="5"/>
  <c r="BG13" i="5"/>
  <c r="BG14" i="5"/>
  <c r="BG15" i="5"/>
  <c r="BG16" i="5"/>
  <c r="BG17" i="5"/>
  <c r="BG18" i="5"/>
  <c r="BG19" i="5"/>
  <c r="BG20" i="5"/>
  <c r="BE4" i="5"/>
  <c r="BE5" i="5"/>
  <c r="BE6" i="5"/>
  <c r="BE7" i="5"/>
  <c r="BE8" i="5"/>
  <c r="BE9" i="5"/>
  <c r="BE10" i="5"/>
  <c r="BE11" i="5"/>
  <c r="BE12" i="5"/>
  <c r="BE13" i="5"/>
  <c r="BE14" i="5"/>
  <c r="BE15" i="5"/>
  <c r="BE16" i="5"/>
  <c r="BE17" i="5"/>
  <c r="BE18" i="5"/>
  <c r="BE19" i="5"/>
  <c r="BE20" i="5"/>
  <c r="BB4" i="5"/>
  <c r="BB5" i="5"/>
  <c r="BB6" i="5"/>
  <c r="BB7" i="5"/>
  <c r="BB8" i="5"/>
  <c r="BB9" i="5"/>
  <c r="BB10" i="5"/>
  <c r="BB11" i="5"/>
  <c r="BB12" i="5"/>
  <c r="BB14" i="5"/>
  <c r="BB15" i="5"/>
  <c r="BB16" i="5"/>
  <c r="BB17" i="5"/>
  <c r="BB18" i="5"/>
  <c r="BB19" i="5"/>
  <c r="BB20" i="5"/>
  <c r="AZ4" i="5"/>
  <c r="AZ5" i="5"/>
  <c r="AZ6" i="5"/>
  <c r="AZ7" i="5"/>
  <c r="AZ8" i="5"/>
  <c r="AZ9" i="5"/>
  <c r="AZ10" i="5"/>
  <c r="AZ11" i="5"/>
  <c r="AZ12" i="5"/>
  <c r="AZ13" i="5"/>
  <c r="AZ14" i="5"/>
  <c r="AZ15" i="5"/>
  <c r="AZ16" i="5"/>
  <c r="AZ17" i="5"/>
  <c r="AZ18" i="5"/>
  <c r="AZ19" i="5"/>
  <c r="AZ20" i="5"/>
  <c r="AY4" i="5"/>
  <c r="AY5" i="5"/>
  <c r="AY6" i="5"/>
  <c r="AY7" i="5"/>
  <c r="AY8" i="5"/>
  <c r="AY9" i="5"/>
  <c r="AY10" i="5"/>
  <c r="AY11" i="5"/>
  <c r="AY12" i="5"/>
  <c r="AY13" i="5"/>
  <c r="AY14" i="5"/>
  <c r="AY15" i="5"/>
  <c r="AY16" i="5"/>
  <c r="AY17" i="5"/>
  <c r="AY18" i="5"/>
  <c r="AY19" i="5"/>
  <c r="AY20" i="5"/>
  <c r="AX4" i="5"/>
  <c r="AX5" i="5"/>
  <c r="AX6" i="5"/>
  <c r="AX7" i="5"/>
  <c r="AX8" i="5"/>
  <c r="AX9" i="5"/>
  <c r="AX10" i="5"/>
  <c r="AX11" i="5"/>
  <c r="AX12" i="5"/>
  <c r="AX13" i="5"/>
  <c r="AX14" i="5"/>
  <c r="AX15" i="5"/>
  <c r="AX16" i="5"/>
  <c r="AX17" i="5"/>
  <c r="AX18" i="5"/>
  <c r="AX19" i="5"/>
  <c r="AX20" i="5"/>
  <c r="AW4" i="5"/>
  <c r="AW5" i="5"/>
  <c r="AW6" i="5"/>
  <c r="AW7" i="5"/>
  <c r="AW8" i="5"/>
  <c r="AW9" i="5"/>
  <c r="AW10" i="5"/>
  <c r="AW11" i="5"/>
  <c r="AW12" i="5"/>
  <c r="AW13" i="5"/>
  <c r="AW14" i="5"/>
  <c r="AW15" i="5"/>
  <c r="AW16" i="5"/>
  <c r="AW17" i="5"/>
  <c r="AW18" i="5"/>
  <c r="AW19" i="5"/>
  <c r="AW20" i="5"/>
  <c r="AV4" i="5"/>
  <c r="AV5" i="5"/>
  <c r="AV6" i="5"/>
  <c r="AV7" i="5"/>
  <c r="AV8" i="5"/>
  <c r="AV9" i="5"/>
  <c r="AV12" i="5"/>
  <c r="AV13" i="5"/>
  <c r="AV14" i="5"/>
  <c r="AV15" i="5"/>
  <c r="AV16" i="5"/>
  <c r="AV17" i="5"/>
  <c r="AV18" i="5"/>
  <c r="AV19" i="5"/>
  <c r="AV20" i="5"/>
  <c r="AI9" i="5"/>
  <c r="AA10" i="6"/>
  <c r="AA12" i="6"/>
  <c r="AA14" i="6"/>
  <c r="AA16" i="6"/>
  <c r="AA18" i="6"/>
  <c r="AA19" i="6"/>
  <c r="AA20" i="6"/>
  <c r="AA9" i="6"/>
  <c r="AA5" i="6"/>
  <c r="AA3" i="6"/>
  <c r="X10" i="6"/>
  <c r="X12" i="6"/>
  <c r="X13" i="6"/>
  <c r="X14" i="6"/>
  <c r="X15" i="6"/>
  <c r="X17" i="6"/>
  <c r="X18" i="6"/>
  <c r="X19" i="6"/>
  <c r="X9" i="6"/>
  <c r="X4" i="6"/>
  <c r="X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R7" i="6"/>
  <c r="AR6" i="6"/>
  <c r="AR4" i="6"/>
  <c r="AR5" i="6"/>
  <c r="AR8" i="6"/>
  <c r="AR9" i="6"/>
  <c r="AR10" i="6"/>
  <c r="AR11" i="6"/>
  <c r="AR12" i="6"/>
  <c r="AR13" i="6"/>
  <c r="AR14" i="6"/>
  <c r="AR15" i="6"/>
  <c r="AR16" i="6"/>
  <c r="AR17" i="6"/>
  <c r="AR18" i="6"/>
  <c r="AR19" i="6"/>
  <c r="AR20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O6" i="6"/>
  <c r="AO7" i="6"/>
  <c r="AO8" i="6"/>
  <c r="AO9" i="6"/>
  <c r="AO10" i="6"/>
  <c r="AO11" i="6"/>
  <c r="AO12" i="6"/>
  <c r="AO13" i="6"/>
  <c r="AO14" i="6"/>
  <c r="AO16" i="6"/>
  <c r="AO17" i="6"/>
  <c r="AO18" i="6"/>
  <c r="AO19" i="6"/>
  <c r="AO20" i="6"/>
  <c r="AN7" i="6"/>
  <c r="AN6" i="6"/>
  <c r="AN8" i="6"/>
  <c r="AN9" i="6"/>
  <c r="AN10" i="6"/>
  <c r="AN11" i="6"/>
  <c r="AN12" i="6"/>
  <c r="AN13" i="6"/>
  <c r="AN14" i="6"/>
  <c r="AN15" i="6"/>
  <c r="AN16" i="6"/>
  <c r="V16" i="6" s="1"/>
  <c r="AN17" i="6"/>
  <c r="AN18" i="6"/>
  <c r="AN19" i="6"/>
  <c r="AN20" i="6"/>
  <c r="AM7" i="6"/>
  <c r="AM4" i="6"/>
  <c r="AM5" i="6"/>
  <c r="AM6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L7" i="6"/>
  <c r="AL6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4" i="6"/>
  <c r="AN4" i="6"/>
  <c r="AO4" i="6"/>
  <c r="AP4" i="6"/>
  <c r="AQ4" i="6"/>
  <c r="AS4" i="6"/>
  <c r="AT4" i="6"/>
  <c r="AL5" i="6"/>
  <c r="AN5" i="6"/>
  <c r="AO5" i="6"/>
  <c r="AP5" i="6"/>
  <c r="AS5" i="6"/>
  <c r="AT5" i="6"/>
  <c r="AT3" i="6"/>
  <c r="AS3" i="6"/>
  <c r="AR3" i="6"/>
  <c r="AQ3" i="6"/>
  <c r="AP3" i="6"/>
  <c r="AO3" i="6"/>
  <c r="AN3" i="6"/>
  <c r="AM3" i="6"/>
  <c r="AL3" i="6"/>
  <c r="AS8" i="6"/>
  <c r="AT9" i="5"/>
  <c r="AT10" i="5"/>
  <c r="AT11" i="5"/>
  <c r="AT12" i="5"/>
  <c r="AT13" i="5"/>
  <c r="AT14" i="5"/>
  <c r="AT15" i="5"/>
  <c r="AT16" i="5"/>
  <c r="AT17" i="5"/>
  <c r="AT18" i="5"/>
  <c r="AT20" i="5"/>
  <c r="AT8" i="5"/>
  <c r="AT4" i="5"/>
  <c r="AT5" i="5"/>
  <c r="AT6" i="5"/>
  <c r="AT3" i="5"/>
  <c r="AA5" i="5"/>
  <c r="AA7" i="5"/>
  <c r="AA8" i="5"/>
  <c r="AA9" i="5"/>
  <c r="AA10" i="5"/>
  <c r="AA12" i="5"/>
  <c r="AA14" i="5"/>
  <c r="AA16" i="5"/>
  <c r="AA18" i="5"/>
  <c r="AA19" i="5"/>
  <c r="AA20" i="5"/>
  <c r="X18" i="5"/>
  <c r="X17" i="5"/>
  <c r="X16" i="5"/>
  <c r="X15" i="5"/>
  <c r="X14" i="5"/>
  <c r="X13" i="5"/>
  <c r="X12" i="5"/>
  <c r="X10" i="5"/>
  <c r="X6" i="5"/>
  <c r="X5" i="5"/>
  <c r="AT7" i="5"/>
  <c r="AR7" i="5"/>
  <c r="AR4" i="5"/>
  <c r="AR5" i="5"/>
  <c r="AR6" i="5"/>
  <c r="AR8" i="5"/>
  <c r="AR9" i="5"/>
  <c r="AR10" i="5"/>
  <c r="AR11" i="5"/>
  <c r="AR12" i="5"/>
  <c r="AR13" i="5"/>
  <c r="AR14" i="5"/>
  <c r="AR16" i="5"/>
  <c r="AR17" i="5"/>
  <c r="AR18" i="5"/>
  <c r="AR19" i="5"/>
  <c r="AR20" i="5"/>
  <c r="AR3" i="5"/>
  <c r="AQ7" i="5"/>
  <c r="AQ20" i="5"/>
  <c r="AQ19" i="5"/>
  <c r="AQ18" i="5"/>
  <c r="AQ17" i="5"/>
  <c r="AQ16" i="5"/>
  <c r="AQ15" i="5"/>
  <c r="AQ14" i="5"/>
  <c r="AQ13" i="5"/>
  <c r="AQ12" i="5"/>
  <c r="AQ11" i="5"/>
  <c r="AQ10" i="5"/>
  <c r="AQ9" i="5"/>
  <c r="AQ8" i="5"/>
  <c r="AQ6" i="5"/>
  <c r="AQ5" i="5"/>
  <c r="AQ4" i="5"/>
  <c r="AQ3" i="5"/>
  <c r="AP7" i="5"/>
  <c r="AP4" i="5"/>
  <c r="AP5" i="5"/>
  <c r="AP6" i="5"/>
  <c r="AP8" i="5"/>
  <c r="AP9" i="5"/>
  <c r="AP10" i="5"/>
  <c r="AP11" i="5"/>
  <c r="AP12" i="5"/>
  <c r="AP13" i="5"/>
  <c r="AP14" i="5"/>
  <c r="AP15" i="5"/>
  <c r="AP16" i="5"/>
  <c r="AP17" i="5"/>
  <c r="AP18" i="5"/>
  <c r="AP19" i="5"/>
  <c r="AP20" i="5"/>
  <c r="AP3" i="5"/>
  <c r="AN15" i="5"/>
  <c r="AN16" i="5"/>
  <c r="AN17" i="5"/>
  <c r="AN18" i="5"/>
  <c r="AN19" i="5"/>
  <c r="AN20" i="5"/>
  <c r="AN9" i="5"/>
  <c r="AN10" i="5"/>
  <c r="AN11" i="5"/>
  <c r="AN12" i="5"/>
  <c r="AN13" i="5"/>
  <c r="AN14" i="5"/>
  <c r="AN8" i="5"/>
  <c r="AN3" i="5"/>
  <c r="AN4" i="5"/>
  <c r="AN5" i="5"/>
  <c r="AN6" i="5"/>
  <c r="V16" i="5"/>
  <c r="AM4" i="5"/>
  <c r="AM5" i="5"/>
  <c r="AM6" i="5"/>
  <c r="AM9" i="5"/>
  <c r="AM10" i="5"/>
  <c r="AM11" i="5"/>
  <c r="AM12" i="5"/>
  <c r="AM13" i="5"/>
  <c r="AM14" i="5"/>
  <c r="AM15" i="5"/>
  <c r="AM16" i="5"/>
  <c r="AM17" i="5"/>
  <c r="AM18" i="5"/>
  <c r="AM20" i="5"/>
  <c r="AM8" i="5"/>
  <c r="AM7" i="5"/>
  <c r="AL7" i="5"/>
  <c r="AL4" i="5"/>
  <c r="AL5" i="5"/>
  <c r="AL6" i="5"/>
  <c r="AL8" i="5"/>
  <c r="AL9" i="5"/>
  <c r="AL10" i="5"/>
  <c r="AL11" i="5"/>
  <c r="AL12" i="5"/>
  <c r="AL13" i="5"/>
  <c r="AL14" i="5"/>
  <c r="AL16" i="5"/>
  <c r="AL17" i="5"/>
  <c r="AL18" i="5"/>
  <c r="AL20" i="5"/>
  <c r="AL3" i="5"/>
  <c r="AO9" i="5"/>
  <c r="AO10" i="5"/>
  <c r="AO11" i="5"/>
  <c r="AO12" i="5"/>
  <c r="AO13" i="5"/>
  <c r="AO14" i="5"/>
  <c r="AO15" i="5"/>
  <c r="AO16" i="5"/>
  <c r="AO17" i="5"/>
  <c r="AO18" i="5"/>
  <c r="AO19" i="5"/>
  <c r="AO20" i="5"/>
  <c r="AO8" i="5"/>
  <c r="AO4" i="5"/>
  <c r="AO5" i="5"/>
  <c r="AO6" i="5"/>
  <c r="AO3" i="5"/>
  <c r="X6" i="6"/>
  <c r="X8" i="4"/>
  <c r="X4" i="5"/>
  <c r="AB8" i="6"/>
  <c r="AA8" i="6"/>
  <c r="AI8" i="5"/>
  <c r="BC8" i="5"/>
  <c r="AI7" i="6"/>
  <c r="AA7" i="6"/>
  <c r="AH7" i="5"/>
  <c r="AI7" i="5"/>
  <c r="BJ6" i="6"/>
  <c r="AB6" i="6"/>
  <c r="Y6" i="6"/>
  <c r="Y4" i="6"/>
  <c r="Y5" i="5"/>
  <c r="Y6" i="5"/>
  <c r="BF6" i="5"/>
  <c r="Z4" i="6"/>
  <c r="AI4" i="5"/>
  <c r="AJ3" i="4"/>
  <c r="AJ3" i="8" s="1"/>
  <c r="BC4" i="5"/>
  <c r="BD4" i="5"/>
  <c r="BF4" i="5"/>
  <c r="BJ4" i="5"/>
  <c r="BK4" i="5"/>
  <c r="BL4" i="5"/>
  <c r="BC5" i="5"/>
  <c r="BD5" i="5"/>
  <c r="BF5" i="5"/>
  <c r="BJ5" i="5"/>
  <c r="BK5" i="5"/>
  <c r="BL5" i="5"/>
  <c r="BC6" i="5"/>
  <c r="BD6" i="5"/>
  <c r="BJ6" i="5"/>
  <c r="BK6" i="5"/>
  <c r="BL6" i="5"/>
  <c r="BC7" i="5"/>
  <c r="BD7" i="5"/>
  <c r="BF7" i="5"/>
  <c r="BJ7" i="5"/>
  <c r="BK7" i="5"/>
  <c r="BL7" i="5"/>
  <c r="BD8" i="5"/>
  <c r="BF8" i="5"/>
  <c r="BK8" i="5"/>
  <c r="BL8" i="5"/>
  <c r="BC9" i="5"/>
  <c r="BD9" i="5"/>
  <c r="BF9" i="5"/>
  <c r="BJ9" i="5"/>
  <c r="BK9" i="5"/>
  <c r="BL9" i="5"/>
  <c r="BC10" i="5"/>
  <c r="BD10" i="5"/>
  <c r="BF10" i="5"/>
  <c r="BJ10" i="5"/>
  <c r="BK10" i="5"/>
  <c r="BL10" i="5"/>
  <c r="BC11" i="5"/>
  <c r="BD11" i="5"/>
  <c r="BK11" i="5"/>
  <c r="BL11" i="5"/>
  <c r="BC12" i="5"/>
  <c r="BD12" i="5"/>
  <c r="BF12" i="5"/>
  <c r="BJ12" i="5"/>
  <c r="BL12" i="5"/>
  <c r="BC13" i="5"/>
  <c r="BD13" i="5"/>
  <c r="BF13" i="5"/>
  <c r="BJ13" i="5"/>
  <c r="BL13" i="5"/>
  <c r="BC14" i="5"/>
  <c r="BD14" i="5"/>
  <c r="BF14" i="5"/>
  <c r="BJ14" i="5"/>
  <c r="BK14" i="5"/>
  <c r="BL14" i="5"/>
  <c r="BC15" i="5"/>
  <c r="BD15" i="5"/>
  <c r="BF15" i="5"/>
  <c r="BJ15" i="5"/>
  <c r="BK15" i="5"/>
  <c r="BL15" i="5"/>
  <c r="BC16" i="5"/>
  <c r="BD16" i="5"/>
  <c r="BF16" i="5"/>
  <c r="BJ16" i="5"/>
  <c r="BK16" i="5"/>
  <c r="BL16" i="5"/>
  <c r="BC17" i="5"/>
  <c r="BD17" i="5"/>
  <c r="BF17" i="5"/>
  <c r="BJ17" i="5"/>
  <c r="BK17" i="5"/>
  <c r="BL17" i="5"/>
  <c r="BC18" i="5"/>
  <c r="BD18" i="5"/>
  <c r="BF18" i="5"/>
  <c r="BJ18" i="5"/>
  <c r="BK18" i="5"/>
  <c r="BL18" i="5"/>
  <c r="BC19" i="5"/>
  <c r="BD19" i="5"/>
  <c r="BF19" i="5"/>
  <c r="BJ19" i="5"/>
  <c r="BK19" i="5"/>
  <c r="BL19" i="5"/>
  <c r="BC20" i="5"/>
  <c r="BD20" i="5"/>
  <c r="BF20" i="5"/>
  <c r="BJ20" i="5"/>
  <c r="BK20" i="5"/>
  <c r="BL20" i="5"/>
  <c r="Y4" i="5"/>
  <c r="Z4" i="5"/>
  <c r="AB4" i="5"/>
  <c r="AC4" i="5"/>
  <c r="AD4" i="5"/>
  <c r="AH4" i="5"/>
  <c r="AS4" i="5"/>
  <c r="Z5" i="5"/>
  <c r="AB5" i="5"/>
  <c r="AC5" i="5"/>
  <c r="AD5" i="5"/>
  <c r="AH5" i="5"/>
  <c r="AI5" i="5"/>
  <c r="AS5" i="5"/>
  <c r="Z6" i="5"/>
  <c r="AB6" i="5"/>
  <c r="AC6" i="5"/>
  <c r="AD6" i="5"/>
  <c r="AH6" i="5"/>
  <c r="AI6" i="5"/>
  <c r="AS6" i="5"/>
  <c r="Y7" i="5"/>
  <c r="Z7" i="5"/>
  <c r="AB7" i="5"/>
  <c r="AC7" i="5"/>
  <c r="AD7" i="5"/>
  <c r="AO7" i="5"/>
  <c r="AS7" i="5"/>
  <c r="Z8" i="5"/>
  <c r="AC8" i="5"/>
  <c r="AD8" i="5"/>
  <c r="AH8" i="5"/>
  <c r="AS8" i="5"/>
  <c r="Y9" i="5"/>
  <c r="Z9" i="5"/>
  <c r="AB9" i="5"/>
  <c r="AC9" i="5"/>
  <c r="AD9" i="5"/>
  <c r="AH9" i="5"/>
  <c r="AS9" i="5"/>
  <c r="Y10" i="5"/>
  <c r="Z10" i="5"/>
  <c r="AB10" i="5"/>
  <c r="AC10" i="5"/>
  <c r="AD10" i="5"/>
  <c r="AH10" i="5"/>
  <c r="AI10" i="5"/>
  <c r="AS10" i="5"/>
  <c r="Y11" i="5"/>
  <c r="Z11" i="5"/>
  <c r="AC11" i="5"/>
  <c r="AD11" i="5"/>
  <c r="AH11" i="5"/>
  <c r="AI11" i="5"/>
  <c r="AS11" i="5"/>
  <c r="Y12" i="5"/>
  <c r="Z12" i="5"/>
  <c r="AB12" i="5"/>
  <c r="AC12" i="5"/>
  <c r="AD12" i="5"/>
  <c r="AH12" i="5"/>
  <c r="AI12" i="5"/>
  <c r="AS12" i="5"/>
  <c r="Y13" i="5"/>
  <c r="Z13" i="5"/>
  <c r="AB13" i="5"/>
  <c r="AC13" i="5"/>
  <c r="AD13" i="5"/>
  <c r="AH13" i="5"/>
  <c r="AI13" i="5"/>
  <c r="AS13" i="5"/>
  <c r="Y14" i="5"/>
  <c r="Z14" i="5"/>
  <c r="AB14" i="5"/>
  <c r="AC14" i="5"/>
  <c r="AD14" i="5"/>
  <c r="AI14" i="5"/>
  <c r="AS14" i="5"/>
  <c r="Y15" i="5"/>
  <c r="Z15" i="5"/>
  <c r="AB15" i="5"/>
  <c r="AC15" i="5"/>
  <c r="AD15" i="5"/>
  <c r="AH15" i="5"/>
  <c r="AI15" i="5"/>
  <c r="AS15" i="5"/>
  <c r="Z16" i="5"/>
  <c r="AB16" i="5"/>
  <c r="AC16" i="5"/>
  <c r="AH16" i="5"/>
  <c r="AI16" i="5"/>
  <c r="AS16" i="5"/>
  <c r="Y17" i="5"/>
  <c r="Z17" i="5"/>
  <c r="AB17" i="5"/>
  <c r="AC17" i="5"/>
  <c r="AD17" i="5"/>
  <c r="AH17" i="5"/>
  <c r="AI17" i="5"/>
  <c r="AS17" i="5"/>
  <c r="Y18" i="5"/>
  <c r="Z18" i="5"/>
  <c r="AB18" i="5"/>
  <c r="AC18" i="5"/>
  <c r="AD18" i="5"/>
  <c r="AH18" i="5"/>
  <c r="AI18" i="5"/>
  <c r="AS18" i="5"/>
  <c r="Y19" i="5"/>
  <c r="Z19" i="5"/>
  <c r="AB19" i="5"/>
  <c r="AC19" i="5"/>
  <c r="AD19" i="5"/>
  <c r="AH19" i="5"/>
  <c r="AS19" i="5"/>
  <c r="Y20" i="5"/>
  <c r="Z20" i="5"/>
  <c r="AB20" i="5"/>
  <c r="AC20" i="5"/>
  <c r="AD20" i="5"/>
  <c r="AH20" i="5"/>
  <c r="AS20" i="5"/>
  <c r="Y3" i="6"/>
  <c r="Z3" i="6"/>
  <c r="AB3" i="6"/>
  <c r="AC3" i="6"/>
  <c r="AD3" i="6"/>
  <c r="AH3" i="6"/>
  <c r="AI3" i="6"/>
  <c r="AJ3" i="6" s="1"/>
  <c r="AB4" i="6"/>
  <c r="AC4" i="6"/>
  <c r="AD4" i="6"/>
  <c r="AH4" i="6"/>
  <c r="AI4" i="6"/>
  <c r="Y5" i="6"/>
  <c r="Z5" i="6"/>
  <c r="AB5" i="6"/>
  <c r="AC5" i="6"/>
  <c r="AD5" i="6"/>
  <c r="AH5" i="6"/>
  <c r="AI5" i="6"/>
  <c r="Z6" i="6"/>
  <c r="AC6" i="6"/>
  <c r="AD6" i="6"/>
  <c r="AH6" i="6"/>
  <c r="AI6" i="6"/>
  <c r="AS6" i="6"/>
  <c r="Y7" i="6"/>
  <c r="Z7" i="6"/>
  <c r="AB7" i="6"/>
  <c r="AC7" i="6"/>
  <c r="AD7" i="6"/>
  <c r="AH7" i="6"/>
  <c r="AS7" i="6"/>
  <c r="Z8" i="6"/>
  <c r="AC8" i="6"/>
  <c r="AD8" i="6"/>
  <c r="AH8" i="6"/>
  <c r="AI8" i="6"/>
  <c r="Y9" i="6"/>
  <c r="Z9" i="6"/>
  <c r="AB9" i="6"/>
  <c r="AC9" i="6"/>
  <c r="AD9" i="6"/>
  <c r="AH9" i="6"/>
  <c r="AI9" i="6"/>
  <c r="AS9" i="6"/>
  <c r="Y10" i="6"/>
  <c r="Z10" i="6"/>
  <c r="AB10" i="6"/>
  <c r="AC10" i="6"/>
  <c r="AD10" i="6"/>
  <c r="AH10" i="6"/>
  <c r="AI10" i="6"/>
  <c r="AS10" i="6"/>
  <c r="Y11" i="6"/>
  <c r="Z11" i="6"/>
  <c r="AB11" i="6"/>
  <c r="AC11" i="6"/>
  <c r="AD11" i="6"/>
  <c r="AH11" i="6"/>
  <c r="AI11" i="6"/>
  <c r="AS11" i="6"/>
  <c r="Y12" i="6"/>
  <c r="Z12" i="6"/>
  <c r="AC12" i="6"/>
  <c r="AD12" i="6"/>
  <c r="AH12" i="6"/>
  <c r="AI12" i="6"/>
  <c r="AS12" i="6"/>
  <c r="Y13" i="6"/>
  <c r="Z13" i="6"/>
  <c r="AB13" i="6"/>
  <c r="AC13" i="6"/>
  <c r="AD13" i="6"/>
  <c r="AH13" i="6"/>
  <c r="AI13" i="6"/>
  <c r="AS13" i="6"/>
  <c r="Y14" i="6"/>
  <c r="Z14" i="6"/>
  <c r="AB14" i="6"/>
  <c r="AC14" i="6"/>
  <c r="AD14" i="6"/>
  <c r="AH14" i="6"/>
  <c r="AI14" i="6"/>
  <c r="AS14" i="6"/>
  <c r="Y15" i="6"/>
  <c r="Z15" i="6"/>
  <c r="AB15" i="6"/>
  <c r="AC15" i="6"/>
  <c r="AD15" i="6"/>
  <c r="AH15" i="6"/>
  <c r="AI15" i="6"/>
  <c r="AS15" i="6"/>
  <c r="Y16" i="6"/>
  <c r="AB16" i="6"/>
  <c r="AC16" i="6"/>
  <c r="AD16" i="6"/>
  <c r="AH16" i="6"/>
  <c r="AS16" i="6"/>
  <c r="Y17" i="6"/>
  <c r="Z17" i="6"/>
  <c r="AC17" i="6"/>
  <c r="AD17" i="6"/>
  <c r="AH17" i="6"/>
  <c r="AI17" i="6"/>
  <c r="AS17" i="6"/>
  <c r="Y18" i="6"/>
  <c r="Z18" i="6"/>
  <c r="AB18" i="6"/>
  <c r="AC18" i="6"/>
  <c r="AD18" i="6"/>
  <c r="AS18" i="6"/>
  <c r="Y19" i="6"/>
  <c r="Z19" i="6"/>
  <c r="AB19" i="6"/>
  <c r="AC19" i="6"/>
  <c r="AD19" i="6"/>
  <c r="AH19" i="6"/>
  <c r="AI19" i="6"/>
  <c r="AS19" i="6"/>
  <c r="Y20" i="6"/>
  <c r="Z20" i="6"/>
  <c r="AB20" i="6"/>
  <c r="AC20" i="6"/>
  <c r="AD20" i="6"/>
  <c r="AH20" i="6"/>
  <c r="AS20" i="6"/>
  <c r="W14" i="6"/>
  <c r="W15" i="6"/>
  <c r="W16" i="6"/>
  <c r="W17" i="6"/>
  <c r="W18" i="6"/>
  <c r="W19" i="6"/>
  <c r="W20" i="6"/>
  <c r="W13" i="6"/>
  <c r="W4" i="6"/>
  <c r="W5" i="6"/>
  <c r="W6" i="6"/>
  <c r="W7" i="6"/>
  <c r="W8" i="6"/>
  <c r="W10" i="6"/>
  <c r="W11" i="6"/>
  <c r="W3" i="6"/>
  <c r="H5" i="6"/>
  <c r="I5" i="6"/>
  <c r="J5" i="6"/>
  <c r="K5" i="6"/>
  <c r="L5" i="6"/>
  <c r="L5" i="5"/>
  <c r="K5" i="5"/>
  <c r="J5" i="5"/>
  <c r="I5" i="5"/>
  <c r="H5" i="5"/>
  <c r="J12" i="5"/>
  <c r="I12" i="5"/>
  <c r="H12" i="5"/>
  <c r="U12" i="5"/>
  <c r="U9" i="5"/>
  <c r="W4" i="5"/>
  <c r="W5" i="5"/>
  <c r="W6" i="5"/>
  <c r="W7" i="5"/>
  <c r="W8" i="5"/>
  <c r="W9" i="5"/>
  <c r="W10" i="5"/>
  <c r="W11" i="5"/>
  <c r="W12" i="5"/>
  <c r="W13" i="5"/>
  <c r="W14" i="5"/>
  <c r="W15" i="5"/>
  <c r="W17" i="5"/>
  <c r="W19" i="5"/>
  <c r="W20" i="5"/>
  <c r="K6" i="5"/>
  <c r="J6" i="5"/>
  <c r="I6" i="5"/>
  <c r="H6" i="5"/>
  <c r="U3" i="5"/>
  <c r="U5" i="5"/>
  <c r="U6" i="5"/>
  <c r="U7" i="5"/>
  <c r="U8" i="5"/>
  <c r="O5" i="6"/>
  <c r="T3" i="6"/>
  <c r="U3" i="6"/>
  <c r="O19" i="6"/>
  <c r="Q19" i="6"/>
  <c r="R19" i="6"/>
  <c r="S19" i="6"/>
  <c r="P19" i="6"/>
  <c r="H19" i="6"/>
  <c r="I19" i="6"/>
  <c r="J19" i="6"/>
  <c r="K19" i="6"/>
  <c r="L19" i="6"/>
  <c r="T19" i="6"/>
  <c r="H20" i="6"/>
  <c r="I20" i="6"/>
  <c r="J20" i="6"/>
  <c r="K20" i="6"/>
  <c r="L20" i="6"/>
  <c r="O20" i="6"/>
  <c r="P20" i="6"/>
  <c r="Q20" i="6"/>
  <c r="R20" i="6"/>
  <c r="S20" i="6"/>
  <c r="T20" i="6"/>
  <c r="U6" i="6"/>
  <c r="H11" i="6"/>
  <c r="K16" i="6"/>
  <c r="L16" i="6"/>
  <c r="O16" i="6"/>
  <c r="P16" i="6"/>
  <c r="Q16" i="6"/>
  <c r="R16" i="6"/>
  <c r="S16" i="6"/>
  <c r="T16" i="6"/>
  <c r="J17" i="6"/>
  <c r="K17" i="6"/>
  <c r="L17" i="6"/>
  <c r="O17" i="6"/>
  <c r="P17" i="6"/>
  <c r="Q17" i="6"/>
  <c r="R17" i="6"/>
  <c r="S17" i="6"/>
  <c r="T17" i="6"/>
  <c r="H18" i="6"/>
  <c r="I18" i="6"/>
  <c r="J18" i="6"/>
  <c r="K18" i="6"/>
  <c r="L18" i="6"/>
  <c r="O18" i="6"/>
  <c r="P18" i="6"/>
  <c r="Q18" i="6"/>
  <c r="R18" i="6"/>
  <c r="S18" i="6"/>
  <c r="T18" i="6"/>
  <c r="P15" i="6"/>
  <c r="Q15" i="6"/>
  <c r="R15" i="6"/>
  <c r="S15" i="6"/>
  <c r="O15" i="6"/>
  <c r="H13" i="6"/>
  <c r="I13" i="6"/>
  <c r="J13" i="6"/>
  <c r="K13" i="6"/>
  <c r="L13" i="6"/>
  <c r="O13" i="6"/>
  <c r="P13" i="6"/>
  <c r="Q13" i="6"/>
  <c r="R13" i="6"/>
  <c r="S13" i="6"/>
  <c r="T13" i="6"/>
  <c r="H14" i="6"/>
  <c r="I14" i="6"/>
  <c r="J14" i="6"/>
  <c r="K14" i="6"/>
  <c r="L14" i="6"/>
  <c r="O14" i="6"/>
  <c r="P14" i="6"/>
  <c r="Q14" i="6"/>
  <c r="R14" i="6"/>
  <c r="S14" i="6"/>
  <c r="T14" i="6"/>
  <c r="H15" i="6"/>
  <c r="I15" i="6"/>
  <c r="J15" i="6"/>
  <c r="K15" i="6"/>
  <c r="L15" i="6"/>
  <c r="T15" i="6"/>
  <c r="J9" i="6"/>
  <c r="L9" i="6"/>
  <c r="K9" i="6"/>
  <c r="I9" i="6"/>
  <c r="O9" i="6"/>
  <c r="P9" i="6"/>
  <c r="Q9" i="6"/>
  <c r="R9" i="6"/>
  <c r="S9" i="6"/>
  <c r="T9" i="6"/>
  <c r="I10" i="6"/>
  <c r="J10" i="6"/>
  <c r="K10" i="6"/>
  <c r="L10" i="6"/>
  <c r="O10" i="6"/>
  <c r="P10" i="6"/>
  <c r="Q10" i="6"/>
  <c r="R10" i="6"/>
  <c r="S10" i="6"/>
  <c r="T10" i="6"/>
  <c r="I11" i="6"/>
  <c r="J11" i="6"/>
  <c r="K11" i="6"/>
  <c r="L11" i="6"/>
  <c r="O11" i="6"/>
  <c r="P11" i="6"/>
  <c r="Q11" i="6"/>
  <c r="R11" i="6"/>
  <c r="S11" i="6"/>
  <c r="T11" i="6"/>
  <c r="I12" i="6"/>
  <c r="J12" i="6"/>
  <c r="K12" i="6"/>
  <c r="L12" i="6"/>
  <c r="O12" i="6"/>
  <c r="P12" i="6"/>
  <c r="Q12" i="6"/>
  <c r="R12" i="6"/>
  <c r="S12" i="6"/>
  <c r="T12" i="6"/>
  <c r="I3" i="6"/>
  <c r="J3" i="6"/>
  <c r="K3" i="6"/>
  <c r="L3" i="6"/>
  <c r="O3" i="6"/>
  <c r="P3" i="6"/>
  <c r="Q3" i="6"/>
  <c r="R3" i="6"/>
  <c r="S3" i="6"/>
  <c r="I4" i="6"/>
  <c r="J4" i="6"/>
  <c r="K4" i="6"/>
  <c r="L4" i="6"/>
  <c r="O4" i="6"/>
  <c r="P4" i="6"/>
  <c r="Q4" i="6"/>
  <c r="R4" i="6"/>
  <c r="S4" i="6"/>
  <c r="T4" i="6"/>
  <c r="P5" i="6"/>
  <c r="Q5" i="6"/>
  <c r="R5" i="6"/>
  <c r="S5" i="6"/>
  <c r="T5" i="6"/>
  <c r="I6" i="6"/>
  <c r="J6" i="6"/>
  <c r="K6" i="6"/>
  <c r="L6" i="6"/>
  <c r="O6" i="6"/>
  <c r="P6" i="6"/>
  <c r="Q6" i="6"/>
  <c r="R6" i="6"/>
  <c r="S6" i="6"/>
  <c r="T6" i="6"/>
  <c r="I7" i="6"/>
  <c r="J7" i="6"/>
  <c r="K7" i="6"/>
  <c r="L7" i="6"/>
  <c r="O7" i="6"/>
  <c r="P7" i="6"/>
  <c r="Q7" i="6"/>
  <c r="R7" i="6"/>
  <c r="S7" i="6"/>
  <c r="T7" i="6"/>
  <c r="I8" i="6"/>
  <c r="J8" i="6"/>
  <c r="K8" i="6"/>
  <c r="L8" i="6"/>
  <c r="O8" i="6"/>
  <c r="P8" i="6"/>
  <c r="Q8" i="6"/>
  <c r="R8" i="6"/>
  <c r="S8" i="6"/>
  <c r="T8" i="6"/>
  <c r="F3" i="6"/>
  <c r="H3" i="6"/>
  <c r="F4" i="6"/>
  <c r="H4" i="6"/>
  <c r="F5" i="6"/>
  <c r="F6" i="6"/>
  <c r="H6" i="6"/>
  <c r="F7" i="6"/>
  <c r="H7" i="6"/>
  <c r="F8" i="6"/>
  <c r="H8" i="6"/>
  <c r="F9" i="6"/>
  <c r="H9" i="6"/>
  <c r="F10" i="6"/>
  <c r="H10" i="6"/>
  <c r="F11" i="6"/>
  <c r="F12" i="6"/>
  <c r="F13" i="6"/>
  <c r="F14" i="6"/>
  <c r="F15" i="6"/>
  <c r="F16" i="6"/>
  <c r="F17" i="6"/>
  <c r="F18" i="6"/>
  <c r="F19" i="6"/>
  <c r="F20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3" i="6"/>
  <c r="O18" i="5"/>
  <c r="P18" i="5"/>
  <c r="Q18" i="5"/>
  <c r="R18" i="5"/>
  <c r="S18" i="5"/>
  <c r="T18" i="5"/>
  <c r="J19" i="5"/>
  <c r="K19" i="5"/>
  <c r="L19" i="5"/>
  <c r="O19" i="5"/>
  <c r="P19" i="5"/>
  <c r="Q19" i="5"/>
  <c r="R19" i="5"/>
  <c r="S19" i="5"/>
  <c r="T19" i="5"/>
  <c r="H20" i="5"/>
  <c r="I20" i="5"/>
  <c r="J20" i="5"/>
  <c r="K20" i="5"/>
  <c r="L20" i="5"/>
  <c r="O20" i="5"/>
  <c r="P20" i="5"/>
  <c r="Q20" i="5"/>
  <c r="R20" i="5"/>
  <c r="S20" i="5"/>
  <c r="T20" i="5"/>
  <c r="O17" i="5"/>
  <c r="P17" i="5"/>
  <c r="Q17" i="5"/>
  <c r="R17" i="5"/>
  <c r="S17" i="5"/>
  <c r="T17" i="5"/>
  <c r="L17" i="5"/>
  <c r="K17" i="5"/>
  <c r="J17" i="5"/>
  <c r="I17" i="5"/>
  <c r="H17" i="5"/>
  <c r="K16" i="5"/>
  <c r="L16" i="5"/>
  <c r="O16" i="5"/>
  <c r="P16" i="5"/>
  <c r="Q16" i="5"/>
  <c r="R16" i="5"/>
  <c r="S16" i="5"/>
  <c r="T16" i="5"/>
  <c r="J15" i="5"/>
  <c r="K15" i="5"/>
  <c r="L15" i="5"/>
  <c r="O15" i="5"/>
  <c r="P15" i="5"/>
  <c r="Q15" i="5"/>
  <c r="R15" i="5"/>
  <c r="S15" i="5"/>
  <c r="T15" i="5"/>
  <c r="J4" i="5"/>
  <c r="K4" i="5"/>
  <c r="L4" i="5"/>
  <c r="P4" i="5"/>
  <c r="Q4" i="5"/>
  <c r="R4" i="5"/>
  <c r="S4" i="5"/>
  <c r="T4" i="5"/>
  <c r="O5" i="5"/>
  <c r="P5" i="5"/>
  <c r="Q5" i="5"/>
  <c r="R5" i="5"/>
  <c r="S5" i="5"/>
  <c r="T5" i="5"/>
  <c r="L6" i="5"/>
  <c r="O6" i="5"/>
  <c r="P6" i="5"/>
  <c r="Q6" i="5"/>
  <c r="R6" i="5"/>
  <c r="S6" i="5"/>
  <c r="T6" i="5"/>
  <c r="H7" i="5"/>
  <c r="I7" i="5"/>
  <c r="J7" i="5"/>
  <c r="K7" i="5"/>
  <c r="L7" i="5"/>
  <c r="O7" i="5"/>
  <c r="P7" i="5"/>
  <c r="Q7" i="5"/>
  <c r="R7" i="5"/>
  <c r="S7" i="5"/>
  <c r="T7" i="5"/>
  <c r="H8" i="5"/>
  <c r="I8" i="5"/>
  <c r="J8" i="5"/>
  <c r="K8" i="5"/>
  <c r="L8" i="5"/>
  <c r="O8" i="5"/>
  <c r="P8" i="5"/>
  <c r="Q8" i="5"/>
  <c r="R8" i="5"/>
  <c r="S8" i="5"/>
  <c r="T8" i="5"/>
  <c r="H9" i="5"/>
  <c r="I9" i="5"/>
  <c r="J9" i="5"/>
  <c r="K9" i="5"/>
  <c r="L9" i="5"/>
  <c r="O9" i="5"/>
  <c r="P9" i="5"/>
  <c r="Q9" i="5"/>
  <c r="R9" i="5"/>
  <c r="S9" i="5"/>
  <c r="T9" i="5"/>
  <c r="H10" i="5"/>
  <c r="I10" i="5"/>
  <c r="J10" i="5"/>
  <c r="K10" i="5"/>
  <c r="L10" i="5"/>
  <c r="O10" i="5"/>
  <c r="P10" i="5"/>
  <c r="Q10" i="5"/>
  <c r="R10" i="5"/>
  <c r="S10" i="5"/>
  <c r="T10" i="5"/>
  <c r="H11" i="5"/>
  <c r="I11" i="5"/>
  <c r="J11" i="5"/>
  <c r="K11" i="5"/>
  <c r="L11" i="5"/>
  <c r="O11" i="5"/>
  <c r="P11" i="5"/>
  <c r="Q11" i="5"/>
  <c r="R11" i="5"/>
  <c r="S11" i="5"/>
  <c r="T11" i="5"/>
  <c r="K12" i="5"/>
  <c r="L12" i="5"/>
  <c r="O12" i="5"/>
  <c r="P12" i="5"/>
  <c r="Q12" i="5"/>
  <c r="R12" i="5"/>
  <c r="S12" i="5"/>
  <c r="T12" i="5"/>
  <c r="H13" i="5"/>
  <c r="I13" i="5"/>
  <c r="J13" i="5"/>
  <c r="K13" i="5"/>
  <c r="L13" i="5"/>
  <c r="O13" i="5"/>
  <c r="P13" i="5"/>
  <c r="Q13" i="5"/>
  <c r="R13" i="5"/>
  <c r="S13" i="5"/>
  <c r="T13" i="5"/>
  <c r="H14" i="5"/>
  <c r="I14" i="5"/>
  <c r="J14" i="5"/>
  <c r="K14" i="5"/>
  <c r="L14" i="5"/>
  <c r="O14" i="5"/>
  <c r="P14" i="5"/>
  <c r="Q14" i="5"/>
  <c r="R14" i="5"/>
  <c r="S14" i="5"/>
  <c r="T14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BH18" i="4"/>
  <c r="BH6" i="4"/>
  <c r="BB13" i="4"/>
  <c r="BA20" i="4"/>
  <c r="CI3" i="4"/>
  <c r="CI4" i="4"/>
  <c r="CI5" i="4"/>
  <c r="CI6" i="4"/>
  <c r="CI7" i="4"/>
  <c r="CI8" i="4"/>
  <c r="CI9" i="4"/>
  <c r="CI10" i="4"/>
  <c r="CI12" i="4"/>
  <c r="CI13" i="4"/>
  <c r="CI15" i="4"/>
  <c r="CI16" i="4"/>
  <c r="CI19" i="4"/>
  <c r="CI20" i="4"/>
  <c r="V3" i="4"/>
  <c r="G4" i="4"/>
  <c r="N19" i="4"/>
  <c r="N18" i="4"/>
  <c r="N17" i="4"/>
  <c r="N16" i="4"/>
  <c r="N15" i="4"/>
  <c r="N20" i="4"/>
  <c r="N14" i="4"/>
  <c r="N13" i="4"/>
  <c r="N12" i="4"/>
  <c r="N11" i="4"/>
  <c r="N10" i="4"/>
  <c r="N9" i="4"/>
  <c r="N8" i="4"/>
  <c r="N7" i="4"/>
  <c r="N6" i="4"/>
  <c r="N3" i="4"/>
  <c r="N4" i="4"/>
  <c r="N5" i="4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AB35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3" i="4"/>
  <c r="M5" i="4"/>
  <c r="M4" i="4"/>
  <c r="CK22" i="4"/>
  <c r="CJ23" i="4"/>
  <c r="CI27" i="4"/>
  <c r="CI26" i="4"/>
  <c r="CI25" i="4"/>
  <c r="CI24" i="4"/>
  <c r="CI23" i="4"/>
  <c r="CI22" i="4"/>
  <c r="CH27" i="4"/>
  <c r="CH26" i="4"/>
  <c r="CH25" i="4"/>
  <c r="CH24" i="4"/>
  <c r="CH23" i="4"/>
  <c r="CH22" i="4"/>
  <c r="CG23" i="4"/>
  <c r="CG22" i="4"/>
  <c r="CD27" i="4"/>
  <c r="CC27" i="4"/>
  <c r="CB27" i="4"/>
  <c r="CD26" i="4"/>
  <c r="CC26" i="4"/>
  <c r="CB26" i="4"/>
  <c r="CD25" i="4"/>
  <c r="CC25" i="4"/>
  <c r="CB25" i="4"/>
  <c r="CD24" i="4"/>
  <c r="CC24" i="4"/>
  <c r="CB24" i="4"/>
  <c r="CD23" i="4"/>
  <c r="CC23" i="4"/>
  <c r="CB23" i="4"/>
  <c r="CD22" i="4"/>
  <c r="CC22" i="4"/>
  <c r="CB22" i="4"/>
  <c r="CA27" i="4"/>
  <c r="CA26" i="4"/>
  <c r="CA25" i="4"/>
  <c r="CA24" i="4"/>
  <c r="CA23" i="4"/>
  <c r="CA22" i="4"/>
  <c r="BY24" i="4"/>
  <c r="BY23" i="4"/>
  <c r="BY22" i="4"/>
  <c r="BX25" i="4"/>
  <c r="BX24" i="4"/>
  <c r="BX23" i="4"/>
  <c r="BX22" i="4"/>
  <c r="BW25" i="4"/>
  <c r="BV28" i="4"/>
  <c r="BW24" i="4"/>
  <c r="BV27" i="4"/>
  <c r="BW23" i="4"/>
  <c r="BW22" i="4"/>
  <c r="BV26" i="4"/>
  <c r="BV25" i="4"/>
  <c r="BV24" i="4"/>
  <c r="BV23" i="4"/>
  <c r="BV22" i="4"/>
  <c r="BT25" i="4"/>
  <c r="BT24" i="4"/>
  <c r="BT23" i="4"/>
  <c r="BT22" i="4"/>
  <c r="BP25" i="4"/>
  <c r="BP24" i="4"/>
  <c r="BP23" i="4"/>
  <c r="BP22" i="4"/>
  <c r="BS25" i="4"/>
  <c r="BS24" i="4"/>
  <c r="BS23" i="4"/>
  <c r="BS22" i="4"/>
  <c r="BO26" i="4"/>
  <c r="BO25" i="4"/>
  <c r="BO24" i="4"/>
  <c r="BO23" i="4"/>
  <c r="BO22" i="4"/>
  <c r="BR27" i="4"/>
  <c r="BR26" i="4"/>
  <c r="BR25" i="4"/>
  <c r="BR24" i="4"/>
  <c r="BR23" i="4"/>
  <c r="BR22" i="4"/>
  <c r="BN28" i="4"/>
  <c r="BN27" i="4"/>
  <c r="BN26" i="4"/>
  <c r="BN25" i="4"/>
  <c r="BN24" i="4"/>
  <c r="BN23" i="4"/>
  <c r="BN22" i="4"/>
  <c r="BQ26" i="4"/>
  <c r="BM27" i="4"/>
  <c r="BM26" i="4"/>
  <c r="BQ25" i="4"/>
  <c r="BQ24" i="4"/>
  <c r="BQ23" i="4"/>
  <c r="BQ22" i="4"/>
  <c r="BM25" i="4"/>
  <c r="BM24" i="4"/>
  <c r="BM23" i="4"/>
  <c r="BM22" i="4"/>
  <c r="BC25" i="4"/>
  <c r="BC24" i="4"/>
  <c r="BC23" i="4"/>
  <c r="AZ25" i="4"/>
  <c r="AY23" i="4"/>
  <c r="AY22" i="4"/>
  <c r="AF22" i="4"/>
  <c r="AE23" i="4"/>
  <c r="AE22" i="4"/>
  <c r="AD22" i="4"/>
  <c r="AA23" i="4"/>
  <c r="AA24" i="4"/>
  <c r="AA22" i="4"/>
  <c r="Y27" i="4"/>
  <c r="Y24" i="4"/>
  <c r="Y23" i="4"/>
  <c r="Y22" i="4"/>
  <c r="X22" i="4"/>
  <c r="CL4" i="4"/>
  <c r="CL5" i="4"/>
  <c r="CL6" i="4"/>
  <c r="CL7" i="4"/>
  <c r="CL9" i="4"/>
  <c r="CL10" i="4"/>
  <c r="CL11" i="4"/>
  <c r="CL12" i="4"/>
  <c r="CL13" i="4"/>
  <c r="CL14" i="4"/>
  <c r="CL15" i="4"/>
  <c r="CL16" i="4"/>
  <c r="CL17" i="4"/>
  <c r="CL18" i="4"/>
  <c r="CL19" i="4"/>
  <c r="CL20" i="4"/>
  <c r="CL3" i="4"/>
  <c r="AB36" i="4"/>
  <c r="AB34" i="4"/>
  <c r="AB33" i="4"/>
  <c r="CL33" i="4"/>
  <c r="CL32" i="4"/>
  <c r="CL31" i="4"/>
  <c r="CL30" i="4"/>
  <c r="CL22" i="4"/>
  <c r="CL23" i="4"/>
  <c r="CK23" i="4"/>
  <c r="CK32" i="4"/>
  <c r="CK31" i="4"/>
  <c r="CK30" i="4"/>
  <c r="CJ31" i="4"/>
  <c r="CJ30" i="4"/>
  <c r="CJ22" i="4"/>
  <c r="CI32" i="4"/>
  <c r="CI31" i="4"/>
  <c r="CI30" i="4"/>
  <c r="CH31" i="4"/>
  <c r="CH30" i="4"/>
  <c r="CG34" i="4"/>
  <c r="CG33" i="4"/>
  <c r="CG32" i="4"/>
  <c r="CG31" i="4"/>
  <c r="CG30" i="4"/>
  <c r="CG26" i="4"/>
  <c r="CG25" i="4"/>
  <c r="CG24" i="4"/>
  <c r="CF31" i="4"/>
  <c r="CF30" i="4"/>
  <c r="CD30" i="4"/>
  <c r="CC30" i="4"/>
  <c r="CB30" i="4"/>
  <c r="CA30" i="4"/>
  <c r="CD31" i="4"/>
  <c r="CC33" i="4"/>
  <c r="CB33" i="4"/>
  <c r="CA32" i="4"/>
  <c r="CD33" i="4"/>
  <c r="CD32" i="4"/>
  <c r="CC31" i="4"/>
  <c r="CB31" i="4"/>
  <c r="CA33" i="4"/>
  <c r="CC32" i="4"/>
  <c r="CB32" i="4"/>
  <c r="CA31" i="4"/>
  <c r="BV30" i="4"/>
  <c r="BY31" i="4"/>
  <c r="BX30" i="4"/>
  <c r="BW30" i="4"/>
  <c r="BV32" i="4"/>
  <c r="BM32" i="4"/>
  <c r="BY30" i="4"/>
  <c r="BX32" i="4"/>
  <c r="BW32" i="4"/>
  <c r="BV31" i="4"/>
  <c r="BM31" i="4"/>
  <c r="BY32" i="4"/>
  <c r="BX31" i="4"/>
  <c r="BW31" i="4"/>
  <c r="BM30" i="4"/>
  <c r="BP30" i="4"/>
  <c r="BO32" i="4"/>
  <c r="BN32" i="4"/>
  <c r="BQ31" i="4"/>
  <c r="BP31" i="4"/>
  <c r="BO30" i="4"/>
  <c r="BN30" i="4"/>
  <c r="BR30" i="4"/>
  <c r="BP32" i="4"/>
  <c r="BO31" i="4"/>
  <c r="BN31" i="4"/>
  <c r="BQ30" i="4"/>
  <c r="BT31" i="4"/>
  <c r="BS30" i="4"/>
  <c r="BQ32" i="4"/>
  <c r="BS32" i="4"/>
  <c r="BT30" i="4"/>
  <c r="BR32" i="4"/>
  <c r="BT32" i="4"/>
  <c r="BS31" i="4"/>
  <c r="BR31" i="4"/>
  <c r="BL30" i="4"/>
  <c r="BJ30" i="4"/>
  <c r="BH32" i="4"/>
  <c r="BH31" i="4"/>
  <c r="BH30" i="4"/>
  <c r="BF33" i="4"/>
  <c r="BF32" i="4"/>
  <c r="BF31" i="4"/>
  <c r="BF30" i="4"/>
  <c r="BG30" i="4"/>
  <c r="BI30" i="4"/>
  <c r="BK30" i="4"/>
  <c r="BE30" i="4"/>
  <c r="BE22" i="4"/>
  <c r="BD32" i="4"/>
  <c r="BD31" i="4"/>
  <c r="BD30" i="4"/>
  <c r="BC32" i="4"/>
  <c r="BC31" i="4"/>
  <c r="BC30" i="4"/>
  <c r="BA32" i="4"/>
  <c r="BA31" i="4"/>
  <c r="BA30" i="4"/>
  <c r="AZ33" i="4"/>
  <c r="AZ32" i="4"/>
  <c r="AZ31" i="4"/>
  <c r="AZ30" i="4"/>
  <c r="BB32" i="4"/>
  <c r="BB31" i="4"/>
  <c r="BB30" i="4"/>
  <c r="AY31" i="4"/>
  <c r="AY30" i="4"/>
  <c r="AX31" i="4"/>
  <c r="AX30" i="4"/>
  <c r="AW33" i="4"/>
  <c r="AW32" i="4"/>
  <c r="AW31" i="4"/>
  <c r="AW30" i="4"/>
  <c r="AV32" i="4"/>
  <c r="AV31" i="4"/>
  <c r="AV30" i="4"/>
  <c r="AT34" i="4"/>
  <c r="AT33" i="4"/>
  <c r="AT32" i="4"/>
  <c r="AT31" i="4"/>
  <c r="AT30" i="4"/>
  <c r="AG31" i="4"/>
  <c r="AG30" i="4"/>
  <c r="AE32" i="4"/>
  <c r="Y26" i="4"/>
  <c r="AF31" i="4"/>
  <c r="AE31" i="4"/>
  <c r="AF30" i="4"/>
  <c r="AE30" i="4"/>
  <c r="AB32" i="4"/>
  <c r="AB31" i="4"/>
  <c r="AB30" i="4"/>
  <c r="AA33" i="4"/>
  <c r="AA32" i="4"/>
  <c r="AA31" i="4"/>
  <c r="AA30" i="4"/>
  <c r="Y32" i="4"/>
  <c r="Y31" i="4"/>
  <c r="Y30" i="4"/>
  <c r="X30" i="4"/>
  <c r="CF23" i="4"/>
  <c r="CF22" i="4"/>
  <c r="BL22" i="4"/>
  <c r="BC22" i="4"/>
  <c r="BB23" i="4"/>
  <c r="BB22" i="4"/>
  <c r="BA23" i="4"/>
  <c r="BA22" i="4"/>
  <c r="AZ24" i="4"/>
  <c r="AZ23" i="4"/>
  <c r="AZ22" i="4"/>
  <c r="BK22" i="4"/>
  <c r="BJ22" i="4"/>
  <c r="BI22" i="4"/>
  <c r="BH22" i="4"/>
  <c r="BG22" i="4"/>
  <c r="BF22" i="4"/>
  <c r="BD22" i="4"/>
  <c r="AX22" i="4"/>
  <c r="AW22" i="4"/>
  <c r="AV22" i="4"/>
  <c r="AG23" i="4"/>
  <c r="AG22" i="4"/>
  <c r="Y25" i="4"/>
  <c r="X23" i="4"/>
  <c r="AC22" i="4"/>
  <c r="AB22" i="4"/>
  <c r="V11" i="4"/>
  <c r="AV10" i="4"/>
  <c r="AT13" i="7"/>
  <c r="O15" i="8"/>
  <c r="F11" i="8"/>
  <c r="S10" i="8"/>
  <c r="R10" i="8"/>
  <c r="Q10" i="8"/>
  <c r="P10" i="8"/>
  <c r="O10" i="8"/>
  <c r="Y8" i="4"/>
  <c r="X7" i="4"/>
  <c r="L6" i="8"/>
  <c r="K6" i="8"/>
  <c r="J6" i="8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4" i="4"/>
  <c r="E5" i="4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3" i="4"/>
  <c r="U19" i="8"/>
  <c r="S19" i="8"/>
  <c r="R19" i="8"/>
  <c r="Q19" i="8"/>
  <c r="P19" i="8"/>
  <c r="O19" i="8"/>
  <c r="N19" i="8"/>
  <c r="F19" i="8"/>
  <c r="D19" i="8"/>
  <c r="U18" i="8"/>
  <c r="S18" i="8"/>
  <c r="R18" i="8"/>
  <c r="Q18" i="8"/>
  <c r="P18" i="8"/>
  <c r="O18" i="8"/>
  <c r="N18" i="8"/>
  <c r="L18" i="8"/>
  <c r="K18" i="8"/>
  <c r="J18" i="8"/>
  <c r="I18" i="8"/>
  <c r="H18" i="8"/>
  <c r="F18" i="8"/>
  <c r="D18" i="8"/>
  <c r="U17" i="8"/>
  <c r="S17" i="8"/>
  <c r="R17" i="8"/>
  <c r="Q17" i="8"/>
  <c r="P17" i="8"/>
  <c r="O17" i="8"/>
  <c r="N17" i="8"/>
  <c r="L17" i="8"/>
  <c r="K17" i="8"/>
  <c r="J17" i="8"/>
  <c r="I17" i="8"/>
  <c r="H17" i="8"/>
  <c r="F17" i="8"/>
  <c r="D17" i="8"/>
  <c r="U16" i="8"/>
  <c r="S16" i="8"/>
  <c r="R16" i="8"/>
  <c r="Q16" i="8"/>
  <c r="P16" i="8"/>
  <c r="O16" i="8"/>
  <c r="N16" i="8"/>
  <c r="L16" i="8"/>
  <c r="K16" i="8"/>
  <c r="J16" i="8"/>
  <c r="I16" i="8"/>
  <c r="H16" i="8"/>
  <c r="F16" i="8"/>
  <c r="D16" i="8"/>
  <c r="U15" i="8"/>
  <c r="S15" i="8"/>
  <c r="R15" i="8"/>
  <c r="Q15" i="8"/>
  <c r="P15" i="8"/>
  <c r="N15" i="8"/>
  <c r="L15" i="8"/>
  <c r="K15" i="8"/>
  <c r="J15" i="8"/>
  <c r="I15" i="8"/>
  <c r="H15" i="8"/>
  <c r="F15" i="8"/>
  <c r="D15" i="8"/>
  <c r="U14" i="8"/>
  <c r="S14" i="8"/>
  <c r="R14" i="8"/>
  <c r="Q14" i="8"/>
  <c r="P14" i="8"/>
  <c r="O14" i="8"/>
  <c r="N14" i="8"/>
  <c r="L14" i="8"/>
  <c r="K14" i="8"/>
  <c r="J14" i="8"/>
  <c r="I14" i="8"/>
  <c r="H14" i="8"/>
  <c r="F14" i="8"/>
  <c r="D14" i="8"/>
  <c r="U13" i="8"/>
  <c r="S13" i="8"/>
  <c r="R13" i="8"/>
  <c r="Q13" i="8"/>
  <c r="P13" i="8"/>
  <c r="O13" i="8"/>
  <c r="N13" i="8"/>
  <c r="L13" i="8"/>
  <c r="K13" i="8"/>
  <c r="J13" i="8"/>
  <c r="I13" i="8"/>
  <c r="H13" i="8"/>
  <c r="F13" i="8"/>
  <c r="D13" i="8"/>
  <c r="U12" i="8"/>
  <c r="S12" i="8"/>
  <c r="R12" i="8"/>
  <c r="Q12" i="8"/>
  <c r="P12" i="8"/>
  <c r="O12" i="8"/>
  <c r="N12" i="8"/>
  <c r="L12" i="8"/>
  <c r="K12" i="8"/>
  <c r="J12" i="8"/>
  <c r="I12" i="8"/>
  <c r="H12" i="8"/>
  <c r="F12" i="8"/>
  <c r="D12" i="8"/>
  <c r="U11" i="8"/>
  <c r="S11" i="8"/>
  <c r="R11" i="8"/>
  <c r="Q11" i="8"/>
  <c r="P11" i="8"/>
  <c r="O11" i="8"/>
  <c r="N11" i="8"/>
  <c r="L11" i="8"/>
  <c r="K11" i="8"/>
  <c r="J11" i="8"/>
  <c r="I11" i="8"/>
  <c r="H11" i="8"/>
  <c r="D11" i="8"/>
  <c r="U10" i="8"/>
  <c r="N10" i="8"/>
  <c r="L10" i="8"/>
  <c r="K10" i="8"/>
  <c r="J10" i="8"/>
  <c r="I10" i="8"/>
  <c r="H10" i="8"/>
  <c r="F10" i="8"/>
  <c r="D10" i="8"/>
  <c r="U9" i="8"/>
  <c r="S9" i="8"/>
  <c r="R9" i="8"/>
  <c r="Q9" i="8"/>
  <c r="P9" i="8"/>
  <c r="O9" i="8"/>
  <c r="N9" i="8"/>
  <c r="L9" i="8"/>
  <c r="K9" i="8"/>
  <c r="J9" i="8"/>
  <c r="I9" i="8"/>
  <c r="H9" i="8"/>
  <c r="F9" i="8"/>
  <c r="D9" i="8"/>
  <c r="U8" i="8"/>
  <c r="S8" i="8"/>
  <c r="R8" i="8"/>
  <c r="Q8" i="8"/>
  <c r="P8" i="8"/>
  <c r="O8" i="8"/>
  <c r="N8" i="8"/>
  <c r="L8" i="8"/>
  <c r="K8" i="8"/>
  <c r="J8" i="8"/>
  <c r="I8" i="8"/>
  <c r="H8" i="8"/>
  <c r="F8" i="8"/>
  <c r="D8" i="8"/>
  <c r="U7" i="8"/>
  <c r="S7" i="8"/>
  <c r="R7" i="8"/>
  <c r="Q7" i="8"/>
  <c r="P7" i="8"/>
  <c r="O7" i="8"/>
  <c r="N7" i="8"/>
  <c r="L7" i="8"/>
  <c r="K7" i="8"/>
  <c r="J7" i="8"/>
  <c r="I7" i="8"/>
  <c r="H7" i="8"/>
  <c r="F7" i="8"/>
  <c r="D7" i="8"/>
  <c r="U6" i="8"/>
  <c r="S6" i="8"/>
  <c r="R6" i="8"/>
  <c r="Q6" i="8"/>
  <c r="P6" i="8"/>
  <c r="O6" i="8"/>
  <c r="N6" i="8"/>
  <c r="I6" i="8"/>
  <c r="H6" i="8"/>
  <c r="F6" i="8"/>
  <c r="D6" i="8"/>
  <c r="U5" i="8"/>
  <c r="S5" i="8"/>
  <c r="R5" i="8"/>
  <c r="Q5" i="8"/>
  <c r="P5" i="8"/>
  <c r="O5" i="8"/>
  <c r="N5" i="8"/>
  <c r="L5" i="8"/>
  <c r="K5" i="8"/>
  <c r="J5" i="8"/>
  <c r="I5" i="8"/>
  <c r="H5" i="8"/>
  <c r="F5" i="8"/>
  <c r="D5" i="8"/>
  <c r="U4" i="8"/>
  <c r="S4" i="8"/>
  <c r="R4" i="8"/>
  <c r="Q4" i="8"/>
  <c r="P4" i="8"/>
  <c r="O4" i="8"/>
  <c r="N4" i="8"/>
  <c r="L4" i="8"/>
  <c r="K4" i="8"/>
  <c r="J4" i="8"/>
  <c r="I4" i="8"/>
  <c r="H4" i="8"/>
  <c r="G4" i="8"/>
  <c r="F4" i="8"/>
  <c r="D4" i="8"/>
  <c r="U3" i="8"/>
  <c r="S3" i="8"/>
  <c r="R3" i="8"/>
  <c r="Q3" i="8"/>
  <c r="P3" i="8"/>
  <c r="O3" i="8"/>
  <c r="N3" i="8"/>
  <c r="L3" i="8"/>
  <c r="K3" i="8"/>
  <c r="J3" i="8"/>
  <c r="I3" i="8"/>
  <c r="H3" i="8"/>
  <c r="F3" i="8"/>
  <c r="D3" i="8"/>
  <c r="U20" i="6"/>
  <c r="U4" i="6"/>
  <c r="U5" i="6"/>
  <c r="U7" i="6"/>
  <c r="U8" i="6"/>
  <c r="U9" i="6"/>
  <c r="U10" i="6"/>
  <c r="U12" i="6"/>
  <c r="U13" i="6"/>
  <c r="U14" i="6"/>
  <c r="U15" i="6"/>
  <c r="U18" i="6"/>
  <c r="U19" i="6"/>
  <c r="U10" i="5"/>
  <c r="U11" i="5"/>
  <c r="U13" i="5"/>
  <c r="U14" i="5"/>
  <c r="U15" i="5"/>
  <c r="U17" i="5"/>
  <c r="U19" i="5"/>
  <c r="U20" i="5"/>
  <c r="X3" i="4"/>
  <c r="CK20" i="4"/>
  <c r="CJ20" i="4"/>
  <c r="AJ20" i="4"/>
  <c r="X20" i="4"/>
  <c r="V20" i="4"/>
  <c r="CK19" i="4"/>
  <c r="CJ19" i="4"/>
  <c r="AJ19" i="4"/>
  <c r="V19" i="4"/>
  <c r="CK18" i="4"/>
  <c r="CJ18" i="4"/>
  <c r="AJ18" i="4"/>
  <c r="V18" i="4"/>
  <c r="CK17" i="4"/>
  <c r="CJ17" i="4"/>
  <c r="AJ17" i="4"/>
  <c r="AA17" i="4"/>
  <c r="V17" i="4"/>
  <c r="CK16" i="4"/>
  <c r="CJ16" i="4"/>
  <c r="AJ16" i="4"/>
  <c r="CK15" i="4"/>
  <c r="CJ15" i="4"/>
  <c r="AJ15" i="4"/>
  <c r="AA15" i="4"/>
  <c r="V15" i="4"/>
  <c r="CK14" i="4"/>
  <c r="CJ14" i="4"/>
  <c r="AJ14" i="4"/>
  <c r="V14" i="4"/>
  <c r="CK13" i="4"/>
  <c r="CJ13" i="4"/>
  <c r="AJ13" i="4"/>
  <c r="AA13" i="4"/>
  <c r="V13" i="4"/>
  <c r="CK12" i="4"/>
  <c r="CJ12" i="4"/>
  <c r="AJ12" i="4"/>
  <c r="V12" i="4"/>
  <c r="CK11" i="4"/>
  <c r="CJ11" i="4"/>
  <c r="AJ11" i="4"/>
  <c r="AA11" i="4"/>
  <c r="X11" i="4"/>
  <c r="CK10" i="4"/>
  <c r="CJ10" i="4"/>
  <c r="AJ10" i="4"/>
  <c r="CK9" i="4"/>
  <c r="CJ9" i="4"/>
  <c r="AJ9" i="4"/>
  <c r="V9" i="4"/>
  <c r="CK8" i="4"/>
  <c r="CJ8" i="4"/>
  <c r="AJ8" i="4"/>
  <c r="V8" i="4"/>
  <c r="CK7" i="4"/>
  <c r="CJ7" i="4"/>
  <c r="AJ7" i="4"/>
  <c r="V7" i="4"/>
  <c r="CK6" i="4"/>
  <c r="CJ6" i="4"/>
  <c r="AJ6" i="4"/>
  <c r="AA6" i="4"/>
  <c r="V6" i="4"/>
  <c r="CK5" i="4"/>
  <c r="CJ5" i="4"/>
  <c r="AJ5" i="4"/>
  <c r="V5" i="4"/>
  <c r="CK4" i="4"/>
  <c r="CJ4" i="4"/>
  <c r="AJ4" i="4"/>
  <c r="AA4" i="4"/>
  <c r="V4" i="4"/>
  <c r="CK3" i="4"/>
  <c r="CJ3" i="4"/>
  <c r="AE119" i="1"/>
  <c r="AY130" i="1"/>
  <c r="AY118" i="1"/>
  <c r="CE115" i="1"/>
  <c r="CE120" i="1"/>
  <c r="AS132" i="1"/>
  <c r="AO123" i="1"/>
  <c r="AO122" i="1"/>
  <c r="T132" i="1"/>
  <c r="R132" i="1"/>
  <c r="CE132" i="1"/>
  <c r="CD132" i="1"/>
  <c r="CC132" i="1"/>
  <c r="CB132" i="1"/>
  <c r="BM132" i="1"/>
  <c r="BR132" i="1" s="1"/>
  <c r="BL132" i="1"/>
  <c r="BK132" i="1"/>
  <c r="BJ132" i="1"/>
  <c r="BI132" i="1"/>
  <c r="BH132" i="1"/>
  <c r="BG132" i="1"/>
  <c r="BF132" i="1"/>
  <c r="AE132" i="1"/>
  <c r="W129" i="1"/>
  <c r="W125" i="1"/>
  <c r="W127" i="1"/>
  <c r="W123" i="1"/>
  <c r="W118" i="1"/>
  <c r="W116" i="1"/>
  <c r="CB124" i="1"/>
  <c r="CB125" i="1"/>
  <c r="CB127" i="1"/>
  <c r="CB128" i="1"/>
  <c r="CB130" i="1"/>
  <c r="CB131" i="1"/>
  <c r="CB115" i="1"/>
  <c r="CB116" i="1"/>
  <c r="CB117" i="1"/>
  <c r="CB118" i="1"/>
  <c r="CB119" i="1"/>
  <c r="CB120" i="1"/>
  <c r="CB121" i="1"/>
  <c r="CB122" i="1"/>
  <c r="BK123" i="1"/>
  <c r="CE126" i="1"/>
  <c r="CE116" i="1"/>
  <c r="CE117" i="1"/>
  <c r="CE118" i="1"/>
  <c r="CE119" i="1"/>
  <c r="CE121" i="1"/>
  <c r="CE122" i="1"/>
  <c r="CE123" i="1"/>
  <c r="CE124" i="1"/>
  <c r="CE125" i="1"/>
  <c r="CE127" i="1"/>
  <c r="CE128" i="1"/>
  <c r="CE129" i="1"/>
  <c r="CE130" i="1"/>
  <c r="CE131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15" i="1"/>
  <c r="AE116" i="1"/>
  <c r="AE117" i="1"/>
  <c r="AE118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15" i="1"/>
  <c r="R130" i="1"/>
  <c r="R131" i="1"/>
  <c r="R129" i="1"/>
  <c r="R128" i="1"/>
  <c r="R127" i="1"/>
  <c r="R126" i="1"/>
  <c r="R125" i="1"/>
  <c r="R123" i="1"/>
  <c r="R122" i="1"/>
  <c r="R121" i="1"/>
  <c r="R120" i="1"/>
  <c r="R119" i="1"/>
  <c r="R118" i="1"/>
  <c r="R117" i="1"/>
  <c r="R124" i="1"/>
  <c r="R116" i="1"/>
  <c r="R115" i="1"/>
  <c r="T128" i="1"/>
  <c r="T123" i="1"/>
  <c r="T119" i="1"/>
  <c r="BK131" i="1"/>
  <c r="BP131" i="1" s="1"/>
  <c r="BK130" i="1"/>
  <c r="BP130" i="1" s="1"/>
  <c r="BK129" i="1"/>
  <c r="BP129" i="1" s="1"/>
  <c r="BK128" i="1"/>
  <c r="BP128" i="1" s="1"/>
  <c r="BK127" i="1"/>
  <c r="BP127" i="1" s="1"/>
  <c r="BK126" i="1"/>
  <c r="BP126" i="1" s="1"/>
  <c r="BK125" i="1"/>
  <c r="BP125" i="1" s="1"/>
  <c r="BK124" i="1"/>
  <c r="BP124" i="1" s="1"/>
  <c r="BP123" i="1"/>
  <c r="BK122" i="1"/>
  <c r="BP122" i="1" s="1"/>
  <c r="BK121" i="1"/>
  <c r="BP121" i="1" s="1"/>
  <c r="BK120" i="1"/>
  <c r="BP120" i="1" s="1"/>
  <c r="BK119" i="1"/>
  <c r="BP119" i="1" s="1"/>
  <c r="BK118" i="1"/>
  <c r="BP118" i="1" s="1"/>
  <c r="BK117" i="1"/>
  <c r="BP117" i="1" s="1"/>
  <c r="BK116" i="1"/>
  <c r="BP116" i="1" s="1"/>
  <c r="BK115" i="1"/>
  <c r="BP115" i="1" s="1"/>
  <c r="BL131" i="1"/>
  <c r="BQ131" i="1" s="1"/>
  <c r="BL130" i="1"/>
  <c r="BQ130" i="1" s="1"/>
  <c r="BL129" i="1"/>
  <c r="BQ129" i="1" s="1"/>
  <c r="BL128" i="1"/>
  <c r="BQ128" i="1" s="1"/>
  <c r="BL127" i="1"/>
  <c r="BQ127" i="1" s="1"/>
  <c r="BL126" i="1"/>
  <c r="BQ126" i="1" s="1"/>
  <c r="BL125" i="1"/>
  <c r="BQ125" i="1" s="1"/>
  <c r="BL124" i="1"/>
  <c r="BQ124" i="1" s="1"/>
  <c r="BL123" i="1"/>
  <c r="BL122" i="1"/>
  <c r="BQ122" i="1" s="1"/>
  <c r="BL121" i="1"/>
  <c r="BQ121" i="1" s="1"/>
  <c r="BL120" i="1"/>
  <c r="BQ120" i="1" s="1"/>
  <c r="BL119" i="1"/>
  <c r="BQ119" i="1" s="1"/>
  <c r="BL118" i="1"/>
  <c r="BQ118" i="1" s="1"/>
  <c r="BL116" i="1"/>
  <c r="BQ116" i="1" s="1"/>
  <c r="BL117" i="1"/>
  <c r="BQ117" i="1" s="1"/>
  <c r="BL115" i="1"/>
  <c r="BQ115" i="1" s="1"/>
  <c r="BM115" i="1"/>
  <c r="BR115" i="1" s="1"/>
  <c r="BM117" i="1"/>
  <c r="BR117" i="1" s="1"/>
  <c r="BM118" i="1"/>
  <c r="BR118" i="1" s="1"/>
  <c r="BM119" i="1"/>
  <c r="BR119" i="1" s="1"/>
  <c r="BM120" i="1"/>
  <c r="BR120" i="1" s="1"/>
  <c r="BM121" i="1"/>
  <c r="BR121" i="1" s="1"/>
  <c r="BM122" i="1"/>
  <c r="BR122" i="1" s="1"/>
  <c r="BM123" i="1"/>
  <c r="BR123" i="1" s="1"/>
  <c r="BM124" i="1"/>
  <c r="BR124" i="1" s="1"/>
  <c r="BM125" i="1"/>
  <c r="BR125" i="1" s="1"/>
  <c r="BM126" i="1"/>
  <c r="BR126" i="1" s="1"/>
  <c r="BM127" i="1"/>
  <c r="BR127" i="1" s="1"/>
  <c r="BM128" i="1"/>
  <c r="BR128" i="1" s="1"/>
  <c r="BM129" i="1"/>
  <c r="BM130" i="1"/>
  <c r="BR130" i="1" s="1"/>
  <c r="BM131" i="1"/>
  <c r="BR131" i="1" s="1"/>
  <c r="BM116" i="1"/>
  <c r="BR116" i="1" s="1"/>
  <c r="BJ115" i="1"/>
  <c r="BO115" i="1" s="1"/>
  <c r="BJ131" i="1"/>
  <c r="BO131" i="1" s="1"/>
  <c r="BJ130" i="1"/>
  <c r="BO130" i="1" s="1"/>
  <c r="BJ129" i="1"/>
  <c r="BJ128" i="1"/>
  <c r="BO128" i="1" s="1"/>
  <c r="BJ127" i="1"/>
  <c r="BO127" i="1" s="1"/>
  <c r="BZ127" i="1" s="1"/>
  <c r="BJ126" i="1"/>
  <c r="BJ125" i="1"/>
  <c r="BO125" i="1" s="1"/>
  <c r="BZ125" i="1" s="1"/>
  <c r="BJ124" i="1"/>
  <c r="BO124" i="1" s="1"/>
  <c r="BJ123" i="1"/>
  <c r="BJ122" i="1"/>
  <c r="BO122" i="1" s="1"/>
  <c r="BJ121" i="1"/>
  <c r="BO121" i="1" s="1"/>
  <c r="BJ120" i="1"/>
  <c r="BO120" i="1" s="1"/>
  <c r="BJ119" i="1"/>
  <c r="BO119" i="1" s="1"/>
  <c r="BJ118" i="1"/>
  <c r="BO118" i="1" s="1"/>
  <c r="BZ118" i="1" s="1"/>
  <c r="BJ116" i="1"/>
  <c r="BO116" i="1" s="1"/>
  <c r="BZ116" i="1" s="1"/>
  <c r="BJ117" i="1"/>
  <c r="BO117" i="1" s="1"/>
  <c r="BF115" i="1"/>
  <c r="BF131" i="1"/>
  <c r="BG131" i="1"/>
  <c r="BH131" i="1"/>
  <c r="BI131" i="1"/>
  <c r="BF130" i="1"/>
  <c r="BG130" i="1"/>
  <c r="BH130" i="1"/>
  <c r="BI130" i="1"/>
  <c r="BF129" i="1"/>
  <c r="BG129" i="1"/>
  <c r="BH129" i="1"/>
  <c r="BI129" i="1"/>
  <c r="BF128" i="1"/>
  <c r="BG128" i="1"/>
  <c r="BH128" i="1"/>
  <c r="BI128" i="1"/>
  <c r="BF127" i="1"/>
  <c r="BG127" i="1"/>
  <c r="BH127" i="1"/>
  <c r="BI127" i="1"/>
  <c r="BF126" i="1"/>
  <c r="BG126" i="1"/>
  <c r="BH126" i="1"/>
  <c r="BI126" i="1"/>
  <c r="BF125" i="1"/>
  <c r="BG125" i="1"/>
  <c r="BH125" i="1"/>
  <c r="BI125" i="1"/>
  <c r="BI124" i="1"/>
  <c r="BH124" i="1"/>
  <c r="BG124" i="1"/>
  <c r="BF124" i="1"/>
  <c r="BF123" i="1"/>
  <c r="BI123" i="1"/>
  <c r="BH123" i="1"/>
  <c r="BG123" i="1"/>
  <c r="BI122" i="1"/>
  <c r="BH122" i="1"/>
  <c r="BG122" i="1"/>
  <c r="BF122" i="1"/>
  <c r="BI121" i="1"/>
  <c r="BH121" i="1"/>
  <c r="BG121" i="1"/>
  <c r="BF121" i="1"/>
  <c r="BI120" i="1"/>
  <c r="BH120" i="1"/>
  <c r="BG120" i="1"/>
  <c r="BF120" i="1"/>
  <c r="BF119" i="1"/>
  <c r="BI119" i="1"/>
  <c r="BH119" i="1"/>
  <c r="BG119" i="1"/>
  <c r="BI118" i="1"/>
  <c r="BI117" i="1"/>
  <c r="BH118" i="1"/>
  <c r="BG118" i="1"/>
  <c r="BF118" i="1"/>
  <c r="BI116" i="1"/>
  <c r="BH116" i="1"/>
  <c r="BH117" i="1"/>
  <c r="BG116" i="1"/>
  <c r="BG117" i="1"/>
  <c r="BF116" i="1"/>
  <c r="BF117" i="1"/>
  <c r="BI115" i="1"/>
  <c r="BH115" i="1"/>
  <c r="BG115" i="1"/>
  <c r="AC7" i="1"/>
  <c r="AA18" i="1"/>
  <c r="AB18" i="1" s="1"/>
  <c r="AC57" i="1"/>
  <c r="AC32" i="1"/>
  <c r="AC46" i="1"/>
  <c r="AC24" i="1"/>
  <c r="AC44" i="1"/>
  <c r="AC48" i="1"/>
  <c r="AC50" i="1"/>
  <c r="AC34" i="1"/>
  <c r="AC51" i="1"/>
  <c r="AC23" i="1"/>
  <c r="AC43" i="1"/>
  <c r="AC36" i="1"/>
  <c r="AC37" i="1"/>
  <c r="AC45" i="1"/>
  <c r="AC40" i="1"/>
  <c r="AC30" i="1"/>
  <c r="AC28" i="1"/>
  <c r="AC27" i="1"/>
  <c r="AC38" i="1"/>
  <c r="AC25" i="1"/>
  <c r="AC39" i="1"/>
  <c r="AC41" i="1"/>
  <c r="AC29" i="1"/>
  <c r="AC49" i="1"/>
  <c r="AC26" i="1"/>
  <c r="AC47" i="1"/>
  <c r="AC31" i="1"/>
  <c r="AC42" i="1"/>
  <c r="AC35" i="1"/>
  <c r="AC100" i="1"/>
  <c r="AC92" i="1"/>
  <c r="AC99" i="1"/>
  <c r="AC98" i="1"/>
  <c r="AC97" i="1"/>
  <c r="AC93" i="1"/>
  <c r="AC95" i="1"/>
  <c r="AC96" i="1"/>
  <c r="AC89" i="1"/>
  <c r="AC90" i="1"/>
  <c r="AC94" i="1"/>
  <c r="AC101" i="1"/>
  <c r="AC91" i="1"/>
  <c r="AC52" i="1"/>
  <c r="AC84" i="1"/>
  <c r="AC74" i="1"/>
  <c r="AC87" i="1"/>
  <c r="AC76" i="1"/>
  <c r="AC62" i="1"/>
  <c r="AC71" i="1"/>
  <c r="AC65" i="1"/>
  <c r="AC70" i="1"/>
  <c r="AC53" i="1"/>
  <c r="AC67" i="1"/>
  <c r="AC80" i="1"/>
  <c r="AC88" i="1"/>
  <c r="AC82" i="1"/>
  <c r="AC72" i="1"/>
  <c r="AC83" i="1"/>
  <c r="AC81" i="1"/>
  <c r="AC79" i="1"/>
  <c r="AC61" i="1"/>
  <c r="AC58" i="1"/>
  <c r="AC86" i="1"/>
  <c r="AC75" i="1"/>
  <c r="AC73" i="1"/>
  <c r="AC66" i="1"/>
  <c r="AC56" i="1"/>
  <c r="AC85" i="1"/>
  <c r="AC64" i="1"/>
  <c r="AC59" i="1"/>
  <c r="AC55" i="1"/>
  <c r="AC78" i="1"/>
  <c r="AC77" i="1"/>
  <c r="AC60" i="1"/>
  <c r="AC68" i="1"/>
  <c r="AC54" i="1"/>
  <c r="AC69" i="1"/>
  <c r="AC63" i="1"/>
  <c r="AC12" i="1"/>
  <c r="AC9" i="1"/>
  <c r="AC10" i="1"/>
  <c r="AC11" i="1"/>
  <c r="AC5" i="1"/>
  <c r="AC8" i="1"/>
  <c r="AC4" i="1"/>
  <c r="AC6" i="1"/>
  <c r="AC21" i="1"/>
  <c r="AC15" i="1"/>
  <c r="AC19" i="1"/>
  <c r="AC14" i="1"/>
  <c r="AC13" i="1"/>
  <c r="AC22" i="1"/>
  <c r="AC18" i="1"/>
  <c r="AC20" i="1"/>
  <c r="AC17" i="1"/>
  <c r="AC16" i="1"/>
  <c r="AC102" i="1"/>
  <c r="AC33" i="1"/>
  <c r="AA102" i="1"/>
  <c r="AB102" i="1" s="1"/>
  <c r="AA101" i="1"/>
  <c r="AB101" i="1" s="1"/>
  <c r="AA100" i="1"/>
  <c r="AB100" i="1" s="1"/>
  <c r="AA99" i="1"/>
  <c r="AB99" i="1" s="1"/>
  <c r="AA98" i="1"/>
  <c r="AB98" i="1" s="1"/>
  <c r="AA97" i="1"/>
  <c r="AB97" i="1" s="1"/>
  <c r="AA96" i="1"/>
  <c r="AB96" i="1" s="1"/>
  <c r="AA95" i="1"/>
  <c r="AB95" i="1" s="1"/>
  <c r="AA94" i="1"/>
  <c r="AB94" i="1" s="1"/>
  <c r="AA93" i="1"/>
  <c r="AB93" i="1" s="1"/>
  <c r="AA92" i="1"/>
  <c r="AB92" i="1" s="1"/>
  <c r="AA91" i="1"/>
  <c r="AB91" i="1" s="1"/>
  <c r="AA90" i="1"/>
  <c r="AB90" i="1" s="1"/>
  <c r="AA89" i="1"/>
  <c r="AB89" i="1" s="1"/>
  <c r="AA88" i="1"/>
  <c r="AB88" i="1" s="1"/>
  <c r="AA87" i="1"/>
  <c r="AB87" i="1" s="1"/>
  <c r="AA86" i="1"/>
  <c r="AB86" i="1" s="1"/>
  <c r="AA85" i="1"/>
  <c r="AB85" i="1" s="1"/>
  <c r="AA84" i="1"/>
  <c r="AB84" i="1" s="1"/>
  <c r="AA83" i="1"/>
  <c r="AB83" i="1" s="1"/>
  <c r="AA82" i="1"/>
  <c r="AB82" i="1" s="1"/>
  <c r="AA81" i="1"/>
  <c r="AB81" i="1" s="1"/>
  <c r="AA80" i="1"/>
  <c r="AB80" i="1" s="1"/>
  <c r="AA79" i="1"/>
  <c r="AB79" i="1" s="1"/>
  <c r="AA78" i="1"/>
  <c r="AB78" i="1" s="1"/>
  <c r="AA77" i="1"/>
  <c r="AB77" i="1" s="1"/>
  <c r="AA76" i="1"/>
  <c r="AB76" i="1" s="1"/>
  <c r="AA75" i="1"/>
  <c r="AB75" i="1" s="1"/>
  <c r="AA74" i="1"/>
  <c r="AB74" i="1" s="1"/>
  <c r="AA73" i="1"/>
  <c r="AB73" i="1" s="1"/>
  <c r="AA72" i="1"/>
  <c r="AB72" i="1" s="1"/>
  <c r="AA71" i="1"/>
  <c r="AB71" i="1" s="1"/>
  <c r="AA70" i="1"/>
  <c r="AB70" i="1" s="1"/>
  <c r="AA69" i="1"/>
  <c r="AB69" i="1" s="1"/>
  <c r="AA68" i="1"/>
  <c r="AB68" i="1" s="1"/>
  <c r="AA67" i="1"/>
  <c r="AB67" i="1" s="1"/>
  <c r="AA66" i="1"/>
  <c r="AB66" i="1" s="1"/>
  <c r="AA65" i="1"/>
  <c r="AB65" i="1" s="1"/>
  <c r="AA64" i="1"/>
  <c r="AB64" i="1" s="1"/>
  <c r="AA63" i="1"/>
  <c r="AB63" i="1" s="1"/>
  <c r="AA62" i="1"/>
  <c r="AB62" i="1" s="1"/>
  <c r="AA61" i="1"/>
  <c r="AB61" i="1" s="1"/>
  <c r="AA60" i="1"/>
  <c r="AB60" i="1" s="1"/>
  <c r="AA59" i="1"/>
  <c r="AB59" i="1" s="1"/>
  <c r="AA58" i="1"/>
  <c r="AB58" i="1" s="1"/>
  <c r="AA57" i="1"/>
  <c r="AB57" i="1" s="1"/>
  <c r="AA56" i="1"/>
  <c r="AB56" i="1" s="1"/>
  <c r="AA55" i="1"/>
  <c r="AB55" i="1" s="1"/>
  <c r="AA54" i="1"/>
  <c r="AB54" i="1" s="1"/>
  <c r="AA53" i="1"/>
  <c r="AB53" i="1" s="1"/>
  <c r="AA52" i="1"/>
  <c r="AB52" i="1" s="1"/>
  <c r="AA51" i="1"/>
  <c r="AB51" i="1" s="1"/>
  <c r="AA50" i="1"/>
  <c r="AB50" i="1" s="1"/>
  <c r="AA49" i="1"/>
  <c r="AB49" i="1" s="1"/>
  <c r="AA48" i="1"/>
  <c r="AB48" i="1" s="1"/>
  <c r="AA47" i="1"/>
  <c r="AB47" i="1" s="1"/>
  <c r="AA46" i="1"/>
  <c r="AB46" i="1" s="1"/>
  <c r="AA45" i="1"/>
  <c r="AB45" i="1" s="1"/>
  <c r="AA44" i="1"/>
  <c r="AB44" i="1" s="1"/>
  <c r="AA43" i="1"/>
  <c r="AB43" i="1" s="1"/>
  <c r="AA42" i="1"/>
  <c r="AB42" i="1" s="1"/>
  <c r="AA41" i="1"/>
  <c r="AB41" i="1" s="1"/>
  <c r="AA40" i="1"/>
  <c r="AB40" i="1" s="1"/>
  <c r="AA39" i="1"/>
  <c r="AB39" i="1" s="1"/>
  <c r="AA38" i="1"/>
  <c r="AB38" i="1" s="1"/>
  <c r="AA37" i="1"/>
  <c r="AB37" i="1" s="1"/>
  <c r="AA36" i="1"/>
  <c r="AB36" i="1" s="1"/>
  <c r="AA35" i="1"/>
  <c r="AB35" i="1" s="1"/>
  <c r="AA34" i="1"/>
  <c r="AB34" i="1" s="1"/>
  <c r="AA33" i="1"/>
  <c r="AB33" i="1" s="1"/>
  <c r="AA32" i="1"/>
  <c r="AB32" i="1" s="1"/>
  <c r="AA31" i="1"/>
  <c r="AB31" i="1" s="1"/>
  <c r="AA30" i="1"/>
  <c r="AB30" i="1" s="1"/>
  <c r="AA29" i="1"/>
  <c r="AB29" i="1" s="1"/>
  <c r="AA28" i="1"/>
  <c r="AB28" i="1" s="1"/>
  <c r="AA27" i="1"/>
  <c r="AB27" i="1" s="1"/>
  <c r="AA26" i="1"/>
  <c r="AB26" i="1" s="1"/>
  <c r="AA25" i="1"/>
  <c r="AB25" i="1" s="1"/>
  <c r="AA24" i="1"/>
  <c r="AB24" i="1" s="1"/>
  <c r="AA23" i="1"/>
  <c r="AB23" i="1" s="1"/>
  <c r="AA22" i="1"/>
  <c r="AB22" i="1" s="1"/>
  <c r="AA21" i="1"/>
  <c r="AB21" i="1" s="1"/>
  <c r="AA20" i="1"/>
  <c r="AB20" i="1" s="1"/>
  <c r="AA19" i="1"/>
  <c r="AB19" i="1" s="1"/>
  <c r="AA17" i="1"/>
  <c r="AB17" i="1" s="1"/>
  <c r="AA16" i="1"/>
  <c r="AB16" i="1" s="1"/>
  <c r="AA15" i="1"/>
  <c r="AB15" i="1" s="1"/>
  <c r="AA14" i="1"/>
  <c r="AB14" i="1" s="1"/>
  <c r="AA13" i="1"/>
  <c r="AB13" i="1" s="1"/>
  <c r="AA12" i="1"/>
  <c r="AB12" i="1" s="1"/>
  <c r="AA11" i="1"/>
  <c r="AB11" i="1" s="1"/>
  <c r="AA10" i="1"/>
  <c r="AB10" i="1" s="1"/>
  <c r="AA9" i="1"/>
  <c r="AB9" i="1" s="1"/>
  <c r="AA8" i="1"/>
  <c r="AB8" i="1" s="1"/>
  <c r="AA7" i="1"/>
  <c r="AB7" i="1" s="1"/>
  <c r="AA6" i="1"/>
  <c r="AB6" i="1" s="1"/>
  <c r="AA5" i="1"/>
  <c r="AB5" i="1" s="1"/>
  <c r="AA4" i="1"/>
  <c r="AB4" i="1" s="1"/>
  <c r="AA103" i="1"/>
  <c r="AB103" i="1" s="1"/>
  <c r="V4" i="7" l="1"/>
  <c r="V4" i="8"/>
  <c r="V4" i="6"/>
  <c r="V4" i="5"/>
  <c r="AA4" i="8"/>
  <c r="AA4" i="7"/>
  <c r="AA4" i="6"/>
  <c r="AA4" i="5"/>
  <c r="AJ4" i="8"/>
  <c r="CF4" i="4"/>
  <c r="V5" i="8"/>
  <c r="V5" i="7"/>
  <c r="V5" i="5"/>
  <c r="V5" i="6"/>
  <c r="AJ5" i="8"/>
  <c r="AJ5" i="7"/>
  <c r="CF5" i="4"/>
  <c r="V6" i="7"/>
  <c r="V6" i="8"/>
  <c r="V6" i="5"/>
  <c r="V6" i="6"/>
  <c r="AA6" i="8"/>
  <c r="AA6" i="7"/>
  <c r="AA6" i="5"/>
  <c r="AA6" i="6"/>
  <c r="CF6" i="4"/>
  <c r="V7" i="8"/>
  <c r="V7" i="7"/>
  <c r="AN7" i="5"/>
  <c r="V7" i="5"/>
  <c r="V7" i="6"/>
  <c r="AJ7" i="6"/>
  <c r="CF7" i="4"/>
  <c r="V8" i="5"/>
  <c r="V8" i="6"/>
  <c r="CF8" i="4"/>
  <c r="V9" i="8"/>
  <c r="V9" i="7"/>
  <c r="V9" i="5"/>
  <c r="V9" i="6"/>
  <c r="AJ9" i="8"/>
  <c r="CF9" i="4"/>
  <c r="AJ10" i="7"/>
  <c r="X11" i="9"/>
  <c r="X11" i="8"/>
  <c r="X11" i="7"/>
  <c r="X11" i="5"/>
  <c r="X11" i="6"/>
  <c r="AA11" i="8"/>
  <c r="AA11" i="7"/>
  <c r="AA11" i="6"/>
  <c r="AA11" i="5"/>
  <c r="AJ11" i="8"/>
  <c r="AJ11" i="7"/>
  <c r="V12" i="7"/>
  <c r="V12" i="8"/>
  <c r="V12" i="5"/>
  <c r="V12" i="6"/>
  <c r="AJ12" i="8"/>
  <c r="AJ12" i="7"/>
  <c r="CF12" i="4"/>
  <c r="V13" i="8"/>
  <c r="V13" i="7"/>
  <c r="V13" i="5"/>
  <c r="V13" i="6"/>
  <c r="AA13" i="8"/>
  <c r="AA13" i="7"/>
  <c r="AA13" i="6"/>
  <c r="AA13" i="5"/>
  <c r="CF13" i="4"/>
  <c r="V14" i="8"/>
  <c r="V14" i="7"/>
  <c r="V14" i="5"/>
  <c r="V14" i="6"/>
  <c r="AJ14" i="8"/>
  <c r="AJ14" i="7"/>
  <c r="CF14" i="4"/>
  <c r="V15" i="8"/>
  <c r="V15" i="7"/>
  <c r="V15" i="5"/>
  <c r="V15" i="6"/>
  <c r="AA15" i="8"/>
  <c r="AA15" i="7"/>
  <c r="AA15" i="6"/>
  <c r="AA15" i="5"/>
  <c r="AJ15" i="8"/>
  <c r="AJ15" i="7"/>
  <c r="CF15" i="4"/>
  <c r="AJ16" i="8"/>
  <c r="AJ16" i="7"/>
  <c r="AJ16" i="6"/>
  <c r="CF16" i="4"/>
  <c r="V17" i="7"/>
  <c r="V17" i="8"/>
  <c r="V17" i="5"/>
  <c r="V17" i="6"/>
  <c r="AA17" i="8"/>
  <c r="AA17" i="7"/>
  <c r="AA17" i="6"/>
  <c r="AA17" i="5"/>
  <c r="AJ17" i="8"/>
  <c r="AJ17" i="7"/>
  <c r="CF17" i="4"/>
  <c r="V18" i="8"/>
  <c r="V18" i="7"/>
  <c r="V18" i="5"/>
  <c r="V18" i="6"/>
  <c r="CF18" i="4"/>
  <c r="V19" i="8"/>
  <c r="V19" i="7"/>
  <c r="V19" i="5"/>
  <c r="V19" i="6"/>
  <c r="AJ19" i="8"/>
  <c r="AJ19" i="7"/>
  <c r="CF19" i="4"/>
  <c r="V20" i="8"/>
  <c r="V20" i="7"/>
  <c r="V20" i="5"/>
  <c r="V20" i="6"/>
  <c r="X20" i="9"/>
  <c r="X20" i="8"/>
  <c r="X20" i="7"/>
  <c r="X20" i="5"/>
  <c r="X20" i="6"/>
  <c r="AJ20" i="6"/>
  <c r="CF20" i="4"/>
  <c r="X3" i="9"/>
  <c r="X3" i="8"/>
  <c r="X3" i="7"/>
  <c r="X3" i="6"/>
  <c r="X3" i="5"/>
  <c r="BN3" i="9"/>
  <c r="E3" i="7"/>
  <c r="E3" i="6"/>
  <c r="BN5" i="9"/>
  <c r="E5" i="7"/>
  <c r="E5" i="6"/>
  <c r="E5" i="5"/>
  <c r="BN4" i="9"/>
  <c r="E4" i="7"/>
  <c r="E4" i="6"/>
  <c r="E4" i="5"/>
  <c r="BN6" i="9"/>
  <c r="E6" i="7"/>
  <c r="E6" i="6"/>
  <c r="E6" i="5"/>
  <c r="BN7" i="9"/>
  <c r="E7" i="7"/>
  <c r="E7" i="6"/>
  <c r="E7" i="5"/>
  <c r="E8" i="7"/>
  <c r="E8" i="6"/>
  <c r="E8" i="5"/>
  <c r="BN9" i="9"/>
  <c r="E9" i="7"/>
  <c r="E9" i="6"/>
  <c r="E9" i="5"/>
  <c r="BN10" i="9"/>
  <c r="E10" i="7"/>
  <c r="E10" i="6"/>
  <c r="E10" i="5"/>
  <c r="BN11" i="9"/>
  <c r="E11" i="7"/>
  <c r="E11" i="6"/>
  <c r="E11" i="5"/>
  <c r="BN12" i="9"/>
  <c r="E12" i="7"/>
  <c r="E12" i="6"/>
  <c r="E12" i="5"/>
  <c r="BN13" i="9"/>
  <c r="E13" i="7"/>
  <c r="E13" i="6"/>
  <c r="E13" i="5"/>
  <c r="BN14" i="9"/>
  <c r="E14" i="7"/>
  <c r="E14" i="6"/>
  <c r="E14" i="5"/>
  <c r="BN15" i="9"/>
  <c r="E15" i="7"/>
  <c r="E15" i="6"/>
  <c r="E15" i="5"/>
  <c r="BN16" i="9"/>
  <c r="E16" i="7"/>
  <c r="E16" i="6"/>
  <c r="E16" i="5"/>
  <c r="BN17" i="9"/>
  <c r="E17" i="7"/>
  <c r="E17" i="6"/>
  <c r="E17" i="5"/>
  <c r="BN18" i="9"/>
  <c r="E18" i="7"/>
  <c r="E18" i="6"/>
  <c r="E18" i="5"/>
  <c r="BN19" i="9"/>
  <c r="E19" i="7"/>
  <c r="E19" i="6"/>
  <c r="E19" i="5"/>
  <c r="BN20" i="9"/>
  <c r="E20" i="8"/>
  <c r="E20" i="7"/>
  <c r="E20" i="6"/>
  <c r="E20" i="5"/>
  <c r="X7" i="9"/>
  <c r="X7" i="8"/>
  <c r="X7" i="6"/>
  <c r="X7" i="5"/>
  <c r="CL8" i="4"/>
  <c r="BN8" i="9"/>
  <c r="BN8" i="8"/>
  <c r="BN8" i="7"/>
  <c r="Y8" i="5"/>
  <c r="Y8" i="6"/>
  <c r="V10" i="4"/>
  <c r="AV10" i="9"/>
  <c r="AV10" i="8"/>
  <c r="AV10" i="5"/>
  <c r="AV10" i="6"/>
  <c r="M4" i="9"/>
  <c r="M4" i="7"/>
  <c r="M4" i="6"/>
  <c r="M4" i="5"/>
  <c r="M5" i="9"/>
  <c r="M5" i="7"/>
  <c r="M5" i="6"/>
  <c r="M5" i="5"/>
  <c r="M3" i="9"/>
  <c r="M3" i="7"/>
  <c r="M3" i="6"/>
  <c r="M6" i="9"/>
  <c r="M6" i="7"/>
  <c r="M6" i="6"/>
  <c r="M6" i="5"/>
  <c r="M7" i="9"/>
  <c r="M7" i="7"/>
  <c r="M7" i="6"/>
  <c r="M7" i="5"/>
  <c r="M8" i="9"/>
  <c r="M8" i="7"/>
  <c r="M8" i="6"/>
  <c r="M8" i="5"/>
  <c r="M9" i="9"/>
  <c r="M9" i="7"/>
  <c r="G9" i="4"/>
  <c r="M9" i="6"/>
  <c r="M9" i="5"/>
  <c r="M10" i="9"/>
  <c r="M10" i="7"/>
  <c r="M10" i="6"/>
  <c r="M10" i="5"/>
  <c r="M11" i="9"/>
  <c r="M11" i="7"/>
  <c r="M11" i="6"/>
  <c r="M11" i="5"/>
  <c r="M12" i="9"/>
  <c r="M12" i="7"/>
  <c r="M12" i="6"/>
  <c r="M12" i="5"/>
  <c r="M13" i="9"/>
  <c r="M13" i="7"/>
  <c r="M13" i="6"/>
  <c r="M13" i="5"/>
  <c r="M14" i="9"/>
  <c r="M14" i="7"/>
  <c r="M14" i="6"/>
  <c r="M14" i="5"/>
  <c r="M15" i="9"/>
  <c r="M15" i="7"/>
  <c r="M15" i="6"/>
  <c r="M15" i="5"/>
  <c r="M16" i="9"/>
  <c r="M16" i="7"/>
  <c r="M16" i="6"/>
  <c r="M16" i="5"/>
  <c r="M17" i="9"/>
  <c r="M17" i="7"/>
  <c r="M17" i="6"/>
  <c r="M17" i="5"/>
  <c r="M18" i="9"/>
  <c r="M18" i="7"/>
  <c r="M18" i="6"/>
  <c r="M18" i="5"/>
  <c r="M19" i="9"/>
  <c r="M19" i="7"/>
  <c r="M19" i="6"/>
  <c r="M19" i="5"/>
  <c r="M20" i="9"/>
  <c r="M20" i="8"/>
  <c r="M20" i="7"/>
  <c r="M20" i="6"/>
  <c r="M20" i="5"/>
  <c r="N5" i="9"/>
  <c r="N5" i="7"/>
  <c r="N5" i="6"/>
  <c r="N5" i="5"/>
  <c r="N4" i="9"/>
  <c r="N4" i="7"/>
  <c r="N4" i="6"/>
  <c r="N4" i="5"/>
  <c r="N3" i="9"/>
  <c r="N3" i="7"/>
  <c r="N3" i="6"/>
  <c r="N6" i="9"/>
  <c r="N6" i="7"/>
  <c r="N6" i="6"/>
  <c r="N6" i="5"/>
  <c r="N7" i="9"/>
  <c r="N7" i="7"/>
  <c r="N7" i="6"/>
  <c r="N7" i="5"/>
  <c r="N8" i="9"/>
  <c r="N8" i="7"/>
  <c r="N8" i="6"/>
  <c r="N8" i="5"/>
  <c r="N9" i="9"/>
  <c r="N9" i="7"/>
  <c r="N9" i="6"/>
  <c r="N9" i="5"/>
  <c r="N10" i="9"/>
  <c r="N10" i="7"/>
  <c r="N10" i="6"/>
  <c r="N10" i="5"/>
  <c r="N11" i="9"/>
  <c r="N11" i="7"/>
  <c r="N11" i="6"/>
  <c r="N11" i="5"/>
  <c r="N12" i="9"/>
  <c r="N12" i="7"/>
  <c r="N12" i="6"/>
  <c r="N12" i="5"/>
  <c r="N13" i="9"/>
  <c r="N13" i="7"/>
  <c r="N13" i="6"/>
  <c r="N13" i="5"/>
  <c r="N14" i="9"/>
  <c r="N14" i="7"/>
  <c r="N14" i="6"/>
  <c r="N14" i="5"/>
  <c r="N20" i="9"/>
  <c r="N20" i="8"/>
  <c r="N20" i="7"/>
  <c r="N20" i="6"/>
  <c r="N20" i="5"/>
  <c r="N15" i="9"/>
  <c r="N15" i="7"/>
  <c r="N15" i="6"/>
  <c r="N15" i="5"/>
  <c r="N16" i="9"/>
  <c r="N16" i="7"/>
  <c r="N16" i="6"/>
  <c r="N16" i="5"/>
  <c r="N17" i="9"/>
  <c r="N17" i="7"/>
  <c r="N17" i="6"/>
  <c r="N17" i="5"/>
  <c r="N18" i="9"/>
  <c r="N18" i="7"/>
  <c r="N18" i="6"/>
  <c r="N18" i="5"/>
  <c r="N19" i="9"/>
  <c r="N19" i="7"/>
  <c r="N19" i="6"/>
  <c r="N19" i="5"/>
  <c r="G4" i="9"/>
  <c r="G4" i="7"/>
  <c r="G4" i="6"/>
  <c r="G4" i="5"/>
  <c r="V3" i="8"/>
  <c r="V3" i="7"/>
  <c r="CF3" i="4"/>
  <c r="BA20" i="9"/>
  <c r="BA20" i="8"/>
  <c r="BA20" i="7"/>
  <c r="BA20" i="6"/>
  <c r="BA20" i="5"/>
  <c r="BB13" i="9"/>
  <c r="BB13" i="7"/>
  <c r="BB13" i="8"/>
  <c r="BB13" i="6"/>
  <c r="BB13" i="5"/>
  <c r="BH6" i="9"/>
  <c r="BH6" i="8"/>
  <c r="AJ6" i="8" s="1"/>
  <c r="BH6" i="7"/>
  <c r="BH6" i="6"/>
  <c r="AJ6" i="6" s="1"/>
  <c r="BH6" i="5"/>
  <c r="BH18" i="9"/>
  <c r="BH18" i="8"/>
  <c r="BH18" i="7"/>
  <c r="BH18" i="5"/>
  <c r="BH18" i="6"/>
  <c r="AJ18" i="6" s="1"/>
  <c r="V3" i="6"/>
  <c r="AJ19" i="6"/>
  <c r="AJ17" i="6"/>
  <c r="AJ15" i="6"/>
  <c r="AJ14" i="6"/>
  <c r="AJ13" i="6"/>
  <c r="AJ12" i="6"/>
  <c r="AJ11" i="6"/>
  <c r="AJ10" i="6"/>
  <c r="AJ9" i="6"/>
  <c r="AJ8" i="6"/>
  <c r="AJ5" i="6"/>
  <c r="AJ4" i="6"/>
  <c r="X8" i="9"/>
  <c r="X8" i="8"/>
  <c r="X8" i="7"/>
  <c r="X8" i="6"/>
  <c r="X8" i="5"/>
  <c r="AV11" i="9"/>
  <c r="AV11" i="7"/>
  <c r="V11" i="7" s="1"/>
  <c r="AV11" i="8"/>
  <c r="V11" i="8" s="1"/>
  <c r="AV11" i="6"/>
  <c r="AT19" i="9"/>
  <c r="AT19" i="8"/>
  <c r="AT19" i="7"/>
  <c r="AT19" i="5"/>
  <c r="AT18" i="9"/>
  <c r="AT18" i="8"/>
  <c r="AT18" i="7"/>
  <c r="AT17" i="9"/>
  <c r="AT17" i="8"/>
  <c r="AT17" i="7"/>
  <c r="AJ20" i="7"/>
  <c r="AW3" i="7"/>
  <c r="AZ3" i="7"/>
  <c r="BC3" i="7"/>
  <c r="BD3" i="7"/>
  <c r="BF3" i="7"/>
  <c r="BJ3" i="7"/>
  <c r="BK3" i="7"/>
  <c r="BL3" i="7"/>
  <c r="AS3" i="7"/>
  <c r="AM3" i="7"/>
  <c r="AH3" i="7"/>
  <c r="AI3" i="7"/>
  <c r="AJ3" i="7" s="1"/>
  <c r="AD3" i="7"/>
  <c r="AC3" i="7"/>
  <c r="AB3" i="7"/>
  <c r="AA3" i="7"/>
  <c r="Y3" i="7"/>
  <c r="W3" i="7"/>
  <c r="AW4" i="7"/>
  <c r="AZ4" i="7"/>
  <c r="BC4" i="7"/>
  <c r="BD4" i="7"/>
  <c r="BF4" i="7"/>
  <c r="BJ4" i="7"/>
  <c r="BK4" i="7"/>
  <c r="BL4" i="7"/>
  <c r="AS4" i="7"/>
  <c r="AM4" i="7"/>
  <c r="AH4" i="7"/>
  <c r="AI4" i="7"/>
  <c r="AJ4" i="7" s="1"/>
  <c r="Y4" i="7"/>
  <c r="AB4" i="7"/>
  <c r="AC4" i="7"/>
  <c r="AD4" i="7"/>
  <c r="W4" i="7"/>
  <c r="AW6" i="7"/>
  <c r="AZ6" i="7"/>
  <c r="BC6" i="7"/>
  <c r="BD6" i="7"/>
  <c r="BF6" i="7"/>
  <c r="BJ6" i="7"/>
  <c r="BK6" i="7"/>
  <c r="BL6" i="7"/>
  <c r="AS6" i="7"/>
  <c r="AM6" i="7"/>
  <c r="AH6" i="7"/>
  <c r="AI6" i="7"/>
  <c r="Y6" i="7"/>
  <c r="AB6" i="7"/>
  <c r="AC6" i="7"/>
  <c r="AD6" i="7"/>
  <c r="W6" i="7"/>
  <c r="AW7" i="7"/>
  <c r="AZ7" i="7"/>
  <c r="BC7" i="7"/>
  <c r="BD7" i="7"/>
  <c r="BF7" i="7"/>
  <c r="BJ7" i="7"/>
  <c r="BK7" i="7"/>
  <c r="BL7" i="7"/>
  <c r="AS7" i="7"/>
  <c r="AM7" i="7"/>
  <c r="AI7" i="7"/>
  <c r="AJ7" i="7" s="1"/>
  <c r="AH7" i="7"/>
  <c r="Y7" i="7"/>
  <c r="AA7" i="7"/>
  <c r="AB7" i="7"/>
  <c r="AC7" i="7"/>
  <c r="AD7" i="7"/>
  <c r="W7" i="7"/>
  <c r="BF9" i="7"/>
  <c r="AA9" i="7"/>
  <c r="AW9" i="7"/>
  <c r="AZ9" i="7"/>
  <c r="BC9" i="7"/>
  <c r="BD9" i="7"/>
  <c r="BJ9" i="7"/>
  <c r="BK9" i="7"/>
  <c r="BL9" i="7"/>
  <c r="AS9" i="7"/>
  <c r="AM9" i="7"/>
  <c r="AH9" i="7"/>
  <c r="AI9" i="7"/>
  <c r="AJ9" i="7" s="1"/>
  <c r="Y9" i="7"/>
  <c r="AB9" i="7"/>
  <c r="AC9" i="7"/>
  <c r="AD9" i="7"/>
  <c r="W9" i="7"/>
  <c r="W13" i="7"/>
  <c r="AW13" i="7"/>
  <c r="AZ13" i="7"/>
  <c r="BC13" i="7"/>
  <c r="BD13" i="7"/>
  <c r="BF13" i="7"/>
  <c r="BJ13" i="7"/>
  <c r="BK13" i="7"/>
  <c r="BL13" i="7"/>
  <c r="AS13" i="7"/>
  <c r="AM13" i="7"/>
  <c r="AH13" i="7"/>
  <c r="AI13" i="7"/>
  <c r="AJ13" i="7" s="1"/>
  <c r="Y13" i="7"/>
  <c r="AB13" i="7"/>
  <c r="AC13" i="7"/>
  <c r="AD13" i="7"/>
  <c r="AW18" i="7"/>
  <c r="AZ18" i="7"/>
  <c r="BC18" i="7"/>
  <c r="BD18" i="7"/>
  <c r="BF18" i="7"/>
  <c r="BJ18" i="7"/>
  <c r="BK18" i="7"/>
  <c r="BL18" i="7"/>
  <c r="AS18" i="7"/>
  <c r="AM18" i="7"/>
  <c r="AH18" i="7"/>
  <c r="AI18" i="7"/>
  <c r="Y18" i="7"/>
  <c r="AA18" i="7"/>
  <c r="AB18" i="7"/>
  <c r="AC18" i="7"/>
  <c r="AD18" i="7"/>
  <c r="W18" i="7"/>
  <c r="AJ20" i="8"/>
  <c r="BJ18" i="8"/>
  <c r="BK18" i="8"/>
  <c r="BL18" i="8"/>
  <c r="BF18" i="8"/>
  <c r="AW18" i="8"/>
  <c r="AZ18" i="8"/>
  <c r="BC18" i="8"/>
  <c r="BD18" i="8"/>
  <c r="W18" i="8"/>
  <c r="Y18" i="8"/>
  <c r="AA18" i="8"/>
  <c r="AB18" i="8"/>
  <c r="AC18" i="8"/>
  <c r="AD18" i="8"/>
  <c r="AH18" i="8"/>
  <c r="AI18" i="8"/>
  <c r="AM18" i="8"/>
  <c r="AS18" i="8"/>
  <c r="BJ13" i="8"/>
  <c r="BK13" i="8"/>
  <c r="BL13" i="8"/>
  <c r="BF13" i="8"/>
  <c r="AW13" i="8"/>
  <c r="AZ13" i="8"/>
  <c r="BC13" i="8"/>
  <c r="BD13" i="8"/>
  <c r="W13" i="8"/>
  <c r="Y13" i="8"/>
  <c r="AB13" i="8"/>
  <c r="AC13" i="8"/>
  <c r="AD13" i="8"/>
  <c r="AH13" i="8"/>
  <c r="AI13" i="8"/>
  <c r="AJ13" i="8" s="1"/>
  <c r="AM13" i="8"/>
  <c r="AS13" i="8"/>
  <c r="W10" i="8"/>
  <c r="BJ10" i="8"/>
  <c r="BK10" i="8"/>
  <c r="BL10" i="8"/>
  <c r="BF10" i="8"/>
  <c r="AW10" i="8"/>
  <c r="AZ10" i="8"/>
  <c r="BC10" i="8"/>
  <c r="BD10" i="8"/>
  <c r="Y10" i="8"/>
  <c r="AA10" i="8"/>
  <c r="AB10" i="8"/>
  <c r="AC10" i="8"/>
  <c r="AD10" i="8"/>
  <c r="AH10" i="8"/>
  <c r="AI10" i="8"/>
  <c r="AJ10" i="8" s="1"/>
  <c r="AM10" i="8"/>
  <c r="AS10" i="8"/>
  <c r="BJ7" i="8"/>
  <c r="BK7" i="8"/>
  <c r="BL7" i="8"/>
  <c r="BF7" i="8"/>
  <c r="AW7" i="8"/>
  <c r="AZ7" i="8"/>
  <c r="BC7" i="8"/>
  <c r="BD7" i="8"/>
  <c r="W7" i="8"/>
  <c r="Y7" i="8"/>
  <c r="AA7" i="8"/>
  <c r="AB7" i="8"/>
  <c r="AC7" i="8"/>
  <c r="AD7" i="8"/>
  <c r="AH7" i="8"/>
  <c r="AI7" i="8"/>
  <c r="AJ7" i="8" s="1"/>
  <c r="AM7" i="8"/>
  <c r="AS7" i="8"/>
  <c r="BJ5" i="8"/>
  <c r="BK5" i="8"/>
  <c r="BL5" i="8"/>
  <c r="BF5" i="8"/>
  <c r="AW5" i="8"/>
  <c r="AZ5" i="8"/>
  <c r="BC5" i="8"/>
  <c r="BD5" i="8"/>
  <c r="AH5" i="8"/>
  <c r="X9" i="9"/>
  <c r="X9" i="7"/>
  <c r="X9" i="5"/>
  <c r="V16" i="7"/>
  <c r="V11" i="5"/>
  <c r="V11" i="6"/>
  <c r="CF11" i="4"/>
  <c r="AJ20" i="5"/>
  <c r="AJ19" i="5"/>
  <c r="AJ18" i="5"/>
  <c r="AJ17" i="5"/>
  <c r="AJ16" i="5"/>
  <c r="AJ15" i="5"/>
  <c r="AJ14" i="5"/>
  <c r="AJ13" i="5"/>
  <c r="AJ12" i="5"/>
  <c r="AJ11" i="5"/>
  <c r="AJ10" i="5"/>
  <c r="AJ9" i="5"/>
  <c r="AJ8" i="5"/>
  <c r="AJ7" i="5"/>
  <c r="AJ6" i="5"/>
  <c r="AJ5" i="5"/>
  <c r="AJ4" i="5"/>
  <c r="M4" i="8"/>
  <c r="G5" i="4"/>
  <c r="M5" i="8"/>
  <c r="G3" i="4"/>
  <c r="M3" i="8"/>
  <c r="G6" i="4"/>
  <c r="M6" i="8"/>
  <c r="G7" i="4"/>
  <c r="M7" i="8"/>
  <c r="G8" i="4"/>
  <c r="M8" i="8"/>
  <c r="M9" i="8"/>
  <c r="G10" i="4"/>
  <c r="M10" i="8"/>
  <c r="G11" i="4"/>
  <c r="M11" i="8"/>
  <c r="G12" i="4"/>
  <c r="M12" i="8"/>
  <c r="G13" i="4"/>
  <c r="M13" i="8"/>
  <c r="G14" i="4"/>
  <c r="M14" i="8"/>
  <c r="G15" i="4"/>
  <c r="M15" i="8"/>
  <c r="G16" i="4"/>
  <c r="M16" i="8"/>
  <c r="G17" i="4"/>
  <c r="M17" i="8"/>
  <c r="G18" i="4"/>
  <c r="M18" i="8"/>
  <c r="G19" i="4"/>
  <c r="M19" i="8"/>
  <c r="G20" i="4"/>
  <c r="BT4" i="4"/>
  <c r="BY4" i="4" s="1"/>
  <c r="BS4" i="4"/>
  <c r="BX4" i="4" s="1"/>
  <c r="BR4" i="4"/>
  <c r="BW4" i="4" s="1"/>
  <c r="BQ4" i="4"/>
  <c r="BV4" i="4" s="1"/>
  <c r="BN4" i="4"/>
  <c r="BO4" i="4"/>
  <c r="BP4" i="4"/>
  <c r="BM4" i="4"/>
  <c r="AE38" i="4"/>
  <c r="CD4" i="4"/>
  <c r="W38" i="4"/>
  <c r="X38" i="4"/>
  <c r="Y38" i="4"/>
  <c r="Z38" i="4"/>
  <c r="AA38" i="4"/>
  <c r="AB38" i="4"/>
  <c r="AC38" i="4"/>
  <c r="AD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V38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V39" i="4"/>
  <c r="CB4" i="4"/>
  <c r="CC4" i="4"/>
  <c r="AV10" i="7"/>
  <c r="E3" i="8"/>
  <c r="X7" i="7"/>
  <c r="BY119" i="1"/>
  <c r="BY132" i="1"/>
  <c r="BW132" i="1"/>
  <c r="BO132" i="1"/>
  <c r="BP132" i="1"/>
  <c r="BU132" i="1" s="1"/>
  <c r="BQ132" i="1"/>
  <c r="BV132" i="1" s="1"/>
  <c r="BZ117" i="1"/>
  <c r="CA117" i="1"/>
  <c r="BZ119" i="1"/>
  <c r="CA119" i="1"/>
  <c r="BZ120" i="1"/>
  <c r="CA120" i="1"/>
  <c r="BZ121" i="1"/>
  <c r="CA121" i="1"/>
  <c r="BZ122" i="1"/>
  <c r="CA122" i="1"/>
  <c r="BZ124" i="1"/>
  <c r="CA124" i="1"/>
  <c r="BZ128" i="1"/>
  <c r="CA128" i="1"/>
  <c r="BZ130" i="1"/>
  <c r="CA130" i="1"/>
  <c r="BZ131" i="1"/>
  <c r="CA131" i="1"/>
  <c r="BZ115" i="1"/>
  <c r="CA115" i="1"/>
  <c r="CA116" i="1"/>
  <c r="CA118" i="1"/>
  <c r="CA127" i="1"/>
  <c r="CA125" i="1"/>
  <c r="BO123" i="1"/>
  <c r="CB123" i="1"/>
  <c r="BO126" i="1"/>
  <c r="CB126" i="1"/>
  <c r="BO129" i="1"/>
  <c r="CB129" i="1"/>
  <c r="BR129" i="1"/>
  <c r="BQ123" i="1"/>
  <c r="BY115" i="1"/>
  <c r="BY131" i="1"/>
  <c r="BY130" i="1"/>
  <c r="BY129" i="1"/>
  <c r="BY128" i="1"/>
  <c r="BY127" i="1"/>
  <c r="BY126" i="1"/>
  <c r="BY125" i="1"/>
  <c r="BY124" i="1"/>
  <c r="BY123" i="1"/>
  <c r="BY122" i="1"/>
  <c r="BY121" i="1"/>
  <c r="BY120" i="1"/>
  <c r="BY118" i="1"/>
  <c r="BY117" i="1"/>
  <c r="BY116" i="1"/>
  <c r="BT119" i="1"/>
  <c r="BW115" i="1"/>
  <c r="BV115" i="1"/>
  <c r="BU115" i="1"/>
  <c r="BT115" i="1"/>
  <c r="BW131" i="1"/>
  <c r="BV131" i="1"/>
  <c r="BU131" i="1"/>
  <c r="BT131" i="1"/>
  <c r="BW130" i="1"/>
  <c r="BV130" i="1"/>
  <c r="BU130" i="1"/>
  <c r="BT130" i="1"/>
  <c r="BW129" i="1"/>
  <c r="BV129" i="1"/>
  <c r="BU129" i="1"/>
  <c r="BT129" i="1"/>
  <c r="BW128" i="1"/>
  <c r="BV128" i="1"/>
  <c r="BU128" i="1"/>
  <c r="BT128" i="1"/>
  <c r="BW127" i="1"/>
  <c r="BV127" i="1"/>
  <c r="BU127" i="1"/>
  <c r="BT127" i="1"/>
  <c r="BW126" i="1"/>
  <c r="BV126" i="1"/>
  <c r="BU126" i="1"/>
  <c r="BT126" i="1"/>
  <c r="BW125" i="1"/>
  <c r="BV125" i="1"/>
  <c r="BU125" i="1"/>
  <c r="BT125" i="1"/>
  <c r="BW124" i="1"/>
  <c r="BV124" i="1"/>
  <c r="BU124" i="1"/>
  <c r="BT124" i="1"/>
  <c r="BW123" i="1"/>
  <c r="BV123" i="1"/>
  <c r="BU123" i="1"/>
  <c r="BT123" i="1"/>
  <c r="BW122" i="1"/>
  <c r="BV122" i="1"/>
  <c r="BU122" i="1"/>
  <c r="BT122" i="1"/>
  <c r="BW121" i="1"/>
  <c r="BV121" i="1"/>
  <c r="BU121" i="1"/>
  <c r="BT121" i="1"/>
  <c r="BW120" i="1"/>
  <c r="BV120" i="1"/>
  <c r="BU120" i="1"/>
  <c r="BT120" i="1"/>
  <c r="BW118" i="1"/>
  <c r="BV118" i="1"/>
  <c r="BU118" i="1"/>
  <c r="BT118" i="1"/>
  <c r="BW117" i="1"/>
  <c r="BV117" i="1"/>
  <c r="BU117" i="1"/>
  <c r="BT117" i="1"/>
  <c r="BW116" i="1"/>
  <c r="BV116" i="1"/>
  <c r="BU116" i="1"/>
  <c r="BT116" i="1"/>
  <c r="BW119" i="1"/>
  <c r="BV119" i="1"/>
  <c r="BU119" i="1"/>
  <c r="G20" i="9" l="1"/>
  <c r="G20" i="8"/>
  <c r="G20" i="7"/>
  <c r="G20" i="6"/>
  <c r="G20" i="5"/>
  <c r="G19" i="9"/>
  <c r="G19" i="7"/>
  <c r="G19" i="6"/>
  <c r="G19" i="5"/>
  <c r="G18" i="9"/>
  <c r="G18" i="7"/>
  <c r="G18" i="6"/>
  <c r="G18" i="5"/>
  <c r="G17" i="9"/>
  <c r="G17" i="7"/>
  <c r="G17" i="6"/>
  <c r="G17" i="5"/>
  <c r="G16" i="9"/>
  <c r="G16" i="7"/>
  <c r="G16" i="6"/>
  <c r="G16" i="5"/>
  <c r="G15" i="9"/>
  <c r="G15" i="7"/>
  <c r="G15" i="6"/>
  <c r="G15" i="5"/>
  <c r="G14" i="9"/>
  <c r="G14" i="7"/>
  <c r="G14" i="6"/>
  <c r="G14" i="5"/>
  <c r="G13" i="9"/>
  <c r="G13" i="7"/>
  <c r="G13" i="6"/>
  <c r="G13" i="5"/>
  <c r="G12" i="9"/>
  <c r="G12" i="7"/>
  <c r="G12" i="6"/>
  <c r="G12" i="5"/>
  <c r="G11" i="9"/>
  <c r="G11" i="7"/>
  <c r="G11" i="6"/>
  <c r="G11" i="5"/>
  <c r="G10" i="9"/>
  <c r="G10" i="7"/>
  <c r="G10" i="6"/>
  <c r="G10" i="5"/>
  <c r="G8" i="9"/>
  <c r="G8" i="7"/>
  <c r="G8" i="6"/>
  <c r="G8" i="5"/>
  <c r="G7" i="9"/>
  <c r="G7" i="7"/>
  <c r="G7" i="6"/>
  <c r="G7" i="5"/>
  <c r="G6" i="9"/>
  <c r="G6" i="7"/>
  <c r="G6" i="6"/>
  <c r="G6" i="5"/>
  <c r="G3" i="9"/>
  <c r="G3" i="7"/>
  <c r="G3" i="6"/>
  <c r="G5" i="9"/>
  <c r="G5" i="7"/>
  <c r="G5" i="6"/>
  <c r="G5" i="5"/>
  <c r="AJ18" i="7"/>
  <c r="AJ18" i="8"/>
  <c r="AJ6" i="7"/>
  <c r="G9" i="9"/>
  <c r="G9" i="7"/>
  <c r="G9" i="5"/>
  <c r="G9" i="6"/>
  <c r="V10" i="7"/>
  <c r="V10" i="8"/>
  <c r="V10" i="5"/>
  <c r="V10" i="6"/>
  <c r="CF10" i="4"/>
  <c r="BF8" i="7"/>
  <c r="AW8" i="7"/>
  <c r="AZ8" i="7"/>
  <c r="BC8" i="7"/>
  <c r="BD8" i="7"/>
  <c r="BJ8" i="7"/>
  <c r="BK8" i="7"/>
  <c r="BL8" i="7"/>
  <c r="AS8" i="7"/>
  <c r="AM8" i="7"/>
  <c r="AH8" i="7"/>
  <c r="AI8" i="7"/>
  <c r="AJ8" i="7" s="1"/>
  <c r="AA8" i="7"/>
  <c r="AB8" i="7"/>
  <c r="AC8" i="7"/>
  <c r="AD8" i="7"/>
  <c r="W8" i="7"/>
  <c r="T8" i="7"/>
  <c r="V8" i="7"/>
  <c r="Y8" i="7"/>
  <c r="BJ8" i="8"/>
  <c r="BK8" i="8"/>
  <c r="BL8" i="8"/>
  <c r="BF8" i="8"/>
  <c r="AW8" i="8"/>
  <c r="AZ8" i="8"/>
  <c r="BC8" i="8"/>
  <c r="BD8" i="8"/>
  <c r="W8" i="8"/>
  <c r="AA8" i="8"/>
  <c r="AB8" i="8"/>
  <c r="AC8" i="8"/>
  <c r="AD8" i="8"/>
  <c r="AH8" i="8"/>
  <c r="AI8" i="8"/>
  <c r="AJ8" i="8" s="1"/>
  <c r="AM8" i="8"/>
  <c r="AS8" i="8"/>
  <c r="V8" i="8"/>
  <c r="Y8" i="8"/>
  <c r="BK8" i="9"/>
  <c r="BL8" i="9"/>
  <c r="BJ8" i="9"/>
  <c r="BF8" i="9"/>
  <c r="BD8" i="9"/>
  <c r="BC8" i="9"/>
  <c r="AZ8" i="9"/>
  <c r="AW8" i="9"/>
  <c r="AT8" i="9"/>
  <c r="AS8" i="9"/>
  <c r="AR8" i="9"/>
  <c r="AQ8" i="9"/>
  <c r="AP8" i="9"/>
  <c r="AO8" i="9"/>
  <c r="AN8" i="9"/>
  <c r="V8" i="9" s="1"/>
  <c r="AM8" i="9"/>
  <c r="AL8" i="9"/>
  <c r="AK8" i="9"/>
  <c r="AI8" i="9"/>
  <c r="AJ8" i="9" s="1"/>
  <c r="AE8" i="9"/>
  <c r="AF8" i="9"/>
  <c r="AG8" i="9"/>
  <c r="AB8" i="9"/>
  <c r="AC8" i="9"/>
  <c r="AD8" i="9"/>
  <c r="AA8" i="9"/>
  <c r="W8" i="9"/>
  <c r="AH8" i="9"/>
  <c r="T8" i="9"/>
  <c r="U8" i="9"/>
  <c r="P8" i="9"/>
  <c r="Q8" i="9"/>
  <c r="R8" i="9"/>
  <c r="S8" i="9"/>
  <c r="O8" i="9"/>
  <c r="L8" i="9"/>
  <c r="K8" i="9"/>
  <c r="J8" i="9"/>
  <c r="I8" i="9"/>
  <c r="H8" i="9"/>
  <c r="D8" i="9"/>
  <c r="F8" i="9"/>
  <c r="E8" i="9"/>
  <c r="Y8" i="9"/>
  <c r="BK20" i="9"/>
  <c r="BL20" i="9"/>
  <c r="BJ20" i="9"/>
  <c r="BF20" i="9"/>
  <c r="BD20" i="9"/>
  <c r="BC20" i="9"/>
  <c r="AZ20" i="9"/>
  <c r="AW20" i="9"/>
  <c r="AT20" i="9"/>
  <c r="AS20" i="9"/>
  <c r="AR20" i="9"/>
  <c r="AQ20" i="9"/>
  <c r="AP20" i="9"/>
  <c r="AO20" i="9"/>
  <c r="AN20" i="9"/>
  <c r="V20" i="9" s="1"/>
  <c r="AM20" i="9"/>
  <c r="AL20" i="9"/>
  <c r="AK20" i="9"/>
  <c r="AI20" i="9"/>
  <c r="AJ20" i="9" s="1"/>
  <c r="AE20" i="9"/>
  <c r="AF20" i="9"/>
  <c r="AG20" i="9"/>
  <c r="AB20" i="9"/>
  <c r="AC20" i="9"/>
  <c r="AD20" i="9"/>
  <c r="AA20" i="9"/>
  <c r="Y20" i="9"/>
  <c r="W20" i="9"/>
  <c r="AH20" i="9"/>
  <c r="T20" i="9"/>
  <c r="U20" i="9"/>
  <c r="S20" i="9"/>
  <c r="R20" i="9"/>
  <c r="Q20" i="9"/>
  <c r="P20" i="9"/>
  <c r="O20" i="9"/>
  <c r="H20" i="9"/>
  <c r="I20" i="9"/>
  <c r="J20" i="9"/>
  <c r="K20" i="9"/>
  <c r="L20" i="9"/>
  <c r="F20" i="9"/>
  <c r="D20" i="9"/>
  <c r="E20" i="9"/>
  <c r="BK19" i="9"/>
  <c r="BL19" i="9"/>
  <c r="BJ19" i="9"/>
  <c r="BF19" i="9"/>
  <c r="BD19" i="9"/>
  <c r="BC19" i="9"/>
  <c r="AZ19" i="9"/>
  <c r="AW19" i="9"/>
  <c r="AS19" i="9"/>
  <c r="AR19" i="9"/>
  <c r="AQ19" i="9"/>
  <c r="AP19" i="9"/>
  <c r="AO19" i="9"/>
  <c r="AN19" i="9"/>
  <c r="V19" i="9" s="1"/>
  <c r="AM19" i="9"/>
  <c r="AL19" i="9"/>
  <c r="AK19" i="9"/>
  <c r="AI19" i="9"/>
  <c r="AJ19" i="9" s="1"/>
  <c r="AE19" i="9"/>
  <c r="AF19" i="9"/>
  <c r="AG19" i="9"/>
  <c r="AB19" i="9"/>
  <c r="AC19" i="9"/>
  <c r="AD19" i="9"/>
  <c r="AA19" i="9"/>
  <c r="Y19" i="9"/>
  <c r="W19" i="9"/>
  <c r="AH19" i="9"/>
  <c r="T19" i="9"/>
  <c r="U19" i="9"/>
  <c r="P19" i="9"/>
  <c r="Q19" i="9"/>
  <c r="R19" i="9"/>
  <c r="S19" i="9"/>
  <c r="O19" i="9"/>
  <c r="H19" i="9"/>
  <c r="I19" i="9"/>
  <c r="J19" i="9"/>
  <c r="K19" i="9"/>
  <c r="L19" i="9"/>
  <c r="F19" i="9"/>
  <c r="D19" i="9"/>
  <c r="E19" i="9"/>
  <c r="BK18" i="9"/>
  <c r="BL18" i="9"/>
  <c r="BJ18" i="9"/>
  <c r="BF18" i="9"/>
  <c r="BD18" i="9"/>
  <c r="BC18" i="9"/>
  <c r="AZ18" i="9"/>
  <c r="AW18" i="9"/>
  <c r="AS18" i="9"/>
  <c r="AR18" i="9"/>
  <c r="AQ18" i="9"/>
  <c r="AP18" i="9"/>
  <c r="AO18" i="9"/>
  <c r="AN18" i="9"/>
  <c r="V18" i="9" s="1"/>
  <c r="AM18" i="9"/>
  <c r="AL18" i="9"/>
  <c r="AK18" i="9"/>
  <c r="AI18" i="9"/>
  <c r="AJ18" i="9" s="1"/>
  <c r="AE18" i="9"/>
  <c r="AF18" i="9"/>
  <c r="AG18" i="9"/>
  <c r="AB18" i="9"/>
  <c r="AC18" i="9"/>
  <c r="AD18" i="9"/>
  <c r="AA18" i="9"/>
  <c r="Y18" i="9"/>
  <c r="W18" i="9"/>
  <c r="AH18" i="9"/>
  <c r="T18" i="9"/>
  <c r="U18" i="9"/>
  <c r="P18" i="9"/>
  <c r="Q18" i="9"/>
  <c r="R18" i="9"/>
  <c r="S18" i="9"/>
  <c r="O18" i="9"/>
  <c r="H18" i="9"/>
  <c r="I18" i="9"/>
  <c r="J18" i="9"/>
  <c r="K18" i="9"/>
  <c r="L18" i="9"/>
  <c r="F18" i="9"/>
  <c r="D18" i="9"/>
  <c r="E18" i="9"/>
  <c r="BK17" i="9"/>
  <c r="BL17" i="9"/>
  <c r="BJ17" i="9"/>
  <c r="BF17" i="9"/>
  <c r="BD17" i="9"/>
  <c r="BC17" i="9"/>
  <c r="AZ17" i="9"/>
  <c r="AW17" i="9"/>
  <c r="AS17" i="9"/>
  <c r="AR17" i="9"/>
  <c r="AQ17" i="9"/>
  <c r="AP17" i="9"/>
  <c r="AO17" i="9"/>
  <c r="AN17" i="9"/>
  <c r="V17" i="9" s="1"/>
  <c r="AM17" i="9"/>
  <c r="AL17" i="9"/>
  <c r="AK17" i="9"/>
  <c r="AI17" i="9"/>
  <c r="AJ17" i="9" s="1"/>
  <c r="AE17" i="9"/>
  <c r="AF17" i="9"/>
  <c r="AG17" i="9"/>
  <c r="AB17" i="9"/>
  <c r="AC17" i="9"/>
  <c r="AD17" i="9"/>
  <c r="Y17" i="9"/>
  <c r="W17" i="9"/>
  <c r="AH17" i="9"/>
  <c r="T17" i="9"/>
  <c r="U17" i="9"/>
  <c r="P17" i="9"/>
  <c r="Q17" i="9"/>
  <c r="R17" i="9"/>
  <c r="S17" i="9"/>
  <c r="O17" i="9"/>
  <c r="H17" i="9"/>
  <c r="I17" i="9"/>
  <c r="J17" i="9"/>
  <c r="K17" i="9"/>
  <c r="L17" i="9"/>
  <c r="F17" i="9"/>
  <c r="D17" i="9"/>
  <c r="AA17" i="9"/>
  <c r="E17" i="9"/>
  <c r="BK16" i="9"/>
  <c r="BL16" i="9"/>
  <c r="BJ16" i="9"/>
  <c r="BF16" i="9"/>
  <c r="BD16" i="9"/>
  <c r="BC16" i="9"/>
  <c r="AZ16" i="9"/>
  <c r="AW16" i="9"/>
  <c r="AT16" i="9"/>
  <c r="AS16" i="9"/>
  <c r="AR16" i="9"/>
  <c r="AQ16" i="9"/>
  <c r="AP16" i="9"/>
  <c r="AO16" i="9"/>
  <c r="AN16" i="9"/>
  <c r="V16" i="9" s="1"/>
  <c r="AM16" i="9"/>
  <c r="AL16" i="9"/>
  <c r="AK16" i="9"/>
  <c r="AI16" i="9"/>
  <c r="AJ16" i="9" s="1"/>
  <c r="AE16" i="9"/>
  <c r="AF16" i="9"/>
  <c r="AG16" i="9"/>
  <c r="AB16" i="9"/>
  <c r="AC16" i="9"/>
  <c r="AD16" i="9"/>
  <c r="AA16" i="9"/>
  <c r="Y16" i="9"/>
  <c r="W16" i="9"/>
  <c r="AH16" i="9"/>
  <c r="T16" i="9"/>
  <c r="U16" i="9"/>
  <c r="P16" i="9"/>
  <c r="Q16" i="9"/>
  <c r="R16" i="9"/>
  <c r="S16" i="9"/>
  <c r="O16" i="9"/>
  <c r="H16" i="9"/>
  <c r="I16" i="9"/>
  <c r="J16" i="9"/>
  <c r="K16" i="9"/>
  <c r="L16" i="9"/>
  <c r="F16" i="9"/>
  <c r="D16" i="9"/>
  <c r="E16" i="9"/>
  <c r="BK15" i="9"/>
  <c r="BL15" i="9"/>
  <c r="BJ15" i="9"/>
  <c r="BF15" i="9"/>
  <c r="BD15" i="9"/>
  <c r="BC15" i="9"/>
  <c r="AZ15" i="9"/>
  <c r="AW15" i="9"/>
  <c r="AT15" i="9"/>
  <c r="AS15" i="9"/>
  <c r="AR15" i="9"/>
  <c r="AQ15" i="9"/>
  <c r="AP15" i="9"/>
  <c r="AO15" i="9"/>
  <c r="AN15" i="9"/>
  <c r="V15" i="9" s="1"/>
  <c r="AM15" i="9"/>
  <c r="AL15" i="9"/>
  <c r="AK15" i="9"/>
  <c r="AI15" i="9"/>
  <c r="AJ15" i="9" s="1"/>
  <c r="AE15" i="9"/>
  <c r="AF15" i="9"/>
  <c r="AG15" i="9"/>
  <c r="AB15" i="9"/>
  <c r="AC15" i="9"/>
  <c r="AD15" i="9"/>
  <c r="Y15" i="9"/>
  <c r="W15" i="9"/>
  <c r="AH15" i="9"/>
  <c r="T15" i="9"/>
  <c r="U15" i="9"/>
  <c r="O15" i="9"/>
  <c r="P15" i="9"/>
  <c r="Q15" i="9"/>
  <c r="R15" i="9"/>
  <c r="S15" i="9"/>
  <c r="H15" i="9"/>
  <c r="I15" i="9"/>
  <c r="J15" i="9"/>
  <c r="K15" i="9"/>
  <c r="L15" i="9"/>
  <c r="D15" i="9"/>
  <c r="F15" i="9"/>
  <c r="AA15" i="9"/>
  <c r="E15" i="9"/>
  <c r="BK14" i="9"/>
  <c r="BL14" i="9"/>
  <c r="BJ14" i="9"/>
  <c r="BF14" i="9"/>
  <c r="BD14" i="9"/>
  <c r="BC14" i="9"/>
  <c r="AZ14" i="9"/>
  <c r="AW14" i="9"/>
  <c r="AT14" i="9"/>
  <c r="AS14" i="9"/>
  <c r="AR14" i="9"/>
  <c r="AQ14" i="9"/>
  <c r="AP14" i="9"/>
  <c r="AO14" i="9"/>
  <c r="AN14" i="9"/>
  <c r="V14" i="9" s="1"/>
  <c r="AM14" i="9"/>
  <c r="AL14" i="9"/>
  <c r="AK14" i="9"/>
  <c r="AI14" i="9"/>
  <c r="AJ14" i="9" s="1"/>
  <c r="AE14" i="9"/>
  <c r="AF14" i="9"/>
  <c r="AG14" i="9"/>
  <c r="AB14" i="9"/>
  <c r="AC14" i="9"/>
  <c r="AD14" i="9"/>
  <c r="AA14" i="9"/>
  <c r="Y14" i="9"/>
  <c r="W14" i="9"/>
  <c r="AH14" i="9"/>
  <c r="T14" i="9"/>
  <c r="U14" i="9"/>
  <c r="O14" i="9"/>
  <c r="P14" i="9"/>
  <c r="Q14" i="9"/>
  <c r="R14" i="9"/>
  <c r="S14" i="9"/>
  <c r="H14" i="9"/>
  <c r="I14" i="9"/>
  <c r="J14" i="9"/>
  <c r="K14" i="9"/>
  <c r="L14" i="9"/>
  <c r="D14" i="9"/>
  <c r="F14" i="9"/>
  <c r="E14" i="9"/>
  <c r="BK13" i="9"/>
  <c r="BL13" i="9"/>
  <c r="BJ13" i="9"/>
  <c r="BF13" i="9"/>
  <c r="BD13" i="9"/>
  <c r="BC13" i="9"/>
  <c r="AZ13" i="9"/>
  <c r="AW13" i="9"/>
  <c r="AT13" i="9"/>
  <c r="AS13" i="9"/>
  <c r="AR13" i="9"/>
  <c r="AQ13" i="9"/>
  <c r="AP13" i="9"/>
  <c r="AO13" i="9"/>
  <c r="AN13" i="9"/>
  <c r="V13" i="9" s="1"/>
  <c r="AM13" i="9"/>
  <c r="AL13" i="9"/>
  <c r="AK13" i="9"/>
  <c r="AI13" i="9"/>
  <c r="AJ13" i="9" s="1"/>
  <c r="AE13" i="9"/>
  <c r="AF13" i="9"/>
  <c r="AG13" i="9"/>
  <c r="AB13" i="9"/>
  <c r="AC13" i="9"/>
  <c r="AD13" i="9"/>
  <c r="Y13" i="9"/>
  <c r="W13" i="9"/>
  <c r="AH13" i="9"/>
  <c r="T13" i="9"/>
  <c r="U13" i="9"/>
  <c r="O13" i="9"/>
  <c r="P13" i="9"/>
  <c r="Q13" i="9"/>
  <c r="R13" i="9"/>
  <c r="S13" i="9"/>
  <c r="H13" i="9"/>
  <c r="I13" i="9"/>
  <c r="J13" i="9"/>
  <c r="K13" i="9"/>
  <c r="L13" i="9"/>
  <c r="D13" i="9"/>
  <c r="F13" i="9"/>
  <c r="AA13" i="9"/>
  <c r="E13" i="9"/>
  <c r="BK12" i="9"/>
  <c r="BL12" i="9"/>
  <c r="BJ12" i="9"/>
  <c r="BF12" i="9"/>
  <c r="BD12" i="9"/>
  <c r="BC12" i="9"/>
  <c r="AZ12" i="9"/>
  <c r="AW12" i="9"/>
  <c r="AT12" i="9"/>
  <c r="AS12" i="9"/>
  <c r="AR12" i="9"/>
  <c r="AQ12" i="9"/>
  <c r="AP12" i="9"/>
  <c r="AO12" i="9"/>
  <c r="AN12" i="9"/>
  <c r="V12" i="9" s="1"/>
  <c r="AM12" i="9"/>
  <c r="AL12" i="9"/>
  <c r="AK12" i="9"/>
  <c r="AI12" i="9"/>
  <c r="AJ12" i="9" s="1"/>
  <c r="AF12" i="9"/>
  <c r="AE12" i="9"/>
  <c r="AG12" i="9"/>
  <c r="AB12" i="9"/>
  <c r="AC12" i="9"/>
  <c r="AD12" i="9"/>
  <c r="AA12" i="9"/>
  <c r="Y12" i="9"/>
  <c r="W12" i="9"/>
  <c r="AH12" i="9"/>
  <c r="T12" i="9"/>
  <c r="U12" i="9"/>
  <c r="O12" i="9"/>
  <c r="P12" i="9"/>
  <c r="Q12" i="9"/>
  <c r="R12" i="9"/>
  <c r="S12" i="9"/>
  <c r="H12" i="9"/>
  <c r="I12" i="9"/>
  <c r="J12" i="9"/>
  <c r="K12" i="9"/>
  <c r="L12" i="9"/>
  <c r="D12" i="9"/>
  <c r="F12" i="9"/>
  <c r="E12" i="9"/>
  <c r="BK11" i="9"/>
  <c r="BL11" i="9"/>
  <c r="BJ11" i="9"/>
  <c r="BF11" i="9"/>
  <c r="BD11" i="9"/>
  <c r="BC11" i="9"/>
  <c r="AZ11" i="9"/>
  <c r="AW11" i="9"/>
  <c r="AT11" i="9"/>
  <c r="AS11" i="9"/>
  <c r="AR11" i="9"/>
  <c r="AQ11" i="9"/>
  <c r="AP11" i="9"/>
  <c r="AO11" i="9"/>
  <c r="AN11" i="9"/>
  <c r="V11" i="9" s="1"/>
  <c r="AM11" i="9"/>
  <c r="AL11" i="9"/>
  <c r="AK11" i="9"/>
  <c r="AI11" i="9"/>
  <c r="AJ11" i="9" s="1"/>
  <c r="AE11" i="9"/>
  <c r="AF11" i="9"/>
  <c r="AG11" i="9"/>
  <c r="AB11" i="9"/>
  <c r="AC11" i="9"/>
  <c r="AD11" i="9"/>
  <c r="Y11" i="9"/>
  <c r="W11" i="9"/>
  <c r="AH11" i="9"/>
  <c r="T11" i="9"/>
  <c r="U11" i="9"/>
  <c r="O11" i="9"/>
  <c r="P11" i="9"/>
  <c r="Q11" i="9"/>
  <c r="R11" i="9"/>
  <c r="S11" i="9"/>
  <c r="H11" i="9"/>
  <c r="I11" i="9"/>
  <c r="J11" i="9"/>
  <c r="K11" i="9"/>
  <c r="L11" i="9"/>
  <c r="D11" i="9"/>
  <c r="F11" i="9"/>
  <c r="AA11" i="9"/>
  <c r="E11" i="9"/>
  <c r="BK10" i="9"/>
  <c r="BL10" i="9"/>
  <c r="BJ10" i="9"/>
  <c r="BF10" i="9"/>
  <c r="BD10" i="9"/>
  <c r="BC10" i="9"/>
  <c r="AZ10" i="9"/>
  <c r="AW10" i="9"/>
  <c r="AT10" i="9"/>
  <c r="AS10" i="9"/>
  <c r="AR10" i="9"/>
  <c r="AQ10" i="9"/>
  <c r="AP10" i="9"/>
  <c r="AO10" i="9"/>
  <c r="AN10" i="9"/>
  <c r="V10" i="9" s="1"/>
  <c r="AM10" i="9"/>
  <c r="AL10" i="9"/>
  <c r="AK10" i="9"/>
  <c r="AI10" i="9"/>
  <c r="AJ10" i="9" s="1"/>
  <c r="AE10" i="9"/>
  <c r="AF10" i="9"/>
  <c r="AG10" i="9"/>
  <c r="AB10" i="9"/>
  <c r="AC10" i="9"/>
  <c r="AD10" i="9"/>
  <c r="AA10" i="9"/>
  <c r="Y10" i="9"/>
  <c r="W10" i="9"/>
  <c r="AH10" i="9"/>
  <c r="T10" i="9"/>
  <c r="U10" i="9"/>
  <c r="O10" i="9"/>
  <c r="P10" i="9"/>
  <c r="Q10" i="9"/>
  <c r="R10" i="9"/>
  <c r="S10" i="9"/>
  <c r="H10" i="9"/>
  <c r="I10" i="9"/>
  <c r="J10" i="9"/>
  <c r="K10" i="9"/>
  <c r="L10" i="9"/>
  <c r="D10" i="9"/>
  <c r="F10" i="9"/>
  <c r="E10" i="9"/>
  <c r="BK9" i="9"/>
  <c r="BL9" i="9"/>
  <c r="BJ9" i="9"/>
  <c r="BF9" i="9"/>
  <c r="BD9" i="9"/>
  <c r="BC9" i="9"/>
  <c r="AZ9" i="9"/>
  <c r="AW9" i="9"/>
  <c r="AT9" i="9"/>
  <c r="AS9" i="9"/>
  <c r="AR9" i="9"/>
  <c r="AQ9" i="9"/>
  <c r="AP9" i="9"/>
  <c r="AO9" i="9"/>
  <c r="AN9" i="9"/>
  <c r="V9" i="9" s="1"/>
  <c r="AM9" i="9"/>
  <c r="AL9" i="9"/>
  <c r="AK9" i="9"/>
  <c r="AI9" i="9"/>
  <c r="AJ9" i="9" s="1"/>
  <c r="AE9" i="9"/>
  <c r="AF9" i="9"/>
  <c r="AG9" i="9"/>
  <c r="AB9" i="9"/>
  <c r="AC9" i="9"/>
  <c r="AD9" i="9"/>
  <c r="AA9" i="9"/>
  <c r="Y9" i="9"/>
  <c r="W9" i="9"/>
  <c r="AH9" i="9"/>
  <c r="T9" i="9"/>
  <c r="U9" i="9"/>
  <c r="S9" i="9"/>
  <c r="R9" i="9"/>
  <c r="Q9" i="9"/>
  <c r="P9" i="9"/>
  <c r="O9" i="9"/>
  <c r="H9" i="9"/>
  <c r="I9" i="9"/>
  <c r="J9" i="9"/>
  <c r="K9" i="9"/>
  <c r="L9" i="9"/>
  <c r="D9" i="9"/>
  <c r="F9" i="9"/>
  <c r="E9" i="9"/>
  <c r="BK7" i="9"/>
  <c r="BL7" i="9"/>
  <c r="BJ7" i="9"/>
  <c r="BF7" i="9"/>
  <c r="BD7" i="9"/>
  <c r="BC7" i="9"/>
  <c r="AZ7" i="9"/>
  <c r="AW7" i="9"/>
  <c r="AT7" i="9"/>
  <c r="AS7" i="9"/>
  <c r="AR7" i="9"/>
  <c r="AQ7" i="9"/>
  <c r="AP7" i="9"/>
  <c r="AO7" i="9"/>
  <c r="AN7" i="9"/>
  <c r="V7" i="9" s="1"/>
  <c r="AM7" i="9"/>
  <c r="AL7" i="9"/>
  <c r="AK7" i="9"/>
  <c r="AI7" i="9"/>
  <c r="AJ7" i="9" s="1"/>
  <c r="AE7" i="9"/>
  <c r="AF7" i="9"/>
  <c r="AG7" i="9"/>
  <c r="AD7" i="9"/>
  <c r="AC7" i="9"/>
  <c r="AB7" i="9"/>
  <c r="AA7" i="9"/>
  <c r="Y7" i="9"/>
  <c r="W7" i="9"/>
  <c r="AH7" i="9"/>
  <c r="T7" i="9"/>
  <c r="U7" i="9"/>
  <c r="O7" i="9"/>
  <c r="P7" i="9"/>
  <c r="Q7" i="9"/>
  <c r="R7" i="9"/>
  <c r="S7" i="9"/>
  <c r="L7" i="9"/>
  <c r="K7" i="9"/>
  <c r="J7" i="9"/>
  <c r="I7" i="9"/>
  <c r="H7" i="9"/>
  <c r="D7" i="9"/>
  <c r="F7" i="9"/>
  <c r="E7" i="9"/>
  <c r="BK6" i="9"/>
  <c r="BL6" i="9"/>
  <c r="BJ6" i="9"/>
  <c r="BF6" i="9"/>
  <c r="BD6" i="9"/>
  <c r="BC6" i="9"/>
  <c r="AZ6" i="9"/>
  <c r="AW6" i="9"/>
  <c r="AT6" i="9"/>
  <c r="AS6" i="9"/>
  <c r="AR6" i="9"/>
  <c r="AQ6" i="9"/>
  <c r="AP6" i="9"/>
  <c r="AO6" i="9"/>
  <c r="AN6" i="9"/>
  <c r="V6" i="9" s="1"/>
  <c r="AM6" i="9"/>
  <c r="AL6" i="9"/>
  <c r="AK6" i="9"/>
  <c r="AI6" i="9"/>
  <c r="AJ6" i="9" s="1"/>
  <c r="AE6" i="9"/>
  <c r="AF6" i="9"/>
  <c r="AG6" i="9"/>
  <c r="AB6" i="9"/>
  <c r="AC6" i="9"/>
  <c r="AD6" i="9"/>
  <c r="W6" i="9"/>
  <c r="Y6" i="9"/>
  <c r="AH6" i="9"/>
  <c r="T6" i="9"/>
  <c r="U6" i="9"/>
  <c r="S6" i="9"/>
  <c r="R6" i="9"/>
  <c r="Q6" i="9"/>
  <c r="P6" i="9"/>
  <c r="O6" i="9"/>
  <c r="L6" i="9"/>
  <c r="K6" i="9"/>
  <c r="J6" i="9"/>
  <c r="I6" i="9"/>
  <c r="H6" i="9"/>
  <c r="D6" i="9"/>
  <c r="F6" i="9"/>
  <c r="AA6" i="9"/>
  <c r="E6" i="9"/>
  <c r="BK4" i="9"/>
  <c r="BL4" i="9"/>
  <c r="BJ4" i="9"/>
  <c r="BF4" i="9"/>
  <c r="BD4" i="9"/>
  <c r="BC4" i="9"/>
  <c r="AZ4" i="9"/>
  <c r="AW4" i="9"/>
  <c r="AT4" i="9"/>
  <c r="AS4" i="9"/>
  <c r="AR4" i="9"/>
  <c r="AQ4" i="9"/>
  <c r="AP4" i="9"/>
  <c r="AO4" i="9"/>
  <c r="AN4" i="9"/>
  <c r="V4" i="9" s="1"/>
  <c r="AM4" i="9"/>
  <c r="AL4" i="9"/>
  <c r="AK4" i="9"/>
  <c r="AI4" i="9"/>
  <c r="AJ4" i="9" s="1"/>
  <c r="AE4" i="9"/>
  <c r="AF4" i="9"/>
  <c r="AG4" i="9"/>
  <c r="W4" i="9"/>
  <c r="Y4" i="9"/>
  <c r="AB4" i="9"/>
  <c r="AC4" i="9"/>
  <c r="AD4" i="9"/>
  <c r="AH4" i="9"/>
  <c r="T4" i="9"/>
  <c r="U4" i="9"/>
  <c r="O4" i="9"/>
  <c r="P4" i="9"/>
  <c r="Q4" i="9"/>
  <c r="R4" i="9"/>
  <c r="S4" i="9"/>
  <c r="H4" i="9"/>
  <c r="I4" i="9"/>
  <c r="J4" i="9"/>
  <c r="K4" i="9"/>
  <c r="L4" i="9"/>
  <c r="D4" i="9"/>
  <c r="F4" i="9"/>
  <c r="AA4" i="9"/>
  <c r="E4" i="9"/>
  <c r="BK5" i="9"/>
  <c r="BL5" i="9"/>
  <c r="BJ5" i="9"/>
  <c r="BF5" i="9"/>
  <c r="BD5" i="9"/>
  <c r="BC5" i="9"/>
  <c r="AZ5" i="9"/>
  <c r="AW5" i="9"/>
  <c r="AT5" i="9"/>
  <c r="AS5" i="9"/>
  <c r="AR5" i="9"/>
  <c r="AQ5" i="9"/>
  <c r="AP5" i="9"/>
  <c r="AO5" i="9"/>
  <c r="AN5" i="9"/>
  <c r="V5" i="9" s="1"/>
  <c r="AM5" i="9"/>
  <c r="AL5" i="9"/>
  <c r="AK5" i="9"/>
  <c r="AI5" i="9"/>
  <c r="AJ5" i="9" s="1"/>
  <c r="AE5" i="9"/>
  <c r="AF5" i="9"/>
  <c r="AG5" i="9"/>
  <c r="W5" i="9"/>
  <c r="Y5" i="9"/>
  <c r="AA5" i="9"/>
  <c r="AB5" i="9"/>
  <c r="AC5" i="9"/>
  <c r="AD5" i="9"/>
  <c r="AH5" i="9"/>
  <c r="T5" i="9"/>
  <c r="U5" i="9"/>
  <c r="O5" i="9"/>
  <c r="P5" i="9"/>
  <c r="Q5" i="9"/>
  <c r="R5" i="9"/>
  <c r="S5" i="9"/>
  <c r="H5" i="9"/>
  <c r="I5" i="9"/>
  <c r="J5" i="9"/>
  <c r="K5" i="9"/>
  <c r="L5" i="9"/>
  <c r="D5" i="9"/>
  <c r="F5" i="9"/>
  <c r="E5" i="9"/>
  <c r="BL3" i="9"/>
  <c r="BK3" i="9"/>
  <c r="BJ3" i="9"/>
  <c r="BF3" i="9"/>
  <c r="BD3" i="9"/>
  <c r="BC3" i="9"/>
  <c r="AZ3" i="9"/>
  <c r="AW3" i="9"/>
  <c r="AT3" i="9"/>
  <c r="AS3" i="9"/>
  <c r="AR3" i="9"/>
  <c r="AQ3" i="9"/>
  <c r="AP3" i="9"/>
  <c r="AO3" i="9"/>
  <c r="AN3" i="9"/>
  <c r="V3" i="9" s="1"/>
  <c r="AM3" i="9"/>
  <c r="AL3" i="9"/>
  <c r="AK3" i="9"/>
  <c r="AE3" i="9"/>
  <c r="AF3" i="9"/>
  <c r="AG3" i="9"/>
  <c r="AH3" i="9"/>
  <c r="AI3" i="9"/>
  <c r="AJ3" i="9" s="1"/>
  <c r="AD3" i="9"/>
  <c r="AC3" i="9"/>
  <c r="AB3" i="9"/>
  <c r="AA3" i="9"/>
  <c r="Y3" i="9"/>
  <c r="W3" i="9"/>
  <c r="P3" i="9"/>
  <c r="Q3" i="9"/>
  <c r="R3" i="9"/>
  <c r="S3" i="9"/>
  <c r="O3" i="9"/>
  <c r="F3" i="9"/>
  <c r="H3" i="9"/>
  <c r="I3" i="9"/>
  <c r="J3" i="9"/>
  <c r="K3" i="9"/>
  <c r="L3" i="9"/>
  <c r="T3" i="9"/>
  <c r="U3" i="9"/>
  <c r="D3" i="9"/>
  <c r="E3" i="9"/>
  <c r="BN20" i="4"/>
  <c r="BO20" i="4"/>
  <c r="BP20" i="4"/>
  <c r="BM20" i="4"/>
  <c r="BT20" i="4"/>
  <c r="BY20" i="4" s="1"/>
  <c r="CD20" i="4" s="1"/>
  <c r="BS20" i="4"/>
  <c r="BX20" i="4" s="1"/>
  <c r="CC20" i="4" s="1"/>
  <c r="BR20" i="4"/>
  <c r="BW20" i="4" s="1"/>
  <c r="CB20" i="4" s="1"/>
  <c r="BQ20" i="4"/>
  <c r="BV20" i="4" s="1"/>
  <c r="BN19" i="4"/>
  <c r="BO19" i="4"/>
  <c r="BP19" i="4"/>
  <c r="BM19" i="4"/>
  <c r="BT19" i="4"/>
  <c r="BY19" i="4" s="1"/>
  <c r="CD19" i="4" s="1"/>
  <c r="BS19" i="4"/>
  <c r="BX19" i="4" s="1"/>
  <c r="CC19" i="4" s="1"/>
  <c r="BR19" i="4"/>
  <c r="BW19" i="4" s="1"/>
  <c r="CB19" i="4" s="1"/>
  <c r="BQ19" i="4"/>
  <c r="BV19" i="4" s="1"/>
  <c r="G19" i="8"/>
  <c r="BN18" i="4"/>
  <c r="BO18" i="4"/>
  <c r="BP18" i="4"/>
  <c r="BM18" i="4"/>
  <c r="BT18" i="4"/>
  <c r="BY18" i="4" s="1"/>
  <c r="CD18" i="4" s="1"/>
  <c r="BS18" i="4"/>
  <c r="BX18" i="4" s="1"/>
  <c r="CC18" i="4" s="1"/>
  <c r="BR18" i="4"/>
  <c r="BW18" i="4" s="1"/>
  <c r="CB18" i="4" s="1"/>
  <c r="BQ18" i="4"/>
  <c r="G18" i="8"/>
  <c r="BN17" i="4"/>
  <c r="BO17" i="4"/>
  <c r="BP17" i="4"/>
  <c r="BM17" i="4"/>
  <c r="BT17" i="4"/>
  <c r="BY17" i="4" s="1"/>
  <c r="CD17" i="4" s="1"/>
  <c r="BS17" i="4"/>
  <c r="BX17" i="4" s="1"/>
  <c r="BR17" i="4"/>
  <c r="BW17" i="4" s="1"/>
  <c r="CB17" i="4" s="1"/>
  <c r="BQ17" i="4"/>
  <c r="G17" i="8"/>
  <c r="BN16" i="4"/>
  <c r="BO16" i="4"/>
  <c r="BP16" i="4"/>
  <c r="BM16" i="4"/>
  <c r="BT16" i="4"/>
  <c r="BY16" i="4" s="1"/>
  <c r="CD16" i="4" s="1"/>
  <c r="BS16" i="4"/>
  <c r="BX16" i="4" s="1"/>
  <c r="CC16" i="4" s="1"/>
  <c r="BR16" i="4"/>
  <c r="BW16" i="4" s="1"/>
  <c r="CB16" i="4" s="1"/>
  <c r="BQ16" i="4"/>
  <c r="BV16" i="4" s="1"/>
  <c r="G16" i="8"/>
  <c r="BN15" i="4"/>
  <c r="BO15" i="4"/>
  <c r="BP15" i="4"/>
  <c r="BM15" i="4"/>
  <c r="BT15" i="4"/>
  <c r="BY15" i="4" s="1"/>
  <c r="CD15" i="4" s="1"/>
  <c r="BS15" i="4"/>
  <c r="BX15" i="4" s="1"/>
  <c r="CC15" i="4" s="1"/>
  <c r="BR15" i="4"/>
  <c r="BW15" i="4" s="1"/>
  <c r="CB15" i="4" s="1"/>
  <c r="BQ15" i="4"/>
  <c r="BV15" i="4" s="1"/>
  <c r="G15" i="8"/>
  <c r="BN14" i="4"/>
  <c r="BO14" i="4"/>
  <c r="BP14" i="4"/>
  <c r="BM14" i="4"/>
  <c r="BT14" i="4"/>
  <c r="BY14" i="4" s="1"/>
  <c r="CD14" i="4" s="1"/>
  <c r="BS14" i="4"/>
  <c r="BX14" i="4" s="1"/>
  <c r="CC14" i="4" s="1"/>
  <c r="BR14" i="4"/>
  <c r="BW14" i="4" s="1"/>
  <c r="CB14" i="4" s="1"/>
  <c r="BQ14" i="4"/>
  <c r="G14" i="8"/>
  <c r="BN13" i="4"/>
  <c r="BO13" i="4"/>
  <c r="BP13" i="4"/>
  <c r="BM13" i="4"/>
  <c r="BT13" i="4"/>
  <c r="BY13" i="4" s="1"/>
  <c r="CD13" i="4" s="1"/>
  <c r="BS13" i="4"/>
  <c r="BX13" i="4" s="1"/>
  <c r="CC13" i="4" s="1"/>
  <c r="BR13" i="4"/>
  <c r="BW13" i="4" s="1"/>
  <c r="CB13" i="4" s="1"/>
  <c r="BQ13" i="4"/>
  <c r="BV13" i="4" s="1"/>
  <c r="G13" i="8"/>
  <c r="BN12" i="4"/>
  <c r="BO12" i="4"/>
  <c r="BP12" i="4"/>
  <c r="BM12" i="4"/>
  <c r="BT12" i="4"/>
  <c r="BY12" i="4" s="1"/>
  <c r="CD12" i="4" s="1"/>
  <c r="BS12" i="4"/>
  <c r="BX12" i="4" s="1"/>
  <c r="CC12" i="4" s="1"/>
  <c r="BR12" i="4"/>
  <c r="BW12" i="4" s="1"/>
  <c r="CB12" i="4" s="1"/>
  <c r="BQ12" i="4"/>
  <c r="BV12" i="4" s="1"/>
  <c r="G12" i="8"/>
  <c r="BN11" i="4"/>
  <c r="BO11" i="4"/>
  <c r="BP11" i="4"/>
  <c r="BM11" i="4"/>
  <c r="BT11" i="4"/>
  <c r="BY11" i="4" s="1"/>
  <c r="CD11" i="4" s="1"/>
  <c r="BS11" i="4"/>
  <c r="BX11" i="4" s="1"/>
  <c r="CC11" i="4" s="1"/>
  <c r="BR11" i="4"/>
  <c r="BW11" i="4" s="1"/>
  <c r="CB11" i="4" s="1"/>
  <c r="BQ11" i="4"/>
  <c r="G11" i="8"/>
  <c r="BN10" i="4"/>
  <c r="BO10" i="4"/>
  <c r="BP10" i="4"/>
  <c r="BM10" i="4"/>
  <c r="BS10" i="4"/>
  <c r="BX10" i="4" s="1"/>
  <c r="CC10" i="4" s="1"/>
  <c r="BT10" i="4"/>
  <c r="BY10" i="4" s="1"/>
  <c r="CD10" i="4" s="1"/>
  <c r="BR10" i="4"/>
  <c r="BW10" i="4" s="1"/>
  <c r="CB10" i="4" s="1"/>
  <c r="BQ10" i="4"/>
  <c r="BV10" i="4" s="1"/>
  <c r="G10" i="8"/>
  <c r="BN9" i="4"/>
  <c r="BO9" i="4"/>
  <c r="BP9" i="4"/>
  <c r="BM9" i="4"/>
  <c r="BT9" i="4"/>
  <c r="BY9" i="4" s="1"/>
  <c r="CD9" i="4" s="1"/>
  <c r="BS9" i="4"/>
  <c r="BX9" i="4" s="1"/>
  <c r="CC9" i="4" s="1"/>
  <c r="BR9" i="4"/>
  <c r="BW9" i="4" s="1"/>
  <c r="CB9" i="4" s="1"/>
  <c r="BQ9" i="4"/>
  <c r="BV9" i="4" s="1"/>
  <c r="CH9" i="4" s="1"/>
  <c r="G9" i="8"/>
  <c r="BN8" i="4"/>
  <c r="BO8" i="4"/>
  <c r="BP8" i="4"/>
  <c r="BM8" i="4"/>
  <c r="BT8" i="4"/>
  <c r="BY8" i="4" s="1"/>
  <c r="CD8" i="4" s="1"/>
  <c r="BS8" i="4"/>
  <c r="BX8" i="4" s="1"/>
  <c r="CC8" i="4" s="1"/>
  <c r="BR8" i="4"/>
  <c r="BW8" i="4" s="1"/>
  <c r="CB8" i="4" s="1"/>
  <c r="BQ8" i="4"/>
  <c r="BV8" i="4" s="1"/>
  <c r="G8" i="8"/>
  <c r="BN7" i="4"/>
  <c r="BO7" i="4"/>
  <c r="BP7" i="4"/>
  <c r="BM7" i="4"/>
  <c r="BT7" i="4"/>
  <c r="BY7" i="4" s="1"/>
  <c r="CD7" i="4" s="1"/>
  <c r="BS7" i="4"/>
  <c r="BX7" i="4" s="1"/>
  <c r="CC7" i="4" s="1"/>
  <c r="BR7" i="4"/>
  <c r="BW7" i="4" s="1"/>
  <c r="CB7" i="4" s="1"/>
  <c r="BQ7" i="4"/>
  <c r="BV7" i="4" s="1"/>
  <c r="G7" i="8"/>
  <c r="BN6" i="4"/>
  <c r="BO6" i="4"/>
  <c r="BP6" i="4"/>
  <c r="BM6" i="4"/>
  <c r="BT6" i="4"/>
  <c r="BY6" i="4" s="1"/>
  <c r="CD6" i="4" s="1"/>
  <c r="BS6" i="4"/>
  <c r="BX6" i="4" s="1"/>
  <c r="CC6" i="4" s="1"/>
  <c r="BR6" i="4"/>
  <c r="BW6" i="4" s="1"/>
  <c r="CB6" i="4" s="1"/>
  <c r="BQ6" i="4"/>
  <c r="BV6" i="4" s="1"/>
  <c r="G6" i="8"/>
  <c r="BP3" i="4"/>
  <c r="BO3" i="4"/>
  <c r="BN3" i="4"/>
  <c r="BM3" i="4"/>
  <c r="BT3" i="4"/>
  <c r="BY3" i="4" s="1"/>
  <c r="BS3" i="4"/>
  <c r="BX3" i="4" s="1"/>
  <c r="BR3" i="4"/>
  <c r="BW3" i="4" s="1"/>
  <c r="BQ3" i="4"/>
  <c r="BV3" i="4" s="1"/>
  <c r="BN5" i="4"/>
  <c r="BO5" i="4"/>
  <c r="BP5" i="4"/>
  <c r="BM5" i="4"/>
  <c r="BT5" i="4"/>
  <c r="BY5" i="4" s="1"/>
  <c r="CD5" i="4" s="1"/>
  <c r="BS5" i="4"/>
  <c r="BX5" i="4" s="1"/>
  <c r="CC5" i="4" s="1"/>
  <c r="BR5" i="4"/>
  <c r="BW5" i="4" s="1"/>
  <c r="CB5" i="4" s="1"/>
  <c r="BQ5" i="4"/>
  <c r="BV5" i="4" s="1"/>
  <c r="G5" i="8"/>
  <c r="CG4" i="4"/>
  <c r="CH4" i="4"/>
  <c r="CA4" i="4"/>
  <c r="CH5" i="4"/>
  <c r="CG5" i="4"/>
  <c r="CA5" i="4"/>
  <c r="CG6" i="4"/>
  <c r="CH6" i="4"/>
  <c r="CA6" i="4"/>
  <c r="CH7" i="4"/>
  <c r="CG7" i="4"/>
  <c r="CA7" i="4"/>
  <c r="CH8" i="4"/>
  <c r="CG8" i="4"/>
  <c r="CA8" i="4"/>
  <c r="CG9" i="4"/>
  <c r="CA9" i="4"/>
  <c r="CH10" i="4"/>
  <c r="CG10" i="4"/>
  <c r="CA10" i="4"/>
  <c r="CH12" i="4"/>
  <c r="CG12" i="4"/>
  <c r="CA12" i="4"/>
  <c r="CG13" i="4"/>
  <c r="CH13" i="4"/>
  <c r="CA13" i="4"/>
  <c r="CG15" i="4"/>
  <c r="CH15" i="4"/>
  <c r="CA15" i="4"/>
  <c r="CH16" i="4"/>
  <c r="CG16" i="4"/>
  <c r="CA16" i="4"/>
  <c r="CH19" i="4"/>
  <c r="CG19" i="4"/>
  <c r="CA19" i="4"/>
  <c r="CH20" i="4"/>
  <c r="CG20" i="4"/>
  <c r="CA20" i="4"/>
  <c r="CC17" i="4"/>
  <c r="BZ132" i="1"/>
  <c r="CA132" i="1"/>
  <c r="BT132" i="1"/>
  <c r="BZ129" i="1"/>
  <c r="CA129" i="1"/>
  <c r="BZ126" i="1"/>
  <c r="CA126" i="1"/>
  <c r="BZ123" i="1"/>
  <c r="CA123" i="1"/>
  <c r="CD3" i="4"/>
  <c r="CC3" i="4"/>
  <c r="G3" i="8"/>
  <c r="BV11" i="4" l="1"/>
  <c r="CI11" i="4"/>
  <c r="BV14" i="4"/>
  <c r="CI14" i="4"/>
  <c r="BV17" i="4"/>
  <c r="CI17" i="4"/>
  <c r="BV18" i="4"/>
  <c r="CI18" i="4"/>
  <c r="CH3" i="4"/>
  <c r="CB3" i="4"/>
  <c r="CA3" i="4"/>
  <c r="CG3" i="4"/>
  <c r="CH18" i="4" l="1"/>
  <c r="CG18" i="4"/>
  <c r="CA18" i="4"/>
  <c r="CA17" i="4"/>
  <c r="CG17" i="4"/>
  <c r="CH17" i="4"/>
  <c r="CH14" i="4"/>
  <c r="CG14" i="4"/>
  <c r="CA14" i="4"/>
  <c r="CG11" i="4"/>
  <c r="CH11" i="4"/>
  <c r="CA11" i="4"/>
  <c r="V3" i="5"/>
  <c r="D3" i="5"/>
  <c r="G3" i="5"/>
  <c r="F3" i="5"/>
  <c r="E3" i="5"/>
  <c r="N3" i="5"/>
  <c r="M3" i="5"/>
  <c r="L3" i="5"/>
  <c r="K3" i="5"/>
  <c r="J3" i="5"/>
  <c r="H3" i="5"/>
  <c r="I3" i="5"/>
  <c r="W3" i="5"/>
  <c r="AS3" i="5"/>
  <c r="AH3" i="5"/>
  <c r="AD3" i="5"/>
  <c r="AC3" i="5"/>
  <c r="AB3" i="5"/>
  <c r="Z3" i="5"/>
  <c r="Y3" i="5"/>
  <c r="AI3" i="5"/>
  <c r="AJ3" i="5" s="1"/>
  <c r="T3" i="5"/>
  <c r="S3" i="5"/>
  <c r="R3" i="5"/>
  <c r="Q3" i="5"/>
  <c r="P3" i="5"/>
  <c r="O3" i="5"/>
  <c r="AM3" i="5"/>
  <c r="AA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tc={8C9EC219-D2E8-410A-9800-6CAED9DF08A1}</author>
  </authors>
  <commentList>
    <comment ref="AA55" authorId="0" shapeId="0" xr:uid="{8C9EC219-D2E8-410A-9800-6CAED9DF08A1}">
      <text>
        <t>[Threaded comment]
Your version of Excel allows you to read this threaded comment; however, any edits to it will get removed if the file is opened in a newer version of Excel. Learn more: https://go.microsoft.com/fwlink/?linkid=870924
Comment:
    Suporte velocidade deve ser acrescentado ao cálculo para evitar inconsistências como essa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tc={716F4607-E3F3-4B77-A28C-33ADA10F71BE}</author>
    <author>tc={8A5ADEA5-D85B-4B85-A62F-CD5628A6BE99}</author>
    <author>tc={D499927C-32E4-4824-BDD7-1EB24C952311}</author>
    <author>tc={6005FE8D-6E05-4236-97AD-EEA55B59BDF9}</author>
    <author>tc={CA862491-DCAB-49D1-AEA8-4EBB46E9F719}</author>
    <author>tc={A6807F57-8ABE-4983-A965-B1B12D58150C}</author>
    <author>tc={1ED67FC6-31A4-47BD-A29C-10226C751BE7}</author>
    <author>tc={5E7E51DF-9362-446C-8F6E-A7E757E95556}</author>
    <author>tc={8D626326-302B-42F8-9109-FEAEE6DB127B}</author>
    <author>tc={320A87EF-22B4-49B6-B5E1-840CA2D0742F}</author>
    <author>tc={5DF8E8B7-9979-4CEA-ABC0-65686BCAA254}</author>
    <author>tc={ECBC6839-E661-48F1-8B4B-BE8113CD6EB3}</author>
    <author>tc={0846B9A5-465C-4657-958E-32FC602A1BBC}</author>
    <author>tc={CA9E0636-15A3-4258-BB1B-768150E314AF}</author>
    <author>tc={9E742685-4FDC-4479-849B-63B3BF21DACA}</author>
    <author>tc={E0A05078-23F6-4418-9FB6-CC384A1F2A7C}</author>
    <author>tc={E8C2EC97-F785-4358-8F7C-82A913FD9C66}</author>
    <author>tc={50B2FE60-FD9B-4F0A-88D5-0EA821EB5D69}</author>
    <author>tc={DC74891A-812A-4EA5-8BB5-5C96563983EE}</author>
    <author>tc={C8D42A2D-DF2C-4A1B-9A13-DAEF26956E0E}</author>
    <author>tc={8E6212EC-B633-4184-8E36-EAFD95968A3F}</author>
    <author>tc={A08E7434-FFAA-4040-AC14-02CC0434163E}</author>
    <author>tc={496AEBDB-EF73-4263-820B-738B7779C49C}</author>
    <author>tc={E3DD8D8E-5C46-416E-8FBB-F2646B46F4CD}</author>
    <author>tc={5BDEB97A-0EEE-43F3-80E1-71D306290635}</author>
    <author>tc={90C8D85F-69C4-4BF1-9D6D-0D3913BAC21C}</author>
    <author>tc={394CEB1A-2736-42FF-81A8-1A76B2961077}</author>
    <author>tc={F6E3C82A-545C-4CBC-9D05-AA1873540D95}</author>
    <author>tc={0FB53ED3-0B61-4BAD-B264-BDE38D65969D}</author>
    <author>tc={DDC89BE3-2881-4912-944F-BB2A9042A9D5}</author>
    <author>tc={B22A28D6-E11F-46E6-B0EF-F39046736447}</author>
    <author>tc={8ED874D5-BBA5-4D75-BA5A-1FC4D90722F7}</author>
    <author>tc={310DEFB4-878E-4EBE-8467-EAA5DA3E8A05}</author>
    <author>tc={9C6032D8-5F82-4201-A22C-4948EF14D130}</author>
    <author>tc={AC3D34C0-33A7-4522-A978-6B5635D1B661}</author>
    <author>tc={D89EAA5F-31EB-4BB2-BF40-868A9D880F57}</author>
    <author>tc={B2E93F1E-B2CE-4BC5-879F-C6748A4C4E36}</author>
    <author>tc={5D9D6F8E-BBE2-4206-886C-31168EBC53FC}</author>
    <author>tc={D98A3EE5-0B75-4351-9DF1-4F7F251BF6FF}</author>
    <author>tc={747B6F09-CDD4-4129-BCFB-3BC2FEC072FB}</author>
    <author>tc={3972AB50-CCB4-4CE2-914D-E147ABD420BE}</author>
  </authors>
  <commentList>
    <comment ref="V2" authorId="0" shapeId="0" xr:uid="{716F4607-E3F3-4B77-A28C-33ADA10F71BE}">
      <text>
        <t>[Threaded comment]
Your version of Excel allows you to read this threaded comment; however, any edits to it will get removed if the file is opened in a newer version of Excel. Learn more: https://go.microsoft.com/fwlink/?linkid=870924
Comment:
    (Durabilidade_total / 1400) + (auto_heal_buffing / 3,5)</t>
      </text>
    </comment>
    <comment ref="W2" authorId="1" shapeId="0" xr:uid="{8A5ADEA5-D85B-4B85-A62F-CD5628A6BE99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ataca eu achokkk
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>
      </text>
    </comment>
    <comment ref="X2" authorId="2" shapeId="0" xr:uid="{D499927C-32E4-4824-BDD7-1EB24C952311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(frequencia + potência + versatilidade)/3
frequência:
1 - 1 min
2 - 45s
3 - 35s
4 - 30s
5 - 25s
6 - 20s
7 - 15s
8 - 10s
9 - 5s
10 - menos de 5s
11...
potência do uso:
1 - distância curta
2 - distância curta/normal
3 - distância normal/curta
4 - distância normal
5 - distância normal/longa
6 - distância longa/normal
7 - distância longa
8 - distância longa/mtlonga
9 - distância mtlonga/longa
10 - distância mtlonga
11...
versatilidade:
1 - invulnerável, mas parado e vulnerável ao voltar
2 - invulnerável, mas parado ao voltar
3 - afasta inimigos um pouco
4 - afasta medio inimigos
5 - fuga lenta sem escolher direção ou circunstancial
6 - fuga lenta escolhendo direção quase livremente
7 - fuga lenta escolhendo direção livremente
8 - fuga rápida quase sem escolher direção
9 - fuga rápida escolhendo direção quase livremente
10 - fuga rápida escolhendo direção livremente
11...</t>
      </text>
    </comment>
    <comment ref="Y2" authorId="3" shapeId="0" xr:uid="{6005FE8D-6E05-4236-97AD-EEA55B59BDF9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projétil único
1 - projétil único perfurante
2 - linha fina multiplos projéteis
3 - tiro em forma de cone pequeno (25° +ou-)
4 - tiro em forma retangular medio (1 brawler de largura)
5 - tiro em forma de cone médio (50° +ou-)
6 - tiro em forma retangular grande (1-2 brawler de largura)
7 - tiro em forma de cone grande (75° +ou-)
8 - tiro com amplitude maior (até 100° +ou-)
9 - tiro em todas as direções
10 - tiro frequente em todas as direções
11...</t>
      </text>
    </comment>
    <comment ref="Z2" authorId="4" shapeId="0" xr:uid="{CA862491-DCAB-49D1-AEA8-4EBB46E9F719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mais de 1/30s
1 - 1/30s
2 - 1/20s
3 - 1/15s
4 - 1/10s
5 - 1/5s
6 - ataque básico frequente
7 - ataque básico e super frequente</t>
      </text>
    </comment>
    <comment ref="AA2" authorId="5" shapeId="0" xr:uid="{A6807F57-8ABE-4983-A965-B1B12D58150C}">
      <text>
        <t>[Threaded comment]
Your version of Excel allows you to read this threaded comment; however, any edits to it will get removed if the file is opened in a newer version of Excel. Learn more: https://go.microsoft.com/fwlink/?linkid=870924
Comment:
    (duração + área + efeito + distância-arremesso)/4
Efeito:
3 - efeito ignorável muitas vezes
6 - efeito ignorável raramente
9 - efeito quase nunca ignoravel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
Duração:
1 - 1s
2 - 2s
3 - 3s
4 - 4s
5 - 5s
6 - 6s
7 - 7s
8 - 8s
9 - 9s
10 - 10s
11...
Distância arremesso
0 - Não ataca eu achokkk
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>
      </text>
    </comment>
    <comment ref="AB2" authorId="6" shapeId="0" xr:uid="{1ED67FC6-31A4-47BD-A29C-10226C751BE7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o brawler não tem essa capacidade
1 - consegue manipular pouco e apenas de muito perto e não possui formas rápidas de se aproximar
2 - consegue manipular pouco e apenas de perto e não possui formas rápidas de se aproximar
3 - consegue manipular pouco e apenas de medio alcance e não possui formas rápidas de se aproximar
4 - consegue manipular pouco e apenas de perto mas possui formas de se aproximar
5 - o brawler consegue fazer de longas distancias mas manipula pouco
6 - o brawler consegue manipular muito a posição e de médias distâncias
7 - o brawler consegue manipular muito a posição e de longas distâncias
8 - o brawler consegue manipular um pouco a posição mas ignorando muros
9 - o brawler consegue manipular muito a posição e ignorando obstaculos a médio alcance
10 - o brawler consegue manipular muito a posição e ignorando obstáculos e objetos a longo alcance</t>
      </text>
    </comment>
    <comment ref="AC2" authorId="7" shapeId="0" xr:uid="{5E7E51DF-9362-446C-8F6E-A7E757E95556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absoluta incompetência
7 - altamente competente</t>
      </text>
    </comment>
    <comment ref="AD2" authorId="8" shapeId="0" xr:uid="{8D626326-302B-42F8-9109-FEAEE6DB127B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impossivel causar dano
1 - causa dano irrisório
2 - causa dano circunstancial
3 - causa dano ocasionalmente
4 - causa dano mortal as vezes
5 - causa dano mortal quase normalmente
6 - capaz de atacar o inimigo normalmente
7 - causa dano normalmente + anda na água tmb
8 - causa dano levemente superior
9 - causa dano muito maior a inimigos na água
10 - causa dano absurdamente maior
11...</t>
      </text>
    </comment>
    <comment ref="AE2" authorId="9" shapeId="0" xr:uid="{320A87EF-22B4-49B6-B5E1-840CA2D0742F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quebra muros
1 - 1/35min
2 - 1/30s
3 - 1/25s
4 - 1/20s
5 - 1/15s
6 - 1/12s
7 - 1/9s
8 - 1/6s
9 - 1/3s
10 - 1/1s
11...
-1 se a destruição é pouco controlável
-2 se a destruição é quase incontrolável ou se o brawler não deveria gastar os recursos dele focando nessa destruição</t>
      </text>
    </comment>
    <comment ref="AF2" authorId="10" shapeId="0" xr:uid="{5DF8E8B7-9979-4CEA-ABC0-65686BCAA254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quebra moitas
1 - 1/25min
2 - 1/16s
3 - 1/12s
4 - 1/10s
5 - 1/8s
6 - 1/6s
7 - 1/4s
8 - 1/3s
9 - 1/2s
10 - 1/1s
11...
-1 se a destruição é pouco controlável
-2 se a destruição é quase incontrolável ou se o brawler não deveria gastar os recursos dele focando nessa destruição</t>
      </text>
    </comment>
    <comment ref="AG2" authorId="11" shapeId="0" xr:uid="{ECBC6839-E661-48F1-8B4B-BE8113CD6EB3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constroi cover
1 - 1/25min
2 - 1/16s
3 - 1/12s
4 - 1/10s
5 - 1/8s
6 - 1/6s
7 - 1/4s
8 - 1/3s
9 - 1/2s
10 - 1/1s
11...
-1 se a construção é pouco controlável
-2 se a construção é quase incontrolável ou se o brawler não deveria gastar os recursos dele focando nessa construção</t>
      </text>
    </comment>
    <comment ref="AH2" authorId="12" shapeId="0" xr:uid="{0846B9A5-465C-4657-958E-32FC602A1BBC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muito lento
2 - muito lento/lento
3 - lento
4 - lento/normal
5 - normal
6 - normal/rapido
7 - rapido
8 - rapido/muito rapido
9 - muito rapido
10 - suporter de velocidade
11...
-1 se a hitbox do brawler é do modelo maior</t>
      </text>
    </comment>
    <comment ref="AI2" authorId="13" shapeId="0" xr:uid="{CA9E0636-15A3-4258-BB1B-768150E314AF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ataque lento e ineficaz
2 - ataque ineficaz
3 - ataque poderoso, mas super lento
4 - ataque poderoso, mas lento
5 - ataque poderoso e rápido, mas facilmente contornável sem sequelas
6 - ataque poderoso, mas contornavel/counterável facilmente
7 - ataque poderoso. Contornavel apenas se não estiver vulnerável
8 - mesmo counters tem dificuldade em prever/reagir ao ataque antes de levar um bom dano
9 - mesmo counters recebem muito dano antes de conseguirem reagir
10 - counterar um ataque bem planejado é quase impossível para qualquer brawler
+1 se aplica velocidade após o ataque
-1 se alcance é normal/longo
-2 se o alcance é curto/normal
-3 se o alcance é muito curto/curto</t>
      </text>
    </comment>
    <comment ref="AJ2" authorId="14" shapeId="0" xr:uid="{9E742685-4FDC-4479-849B-63B3BF21DACA}">
      <text>
        <t>[Threaded comment]
Your version of Excel allows you to read this threaded comment; however, any edits to it will get removed if the file is opened in a newer version of Excel. Learn more: https://go.microsoft.com/fwlink/?linkid=870924
Comment:
    *fórmula pronta, utiliza stun como força adicional</t>
      </text>
    </comment>
    <comment ref="AK2" authorId="15" shapeId="0" xr:uid="{E0A05078-23F6-4418-9FB6-CC384A1F2A7C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1 - 1/1min
2 - 1/50s
3 - 1/40s
4 - 1/30s
5 - 1/22s
6 - 1/15s
7 - 1/10s
8 - 1/7s
9 - 1/5s
10 - 1/3s
11...</t>
      </text>
    </comment>
    <comment ref="AL2" authorId="16" shapeId="0" xr:uid="{E8C2EC97-F785-4358-8F7C-82A913FD9C66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nunca acumula mais de 1
2 - raramente acumula mais de 1
3 - ocasionalmente acumula mais de 1
4 - frequentemente acumula ao menos 2
5 - raramente acumula mais de 2
6 - ocasionalmente acumula mais de 2
7 - frequentemente acumula ao menos 3
8 - ocasionalmente acumula mais de 3
9 - frequentemente acumula mais de 4
10 - frequentemente acumula mais de 5
11...</t>
      </text>
    </comment>
    <comment ref="AM2" authorId="17" shapeId="0" xr:uid="{50B2FE60-FD9B-4F0A-88D5-0EA821EB5D69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A vida do(s) pet(s) não se deteriora sozinha com o tempo
1 - A vida do(s) pet(s) é deteriorável</t>
      </text>
    </comment>
    <comment ref="AN2" authorId="18" shapeId="0" xr:uid="{DC74891A-812A-4EA5-8BB5-5C96563983EE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menos de 2000
2 - entre 2000 e 3000
3 - entre 3000 e 4000
4 - entre 4000 e 5000
5 - entre 5000 e 6000
6 - entre 6000 e 7000
7 - entre 7000 e 8000
8 - entre 8000 e 9000
9 - entre 9000 e 10000
10 - entre 10000 e 11000
11...</t>
      </text>
    </comment>
    <comment ref="AO2" authorId="19" shapeId="0" xr:uid="{C8D42A2D-DF2C-4A1B-9A13-DAEF26956E0E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dano médio menor de 500
1 - dano médio 500-800
2 - dano médio 800-1100
3 - dano médio 1100-1400
4 - dano médio 1400-1700
5 - dano médio 1700-2000
6 - dano médio 2000-2300
7 - dano médio 2300-2600
8 - dano médio 2900-3200
9 - dano médio 3200-3500
10 - dano médio 3500-3800
11...</t>
      </text>
    </comment>
    <comment ref="AP2" authorId="20" shapeId="0" xr:uid="{8E6212EC-B633-4184-8E36-EAFD95968A3F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>
      </text>
    </comment>
    <comment ref="AQ2" authorId="21" shapeId="0" xr:uid="{A08E7434-FFAA-4040-AC14-02CC0434163E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muito lento
2 - muito lento/lento
3 - lento/normal
4 - lento
5 - lento/normal
6 - normal/lento
7 - normal
8 - normal/rapido
9 - rapido
10 - MUITO rapido
11...</t>
      </text>
    </comment>
    <comment ref="AR2" authorId="22" shapeId="0" xr:uid="{496AEBDB-EF73-4263-820B-738B7779C49C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O dono não fica próximo ao pet em quase nenhum momento
2,5 - O dono fica próximo ao pet as vezes, mas raramente por muito tempo
5 - O dono fica próximo ao pet com alguma frequência, mas não é regra de usabilidade
7,5 - O dono fica próximo ao pet na maior parte do tempo, sendo grande parte da sua estratégia principal para avançar contra inimigos
10 - O dono fica próximo ao pet em quase todos os momentos. A exceção para esta regra resulta em inutilidade do pet na maior parte das vezes.</t>
      </text>
    </comment>
    <comment ref="AS2" authorId="23" shapeId="0" xr:uid="{E3DD8D8E-5C46-416E-8FBB-F2646B46F4CD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é o caso para esse brawler
1 - chance levemente maior de causar dano ao todo
2 - chance relativamente maior de causar dano ao todo
3 - chance muito maior de causar mais dano ao todo
4 - atinge multiplos inimigos com a super
5 - atinge facilmente multiplos inimigos com a super
6 - atinge multiplos inimigos com o ataque principal
7 - atinge facilmente multiplos inimigos com o ataque
8 - causa mais dano por projétil
9 - causa mais do dobro de dano por projétil
10 - causa mais que o triplo do dano por projétil
11...</t>
      </text>
    </comment>
    <comment ref="AT2" authorId="24" shapeId="0" xr:uid="{5BDEB97A-0EEE-43F3-80E1-71D306290635}">
      <text>
        <t>[Threaded comment]
Your version of Excel allows you to read this threaded comment; however, any edits to it will get removed if the file is opened in a newer version of Excel. Learn more: https://go.microsoft.com/fwlink/?linkid=870924
Comment:
    (precisão + Área + duração + frequência)/4
Precisão:
3 - perseguição de pets
6 - precisão em posição fixa arremessavel
10 - precisão absoluta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
Duração:
1 - 3s
2 - 6s
3 - 9s
4 - 12s
5 - 15s
6 - 18s
7 - 21s
8 - 24s
9 - 27s
10 - infinito
11...
Frequência:
1 - 1/1min
2 - 1/50s
3 - 1/40s
4 - 1/30s
5 - 1/22s
6 - 1/15s
7 - 1/10s
8 - 1/7s
9 - 1/5s
10 - 1/3s
11...</t>
      </text>
    </comment>
    <comment ref="AU2" authorId="25" shapeId="0" xr:uid="{90C8D85F-69C4-4BF1-9D6D-0D3913BAC21C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As informações do brawler/complemento não dependem de nenhuma forma da formação de inimigos ou terreno para que façam sentido
2,5 - As informações do brawler/complemento podem depender um pouco de formas de uso
5 - As informações do brawler/complemento podem depender um pouco de características de terreno, como presença de moitas/agua e/ou de formas de uso
7,5 - as informações dependem bastante de características externas como formas de uso, terreno e inimigos. A verificação humana é essencial para garantir que o brawler realmente seja bom.
10 - As informações dependem demais de fatores externos para funcionarem de forma adequada. Detalhes desses fatores devem ser destacados para o usuário.</t>
      </text>
    </comment>
    <comment ref="AV2" authorId="26" shapeId="0" xr:uid="{394CEB1A-2736-42FF-81A8-1A76B2961077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potência + velocidade) / 3
Frequência:
1 - 1/1min
2 - 1/50s
3 - 1/40s
4 - 1/30s
5 - 1/22s
6 - 1/15s
7 - 1/10s
8 - 1/7s
9 - 1/5s
10 - 1/3s
11...
Potência do hp:
1 - 1-500
2 - 500-1000
3 - 1000-1500
4 - 1500 - 2000
5 - 2000 - 2500
6 - 2500 - 3000
7 - 3000 - 3500
8 - 3500 - 4000
9 - 4000 - 4500
10 - 4500 - 5000
Velocidade da cura
3 - Lenta e parcelada
6 - Lenta ou muito circunstancial
9 - Instantânea e pouco circunstancial</t>
      </text>
    </comment>
    <comment ref="AW2" authorId="27" shapeId="0" xr:uid="{F6E3C82A-545C-4CBC-9D05-AA1873540D95}">
      <text>
        <t>[Threaded comment]
Your version of Excel allows you to read this threaded comment; however, any edits to it will get removed if the file is opened in a newer version of Excel. Learn more: https://go.microsoft.com/fwlink/?linkid=870924
Comment:
    (duração + potência) / 2 
potência:
1 - até 10%
2 - até 20%
3 - até 30%
4 - até 40%
5 - até 50%
6 - até 60%
7 - até 70%
8 - até 80%
9 - até 90%
10 - até 100%
duração
1 - 1s
2 - 2s
3 - 3s
4 - 4s
5 - 5s
6 - 6s
7 - 7s
8 - 8s
9 - 9s
10 - 10s</t>
      </text>
    </comment>
    <comment ref="AX2" authorId="28" shapeId="0" xr:uid="{0FB53ED3-0B61-4BAD-B264-BDE38D65969D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potência) / 2 
Frequência:
1 - 1/1min
2 - 1/50s
3 - 1/40s
4 - 1/30s
5 - 1/22s
6 - 1/15s
7 - 1/10s
8 - 1/7s
9 - 1/5s
10 - 1/3s
11...
Potência do escudo:
1 - 1-500
2 - 500-1000
3 - 1000-1500
4 - 1500 - 2000
5 - 2000 - 2500
6 - 2500 - 3000
7 - 3000 - 3500
8 - 3500 - 4000
9 - 4000 - 4500
10 - 4500 - 5000</t>
      </text>
    </comment>
    <comment ref="AY2" authorId="29" shapeId="0" xr:uid="{DDC89BE3-2881-4912-944F-BB2A9042A9D5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potência + duração)/3
0 - não tem essa capacidade
Frequência:
1 - 1/1min
2 - 1/50s
3 - 1/40s
4 - 1/30s
5 - 1/22s
6 - 1/15s
7 - 1/10s
8 - 1/7s
9 - 1/5s
10 - 1/3s
11...
Potência do aumento de dano:
1 - até 5%
2 - até 10%
3 - até 15%
4 - até 20%
5 - até 25%
6 - até 30%
7 - até 35%
8 - até 40%
9 - até 45%
10 - até 50%
11...
duração
1 - 1s
2 - 2s
3 - 3s
4 - 4s
5 - 5s
6 - 6s
7 - 7s
8 - 8s
9 - 9s
10 - 10s
11...</t>
      </text>
    </comment>
    <comment ref="AZ2" authorId="30" shapeId="0" xr:uid="{B22A28D6-E11F-46E6-B0EF-F39046736447}">
      <text>
        <t>[Threaded comment]
Your version of Excel allows you to read this threaded comment; however, any edits to it will get removed if the file is opened in a newer version of Excel. Learn more: https://go.microsoft.com/fwlink/?linkid=870924
Comment:
    (duração + potência) / 2 
potência:
1 - até 8%
2 - até 16%
3 - até 24%
4 - até 32%
5 - até 40%
6 - até 48%
7 - até 56%
8 - até 64%
9 - até 72%
10 - até 80%
11...
duração
1 - 1s
2 - 2s
3 - 3s
4 - 4s
5 - 5s
6 - 6s
7 - 7s
8 - 8s
9 - 9s
10 - 10s</t>
      </text>
    </comment>
    <comment ref="BA2" authorId="31" shapeId="0" xr:uid="{8ED874D5-BBA5-4D75-BA5A-1FC4D90722F7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(frequencia + duração) / 2 
Frequência
1 - 1/1min
2 - 1/50s
3 - 1/40s
4 - 1/30s
5 - 1/22s
6 - 1/15s
7 - 1/10s
8 - 1/7s
9 - 1/5s
10 - 1/3s
11...
Duração:
1 - 1s
2 - 2s
3 - 3s
4 - 4s
5 - 5s
6 - 6s
7 - 7s
8 - 8s
9 - 9s
10 - 10s
11...</t>
      </text>
    </comment>
    <comment ref="BB2" authorId="32" shapeId="0" xr:uid="{310DEFB4-878E-4EBE-8467-EAA5DA3E8A05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duração + área) / 3
0 - não tem essa capacidade
Frequência:
1 - 1/1min
2 - 1/50s
3 - 1/40s
4 - 1/30s
5 - 1/22s
6 - 1/15s
7 - 1/10s
8 - 1/7s
9 - 1/5s
10 - 1/3s
11...
duração
1 - 1s
2 - 2s
3 - 3s
4 - 4s
5 - 5s
6 - 6s
7 - 7s
8 - 8s
9 - 9s
10 - 10s
11...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</t>
      </text>
    </comment>
    <comment ref="BD2" authorId="33" shapeId="0" xr:uid="{9C6032D8-5F82-4201-A22C-4948EF14D130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aplica veneno
1 - duração de 1 hit
2 - duração de 2 hit
3 - duração de 3 hit
4 - duração de 4 hit
5 - duração de 5 hit
6 - duração de 6 hit
7 - duração de 7 hit
8 - duração de 8 hit
9 - duração de 9 hit
10 - duração de 10 hit
11...
/1 se proveniente do ataque principal
/2 se proveniente da super
/3 se proveniente de algo ainda mais ocasional</t>
      </text>
    </comment>
    <comment ref="BE2" authorId="34" shapeId="0" xr:uid="{AC3D34C0-33A7-4522-A978-6B5635D1B661}">
      <text>
        <t>[Threaded comment]
Your version of Excel allows you to read this threaded comment; however, any edits to it will get removed if the file is opened in a newer version of Excel. Learn more: https://go.microsoft.com/fwlink/?linkid=870924
Comment:
    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>
      </text>
    </comment>
    <comment ref="BF2" authorId="35" shapeId="0" xr:uid="{D89EAA5F-31EB-4BB2-BF40-868A9D880F57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stun até 0.1s
2 - stun até 0.35s
3 - stun até 0.6s
4 - stun até 0.85s
5 - stun até 1.1s
6 - stun até 1.35s
7 - stun até 1.6s
8 - stun até 1.85s
9 - stun até 2.1s
10 - stun até 2.5s
11...</t>
      </text>
    </comment>
    <comment ref="BG2" authorId="36" shapeId="0" xr:uid="{B2E93F1E-B2CE-4BC5-879F-C6748A4C4E36}">
      <text>
        <t>[Threaded comment]
Your version of Excel allows you to read this threaded comment; however, any edits to it will get removed if the file is opened in a newer version of Excel. Learn more: https://go.microsoft.com/fwlink/?linkid=870924
Comment:
    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>
      </text>
    </comment>
    <comment ref="BH2" authorId="37" shapeId="0" xr:uid="{5D9D6F8E-BBE2-4206-886C-31168EBC53FC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potência + duração)/3
0 - não tem essa capacidade
Frequência:
1 - 1/1min
2 - 1/50s
3 - 1/40s
4 - 1/30s
5 - 1/22s
6 - 1/15s
7 - 1/10s
8 - 1/7s
9 - 1/5s
10 - 1/3s
11...
Potência da lentidão:
1 - até 5%
2 - até 10%
3 - até 15%
4 - até 20%
5 - até 25%
6 - até 30%
7 - até 35%
8 - até 40%
9 - até 45%
10 - até 50%
11...
duração
1 - 0.5s
2 - 1s
3 - 1.5s
4 - 2s
5 - 2.5s
6 - 3s
7 - 3.5s
8 - 4s
9 - 4.5s
10 - 5s
11...</t>
      </text>
    </comment>
    <comment ref="BI2" authorId="38" shapeId="0" xr:uid="{D98A3EE5-0B75-4351-9DF1-4F7F251BF6FF}">
      <text>
        <t>[Threaded comment]
Your version of Excel allows you to read this threaded comment; however, any edits to it will get removed if the file is opened in a newer version of Excel. Learn more: https://go.microsoft.com/fwlink/?linkid=870924
Comment:
    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>
      </text>
    </comment>
    <comment ref="BJ2" authorId="39" shapeId="0" xr:uid="{747B6F09-CDD4-4129-BCFB-3BC2FEC072FB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o brawler não tem essa capacidade
1 - pouco e apenas de muito perto e não possui formas rápidas de se aproximar
2 - pouco e apenas de perto e não possui formas rápidas de se aproximar
3 - pouco e apenas de medio alcance e não possui formas rápidas de se aproximar
4 - pouco e apenas de perto mas possui formas de se aproximar
5 - pouco e apenas de perto mas possui formas de se aproximar rapidamente
6 - de médias/longas distâncias
7 - longas distâncias
8 - ignorando muros
9 - ignorando obstaculos a médio/longo alcance
10 - ignorando obstáculos e objetos a longo alcance
11...</t>
      </text>
    </comment>
    <comment ref="BK2" authorId="40" shapeId="0" xr:uid="{3972AB50-CCB4-4CE2-914D-E147ABD420BE}">
      <text>
        <t>[Threaded comment]
Your version of Excel allows you to read this threaded comment; however, any edits to it will get removed if the file is opened in a newer version of Excel. Learn more: https://go.microsoft.com/fwlink/?linkid=870924
Comment:
    Se o seu brawler não é especialmente afetado, assinale altamente competente (7). Caso seja (um frank por exemplo é muito afetado), tente medir o quão fácil é para o inimigo cancelar um ataque forte seu e te prejudicar.
6 - afetado levemente por demora até finalização do tiro
5 - afetado levemente numa situação específica
4 - afetado consideravelmente no super
3 - afetado consideravelmente no ataque principal
2 - afetado consideravelmente no super e ataque
-1 se dá mais de 1 segundo de tempo de reação na super
-2 se dá mais de 1 segundo de tempo de reação no ataque principal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tc={AEA62B1D-7497-4053-8BC3-AB5DD833184A}</author>
    <author>tc={48209E4E-DD4E-4495-83FF-01AD38F380E0}</author>
    <author>tc={183BD924-6326-4469-B909-83B4FE192A37}</author>
    <author>tc={774F8D20-94EB-4206-9C36-40060FEF4CCC}</author>
    <author>tc={287EE80D-468C-4F3F-B812-B46CF7395828}</author>
    <author>tc={8C502DD0-E0BD-4D12-88AF-9466DFEE17EB}</author>
    <author>tc={5C22C392-13A6-4EDA-98F4-9E312E27A3A4}</author>
    <author>tc={9881D057-9A21-4C40-BEB4-14226BA1FA69}</author>
    <author>tc={CC61375B-2CBC-4EC4-B5D9-4BCE11C9F63B}</author>
    <author>tc={9D67511D-6D55-4AF9-A07A-9AF64B9E93DD}</author>
    <author>tc={83642668-E1BB-454F-81B4-23857600244D}</author>
    <author>tc={C7F146CA-75B3-4667-9B88-2A55D9FA51CE}</author>
    <author>tc={DDEF7830-9FDA-4DA3-9301-7D0C16ABB4E7}</author>
    <author>tc={21C4BA0D-2C3A-4437-8F7C-44AB7341EE0D}</author>
    <author>tc={CF0972BD-E9B3-4549-A2A8-7C0DF85C4C48}</author>
    <author>tc={58C85561-7064-4A22-B0E3-30B32222C614}</author>
    <author>tc={0D7C7B35-5DFE-48E7-9C95-557FDA08D843}</author>
    <author>tc={7601B4EF-E1B5-4D89-8698-00E33AE9A67D}</author>
    <author>tc={8280449B-F405-4788-84C1-CEB2C85D3EC3}</author>
    <author>tc={20E55591-0011-4BD7-B71C-18DB4536223C}</author>
    <author>tc={6BFBA8F6-B57B-455C-B17A-CB0572DED925}</author>
    <author>tc={735CEBFE-F407-46BB-BCE6-4DED80CC33A8}</author>
    <author>tc={FE62A1B6-6DEE-420F-8DC0-202410C06336}</author>
    <author>tc={866E29FF-ADE6-41EE-AEBD-0B1BDEACB237}</author>
    <author>tc={68B2252B-FCFB-457A-8B5A-F07EEB6115BA}</author>
    <author>tc={7B556312-2948-4E41-AE56-0DCC309A1922}</author>
    <author>tc={955C043B-13B3-4BDF-8B36-D197E25D49D0}</author>
    <author>tc={D152C21F-A039-4FDF-B490-3B39F52216C7}</author>
    <author>tc={E4F48B0A-127D-4752-A0BE-B336A9D14889}</author>
    <author>tc={CE9CB006-B990-47C3-A966-88DBFFE642BE}</author>
    <author>tc={860C029A-C54B-420F-9B92-E3E9D8304A69}</author>
    <author>tc={6F4B8CFC-F9BD-41E4-B38A-CECBB7E9BCBA}</author>
    <author>tc={B73E0618-4904-4924-AC1D-0AF2B812984C}</author>
    <author>tc={70814576-71E3-4355-9D2E-0B68A48C1D57}</author>
    <author>tc={285F884F-91AC-411A-B3DA-D617A0CBE6CF}</author>
    <author>tc={B5D48F09-D143-4476-844F-6F8DE3C7BE11}</author>
    <author>tc={39101BE6-9C60-4AAD-8F2C-ACA49AA1D872}</author>
    <author>tc={D535AB02-192D-4E15-9015-52762D6F5DCF}</author>
    <author>tc={E3510953-C425-4123-A249-94F8FDBC2FA4}</author>
    <author>tc={AF818AB8-E6EF-4BDF-8373-8BC0D40B94DB}</author>
    <author>tc={8D69E0E0-6F6B-440B-B783-E5D8A7454C97}</author>
  </authors>
  <commentList>
    <comment ref="V2" authorId="0" shapeId="0" xr:uid="{AEA62B1D-7497-4053-8BC3-AB5DD833184A}">
      <text>
        <t>[Threaded comment]
Your version of Excel allows you to read this threaded comment; however, any edits to it will get removed if the file is opened in a newer version of Excel. Learn more: https://go.microsoft.com/fwlink/?linkid=870924
Comment:
    (Durabilidade_total / 1400) + (auto_heal_buffing / 3,5)</t>
      </text>
    </comment>
    <comment ref="W2" authorId="1" shapeId="0" xr:uid="{48209E4E-DD4E-4495-83FF-01AD38F380E0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ataca eu achokkk
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>
      </text>
    </comment>
    <comment ref="X2" authorId="2" shapeId="0" xr:uid="{183BD924-6326-4469-B909-83B4FE192A37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(frequencia + potência + versatilidade)/3
frequência:
1 - 1 min
2 - 45s
3 - 35s
4 - 30s
5 - 25s
6 - 20s
7 - 15s
8 - 10s
9 - 5s
10 - menos de 5s
11...
potência do uso:
1 - distância curta
2 - distância curta/normal
3 - distância normal/curta
4 - distância normal
5 - distância normal/longa
6 - distância longa/normal
7 - distância longa
8 - distância longa/mtlonga
9 - distância mtlonga/longa
10 - distância mtlonga
11...
versatilidade:
1 - invulnerável, mas parado e vulnerável ao voltar
2 - invulnerável, mas parado ao voltar
3 - afasta inimigos um pouco
4 - afasta medio inimigos
5 - fuga lenta sem escolher direção ou circunstancial
6 - fuga lenta escolhendo direção quase livremente
7 - fuga lenta escolhendo direção livremente
8 - fuga rápida quase sem escolher direção
9 - fuga rápida escolhendo direção quase livremente
10 - fuga rápida escolhendo direção livremente
11...</t>
      </text>
    </comment>
    <comment ref="Y2" authorId="3" shapeId="0" xr:uid="{774F8D20-94EB-4206-9C36-40060FEF4CCC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projétil único
1 - projétil único perfurante
2 - linha fina multiplos projéteis
3 - tiro em forma de cone pequeno (25° +ou-)
4 - tiro em forma retangular medio (1 brawler de largura)
5 - tiro em forma de cone médio (50° +ou-)
6 - tiro em forma retangular grande (1-2 brawler de largura)
7 - tiro em forma de cone grande (75° +ou-)
8 - tiro com amplitude maior (até 100° +ou-)
9 - tiro em todas as direções
10 - tiro frequente em todas as direções
11...</t>
      </text>
    </comment>
    <comment ref="Z2" authorId="4" shapeId="0" xr:uid="{287EE80D-468C-4F3F-B812-B46CF7395828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mais de 1/30s
1 - 1/30s
2 - 1/20s
3 - 1/15s
4 - 1/10s
5 - 1/5s
6 - ataque básico frequente
7 - ataque básico e super frequente</t>
      </text>
    </comment>
    <comment ref="AA2" authorId="5" shapeId="0" xr:uid="{8C502DD0-E0BD-4D12-88AF-9466DFEE17EB}">
      <text>
        <t>[Threaded comment]
Your version of Excel allows you to read this threaded comment; however, any edits to it will get removed if the file is opened in a newer version of Excel. Learn more: https://go.microsoft.com/fwlink/?linkid=870924
Comment:
    (duração + área + efeito + distância-arremesso)/4
Efeito:
3 - efeito ignorável muitas vezes
6 - efeito ignorável raramente
9 - efeito quase nunca ignoravel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
Duração:
1 - 1s
2 - 2s
3 - 3s
4 - 4s
5 - 5s
6 - 6s
7 - 7s
8 - 8s
9 - 9s
10 - 10s
11...
Distância arremesso
0 - Não ataca eu achokkk
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>
      </text>
    </comment>
    <comment ref="AB2" authorId="6" shapeId="0" xr:uid="{5C22C392-13A6-4EDA-98F4-9E312E27A3A4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o brawler não tem essa capacidade
1 - consegue manipular pouco e apenas de muito perto e não possui formas rápidas de se aproximar
2 - consegue manipular pouco e apenas de perto e não possui formas rápidas de se aproximar
3 - consegue manipular pouco e apenas de medio alcance e não possui formas rápidas de se aproximar
4 - consegue manipular pouco e apenas de perto mas possui formas de se aproximar
5 - o brawler consegue fazer de longas distancias mas manipula pouco
6 - o brawler consegue manipular muito a posição e de médias distâncias
7 - o brawler consegue manipular muito a posição e de longas distâncias
8 - o brawler consegue manipular um pouco a posição mas ignorando muros
9 - o brawler consegue manipular muito a posição e ignorando obstaculos a médio alcance
10 - o brawler consegue manipular muito a posição e ignorando obstáculos e objetos a longo alcance</t>
      </text>
    </comment>
    <comment ref="AC2" authorId="7" shapeId="0" xr:uid="{9881D057-9A21-4C40-BEB4-14226BA1FA69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absoluta incompetência
7 - altamente competente</t>
      </text>
    </comment>
    <comment ref="AD2" authorId="8" shapeId="0" xr:uid="{CC61375B-2CBC-4EC4-B5D9-4BCE11C9F63B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impossivel causar dano
1 - causa dano irrisório
2 - causa dano circunstancial
3 - causa dano ocasionalmente
4 - causa dano mortal as vezes
5 - causa dano mortal quase normalmente
6 - capaz de atacar o inimigo normalmente
7 - causa dano normalmente + anda na água tmb
8 - causa dano levemente superior
9 - causa dano muito maior a inimigos na água
10 - causa dano absurdamente maior
11...</t>
      </text>
    </comment>
    <comment ref="AE2" authorId="9" shapeId="0" xr:uid="{9D67511D-6D55-4AF9-A07A-9AF64B9E93DD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quebra muros
1 - 1/35min
2 - 1/30s
3 - 1/25s
4 - 1/20s
5 - 1/15s
6 - 1/12s
7 - 1/9s
8 - 1/6s
9 - 1/3s
10 - 1/1s
11...
-1 se a destruição é pouco controlável
-2 se a destruição é quase incontrolável ou se o brawler não deveria gastar os recursos dele focando nessa destruição</t>
      </text>
    </comment>
    <comment ref="AF2" authorId="10" shapeId="0" xr:uid="{83642668-E1BB-454F-81B4-23857600244D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quebra moitas
1 - 1/25min
2 - 1/16s
3 - 1/12s
4 - 1/10s
5 - 1/8s
6 - 1/6s
7 - 1/4s
8 - 1/3s
9 - 1/2s
10 - 1/1s
11...
-1 se a destruição é pouco controlável
-2 se a destruição é quase incontrolável ou se o brawler não deveria gastar os recursos dele focando nessa destruição</t>
      </text>
    </comment>
    <comment ref="AG2" authorId="11" shapeId="0" xr:uid="{C7F146CA-75B3-4667-9B88-2A55D9FA51CE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constroi cover
1 - 1/25min
2 - 1/16s
3 - 1/12s
4 - 1/10s
5 - 1/8s
6 - 1/6s
7 - 1/4s
8 - 1/3s
9 - 1/2s
10 - 1/1s
11...
-1 se a construção é pouco controlável
-2 se a construção é quase incontrolável ou se o brawler não deveria gastar os recursos dele focando nessa construção</t>
      </text>
    </comment>
    <comment ref="AH2" authorId="12" shapeId="0" xr:uid="{DDEF7830-9FDA-4DA3-9301-7D0C16ABB4E7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muito lento
2 - muito lento/lento
3 - lento
4 - lento/normal
5 - normal
6 - normal/rapido
7 - rapido
8 - rapido/muito rapido
9 - muito rapido
10 - suporter de velocidade
11...
-1 se a hitbox do brawler é do modelo maior</t>
      </text>
    </comment>
    <comment ref="AI2" authorId="13" shapeId="0" xr:uid="{21C4BA0D-2C3A-4437-8F7C-44AB7341EE0D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ataque lento e ineficaz
2 - ataque ineficaz
3 - ataque poderoso, mas super lento
4 - ataque poderoso, mas lento
5 - ataque poderoso e rápido, mas facilmente contornável sem sequelas
6 - ataque poderoso, mas contornavel/counterável facilmente
7 - ataque poderoso. Contornavel apenas se não estiver vulnerável
8 - mesmo counters tem dificuldade em prever/reagir ao ataque antes de levar um bom dano
9 - mesmo counters recebem muito dano antes de conseguirem reagir
10 - counterar um ataque bem planejado é quase impossível para qualquer brawler
+1 se aplica velocidade após o ataque
-1 se alcance é normal/longo
-2 se o alcance é curto/normal
-3 se o alcance é muito curto/curto</t>
      </text>
    </comment>
    <comment ref="AJ2" authorId="14" shapeId="0" xr:uid="{CF0972BD-E9B3-4549-A2A8-7C0DF85C4C48}">
      <text>
        <t>[Threaded comment]
Your version of Excel allows you to read this threaded comment; however, any edits to it will get removed if the file is opened in a newer version of Excel. Learn more: https://go.microsoft.com/fwlink/?linkid=870924
Comment:
    *fórmula pronta, utiliza stun como força adicional</t>
      </text>
    </comment>
    <comment ref="AK2" authorId="15" shapeId="0" xr:uid="{58C85561-7064-4A22-B0E3-30B32222C614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1 - 1/1min
2 - 1/50s
3 - 1/40s
4 - 1/30s
5 - 1/22s
6 - 1/15s
7 - 1/10s
8 - 1/7s
9 - 1/5s
10 - 1/3s
11...</t>
      </text>
    </comment>
    <comment ref="AL2" authorId="16" shapeId="0" xr:uid="{0D7C7B35-5DFE-48E7-9C95-557FDA08D843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nunca acumula mais de 1
2 - raramente acumula mais de 1
3 - ocasionalmente acumula mais de 1
4 - frequentemente acumula ao menos 2
5 - raramente acumula mais de 2
6 - ocasionalmente acumula mais de 2
7 - frequentemente acumula ao menos 3
8 - ocasionalmente acumula mais de 3
9 - frequentemente acumula mais de 4
10 - frequentemente acumula mais de 5
11...</t>
      </text>
    </comment>
    <comment ref="AM2" authorId="17" shapeId="0" xr:uid="{7601B4EF-E1B5-4D89-8698-00E33AE9A67D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A vida do(s) pet(s) não se deteriora sozinha com o tempo
1 - A vida do(s) pet(s) é deteriorável</t>
      </text>
    </comment>
    <comment ref="AN2" authorId="18" shapeId="0" xr:uid="{8280449B-F405-4788-84C1-CEB2C85D3EC3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menos de 2000
2 - entre 2000 e 3000
3 - entre 3000 e 4000
4 - entre 4000 e 5000
5 - entre 5000 e 6000
6 - entre 6000 e 7000
7 - entre 7000 e 8000
8 - entre 8000 e 9000
9 - entre 9000 e 10000
10 - entre 10000 e 11000
11...</t>
      </text>
    </comment>
    <comment ref="AO2" authorId="19" shapeId="0" xr:uid="{20E55591-0011-4BD7-B71C-18DB4536223C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dano médio menor de 500
1 - dano médio 500-800
2 - dano médio 800-1100
3 - dano médio 1100-1400
4 - dano médio 1400-1700
5 - dano médio 1700-2000
6 - dano médio 2000-2300
7 - dano médio 2300-2600
8 - dano médio 2900-3200
9 - dano médio 3200-3500
10 - dano médio 3500-3800
11...</t>
      </text>
    </comment>
    <comment ref="AP2" authorId="20" shapeId="0" xr:uid="{6BFBA8F6-B57B-455C-B17A-CB0572DED925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>
      </text>
    </comment>
    <comment ref="AQ2" authorId="21" shapeId="0" xr:uid="{735CEBFE-F407-46BB-BCE6-4DED80CC33A8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muito lento
2 - muito lento/lento
3 - lento/normal
4 - lento
5 - lento/normal
6 - normal/lento
7 - normal
8 - normal/rapido
9 - rapido
10 - MUITO rapido
11...</t>
      </text>
    </comment>
    <comment ref="AR2" authorId="22" shapeId="0" xr:uid="{FE62A1B6-6DEE-420F-8DC0-202410C06336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O dono não fica próximo ao pet em quase nenhum momento
2,5 - O dono fica próximo ao pet as vezes, mas raramente por muito tempo
5 - O dono fica próximo ao pet com alguma frequência, mas não é regra de usabilidade
7,5 - O dono fica próximo ao pet na maior parte do tempo, sendo grande parte da sua estratégia principal para avançar contra inimigos
10 - O dono fica próximo ao pet em quase todos os momentos. A exceção para esta regra resulta em inutilidade do pet na maior parte das vezes.</t>
      </text>
    </comment>
    <comment ref="AS2" authorId="23" shapeId="0" xr:uid="{866E29FF-ADE6-41EE-AEBD-0B1BDEACB237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é o caso para esse brawler
1 - chance levemente maior de causar dano ao todo
2 - chance relativamente maior de causar dano ao todo
3 - chance muito maior de causar mais dano ao todo
4 - atinge multiplos inimigos com a super
5 - atinge facilmente multiplos inimigos com a super
6 - atinge multiplos inimigos com o ataque principal
7 - atinge facilmente multiplos inimigos com o ataque
8 - causa mais dano por projétil
9 - causa mais do dobro de dano por projétil
10 - causa mais que o triplo do dano por projétil
11...</t>
      </text>
    </comment>
    <comment ref="AT2" authorId="24" shapeId="0" xr:uid="{68B2252B-FCFB-457A-8B5A-F07EEB6115BA}">
      <text>
        <t>[Threaded comment]
Your version of Excel allows you to read this threaded comment; however, any edits to it will get removed if the file is opened in a newer version of Excel. Learn more: https://go.microsoft.com/fwlink/?linkid=870924
Comment:
    (precisão + Área + duração + frequência)/4
Precisão:
3 - perseguição de pets
6 - precisão em posição fixa arremessavel
10 - precisão absoluta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
Duração:
1 - 3s
2 - 6s
3 - 9s
4 - 12s
5 - 15s
6 - 18s
7 - 21s
8 - 24s
9 - 27s
10 - infinito
11...
Frequência:
1 - 1/1min
2 - 1/50s
3 - 1/40s
4 - 1/30s
5 - 1/22s
6 - 1/15s
7 - 1/10s
8 - 1/7s
9 - 1/5s
10 - 1/3s
11...</t>
      </text>
    </comment>
    <comment ref="AU2" authorId="25" shapeId="0" xr:uid="{7B556312-2948-4E41-AE56-0DCC309A1922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As informações do brawler/complemento não dependem de nenhuma forma da formação de inimigos ou terreno para que façam sentido
2,5 - As informações do brawler/complemento podem depender um pouco de formas de uso
5 - As informações do brawler/complemento podem depender um pouco de características de terreno, como presença de moitas/agua e/ou de formas de uso
7,5 - as informações dependem bastante de características externas como formas de uso, terreno e inimigos. A verificação humana é essencial para garantir que o brawler realmente seja bom.
10 - As informações dependem demais de fatores externos para funcionarem de forma adequada. Detalhes desses fatores devem ser destacados para o usuário.</t>
      </text>
    </comment>
    <comment ref="AV2" authorId="26" shapeId="0" xr:uid="{955C043B-13B3-4BDF-8B36-D197E25D49D0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potência + velocidade) / 3
Frequência:
1 - 1/1min
2 - 1/50s
3 - 1/40s
4 - 1/30s
5 - 1/22s
6 - 1/15s
7 - 1/10s
8 - 1/7s
9 - 1/5s
10 - 1/3s
11...
Potência do hp:
1 - 1-500
2 - 500-1000
3 - 1000-1500
4 - 1500 - 2000
5 - 2000 - 2500
6 - 2500 - 3000
7 - 3000 - 3500
8 - 3500 - 4000
9 - 4000 - 4500
10 - 4500 - 5000
Velocidade da cura
3 - Lenta e parcelada
6 - Lenta ou muito circunstancial
9 - Instantânea e pouco circunstancial</t>
      </text>
    </comment>
    <comment ref="AW2" authorId="27" shapeId="0" xr:uid="{D152C21F-A039-4FDF-B490-3B39F52216C7}">
      <text>
        <t>[Threaded comment]
Your version of Excel allows you to read this threaded comment; however, any edits to it will get removed if the file is opened in a newer version of Excel. Learn more: https://go.microsoft.com/fwlink/?linkid=870924
Comment:
    (duração + potência) / 2 
potência:
1 - até 10%
2 - até 20%
3 - até 30%
4 - até 40%
5 - até 50%
6 - até 60%
7 - até 70%
8 - até 80%
9 - até 90%
10 - até 100%
duração
1 - 1s
2 - 2s
3 - 3s
4 - 4s
5 - 5s
6 - 6s
7 - 7s
8 - 8s
9 - 9s
10 - 10s</t>
      </text>
    </comment>
    <comment ref="AX2" authorId="28" shapeId="0" xr:uid="{E4F48B0A-127D-4752-A0BE-B336A9D14889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potência) / 2 
Frequência:
1 - 1/1min
2 - 1/50s
3 - 1/40s
4 - 1/30s
5 - 1/22s
6 - 1/15s
7 - 1/10s
8 - 1/7s
9 - 1/5s
10 - 1/3s
11...
Potência do escudo:
1 - 1-500
2 - 500-1000
3 - 1000-1500
4 - 1500 - 2000
5 - 2000 - 2500
6 - 2500 - 3000
7 - 3000 - 3500
8 - 3500 - 4000
9 - 4000 - 4500
10 - 4500 - 5000</t>
      </text>
    </comment>
    <comment ref="AY2" authorId="29" shapeId="0" xr:uid="{CE9CB006-B990-47C3-A966-88DBFFE642BE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potência + duração)/3
0 - não tem essa capacidade
Frequência:
1 - 1/1min
2 - 1/50s
3 - 1/40s
4 - 1/30s
5 - 1/22s
6 - 1/15s
7 - 1/10s
8 - 1/7s
9 - 1/5s
10 - 1/3s
11...
Potência do aumento de dano:
1 - até 5%
2 - até 10%
3 - até 15%
4 - até 20%
5 - até 25%
6 - até 30%
7 - até 35%
8 - até 40%
9 - até 45%
10 - até 50%
11...
duração
1 - 1s
2 - 2s
3 - 3s
4 - 4s
5 - 5s
6 - 6s
7 - 7s
8 - 8s
9 - 9s
10 - 10s
11...</t>
      </text>
    </comment>
    <comment ref="AZ2" authorId="30" shapeId="0" xr:uid="{860C029A-C54B-420F-9B92-E3E9D8304A69}">
      <text>
        <t>[Threaded comment]
Your version of Excel allows you to read this threaded comment; however, any edits to it will get removed if the file is opened in a newer version of Excel. Learn more: https://go.microsoft.com/fwlink/?linkid=870924
Comment:
    (duração + potência) / 2 
potência:
1 - até 8%
2 - até 16%
3 - até 24%
4 - até 32%
5 - até 40%
6 - até 48%
7 - até 56%
8 - até 64%
9 - até 72%
10 - até 80%
11...
duração
1 - 1s
2 - 2s
3 - 3s
4 - 4s
5 - 5s
6 - 6s
7 - 7s
8 - 8s
9 - 9s
10 - 10s</t>
      </text>
    </comment>
    <comment ref="BA2" authorId="31" shapeId="0" xr:uid="{6F4B8CFC-F9BD-41E4-B38A-CECBB7E9BCBA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(frequencia + duração) / 2 
Frequência
1 - 1/1min
2 - 1/50s
3 - 1/40s
4 - 1/30s
5 - 1/22s
6 - 1/15s
7 - 1/10s
8 - 1/7s
9 - 1/5s
10 - 1/3s
11...
Duração:
1 - 1s
2 - 2s
3 - 3s
4 - 4s
5 - 5s
6 - 6s
7 - 7s
8 - 8s
9 - 9s
10 - 10s
11...</t>
      </text>
    </comment>
    <comment ref="BB2" authorId="32" shapeId="0" xr:uid="{B73E0618-4904-4924-AC1D-0AF2B812984C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duração + área) / 3
0 - não tem essa capacidade
Frequência:
1 - 1/1min
2 - 1/50s
3 - 1/40s
4 - 1/30s
5 - 1/22s
6 - 1/15s
7 - 1/10s
8 - 1/7s
9 - 1/5s
10 - 1/3s
11...
duração
1 - 1s
2 - 2s
3 - 3s
4 - 4s
5 - 5s
6 - 6s
7 - 7s
8 - 8s
9 - 9s
10 - 10s
11...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</t>
      </text>
    </comment>
    <comment ref="BD2" authorId="33" shapeId="0" xr:uid="{70814576-71E3-4355-9D2E-0B68A48C1D57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aplica veneno
1 - duração de 1 hit
2 - duração de 2 hit
3 - duração de 3 hit
4 - duração de 4 hit
5 - duração de 5 hit
6 - duração de 6 hit
7 - duração de 7 hit
8 - duração de 8 hit
9 - duração de 9 hit
10 - duração de 10 hit
11...
/1 se proveniente do ataque principal
/2 se proveniente da super
/3 se proveniente de algo ainda mais ocasional</t>
      </text>
    </comment>
    <comment ref="BE2" authorId="34" shapeId="0" xr:uid="{285F884F-91AC-411A-B3DA-D617A0CBE6CF}">
      <text>
        <t>[Threaded comment]
Your version of Excel allows you to read this threaded comment; however, any edits to it will get removed if the file is opened in a newer version of Excel. Learn more: https://go.microsoft.com/fwlink/?linkid=870924
Comment:
    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>
      </text>
    </comment>
    <comment ref="BF2" authorId="35" shapeId="0" xr:uid="{B5D48F09-D143-4476-844F-6F8DE3C7BE11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stun até 0.1s
2 - stun até 0.35s
3 - stun até 0.6s
4 - stun até 0.85s
5 - stun até 1.1s
6 - stun até 1.35s
7 - stun até 1.6s
8 - stun até 1.85s
9 - stun até 2.1s
10 - stun até 2.5s
11...</t>
      </text>
    </comment>
    <comment ref="BG2" authorId="36" shapeId="0" xr:uid="{39101BE6-9C60-4AAD-8F2C-ACA49AA1D872}">
      <text>
        <t>[Threaded comment]
Your version of Excel allows you to read this threaded comment; however, any edits to it will get removed if the file is opened in a newer version of Excel. Learn more: https://go.microsoft.com/fwlink/?linkid=870924
Comment:
    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>
      </text>
    </comment>
    <comment ref="BH2" authorId="37" shapeId="0" xr:uid="{D535AB02-192D-4E15-9015-52762D6F5DCF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potência + duração)/3
0 - não tem essa capacidade
Frequência:
1 - 1/1min
2 - 1/50s
3 - 1/40s
4 - 1/30s
5 - 1/22s
6 - 1/15s
7 - 1/10s
8 - 1/7s
9 - 1/5s
10 - 1/3s
11...
Potência da lentidão:
1 - até 5%
2 - até 10%
3 - até 15%
4 - até 20%
5 - até 25%
6 - até 30%
7 - até 35%
8 - até 40%
9 - até 45%
10 - até 50%
11...
duração
1 - 0.5s
2 - 1s
3 - 1.5s
4 - 2s
5 - 2.5s
6 - 3s
7 - 3.5s
8 - 4s
9 - 4.5s
10 - 5s
11...</t>
      </text>
    </comment>
    <comment ref="BI2" authorId="38" shapeId="0" xr:uid="{E3510953-C425-4123-A249-94F8FDBC2FA4}">
      <text>
        <t>[Threaded comment]
Your version of Excel allows you to read this threaded comment; however, any edits to it will get removed if the file is opened in a newer version of Excel. Learn more: https://go.microsoft.com/fwlink/?linkid=870924
Comment:
    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>
      </text>
    </comment>
    <comment ref="BJ2" authorId="39" shapeId="0" xr:uid="{AF818AB8-E6EF-4BDF-8373-8BC0D40B94DB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o brawler não tem essa capacidade
1 - pouco e apenas de muito perto e não possui formas rápidas de se aproximar
2 - pouco e apenas de perto e não possui formas rápidas de se aproximar
3 - pouco e apenas de medio alcance e não possui formas rápidas de se aproximar
4 - pouco e apenas de perto mas possui formas de se aproximar
5 - pouco e apenas de perto mas possui formas de se aproximar rapidamente
6 - de médias/longas distâncias
7 - longas distâncias
8 - ignorando muros
9 - ignorando obstaculos a médio/longo alcance
10 - ignorando obstáculos e objetos a longo alcance
11...</t>
      </text>
    </comment>
    <comment ref="BK2" authorId="40" shapeId="0" xr:uid="{8D69E0E0-6F6B-440B-B783-E5D8A7454C97}">
      <text>
        <t>[Threaded comment]
Your version of Excel allows you to read this threaded comment; however, any edits to it will get removed if the file is opened in a newer version of Excel. Learn more: https://go.microsoft.com/fwlink/?linkid=870924
Comment:
    Se o seu brawler não é especialmente afetado, assinale altamente competente (7). Caso seja (um frank por exemplo é muito afetado), tente medir o quão fácil é para o inimigo cancelar um ataque forte seu e te prejudicar.
6 - afetado levemente por demora até finalização do tiro
5 - afetado levemente numa situação específica
4 - afetado consideravelmente no super
3 - afetado consideravelmente no ataque principal
2 - afetado consideravelmente no super e ataque
-1 se dá mais de 1 segundo de tempo de reação na super
-2 se dá mais de 1 segundo de tempo de reação no ataque principal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tc={C944CAF9-FF5F-495C-A308-007892E4AAF8}</author>
    <author>tc={E6FC42D2-FD2A-455A-91D7-D4F30C871899}</author>
    <author>tc={BC97BA7E-6F8C-477F-9224-7B3B87B0C662}</author>
    <author>tc={F1E169BE-03ED-47D8-9F9C-4C5BF207761A}</author>
    <author>tc={764EBF18-3141-40E9-87AC-7A91A4E692AB}</author>
    <author>tc={3DB19886-B401-4DAD-8E8E-090A15D56832}</author>
    <author>tc={1BF9E232-90EE-4ACD-A1DE-9A6BC5180718}</author>
    <author>tc={958A17A6-B188-40E4-B9D3-4AAD821C54D4}</author>
    <author>tc={97E2212D-593E-40AB-B5E1-260C71E993D2}</author>
    <author>tc={26737FDB-A916-4BF4-A9A9-7CF6CCFD8068}</author>
    <author>tc={CDB81A4B-4E66-4983-81EF-AA6985855C34}</author>
    <author>tc={CBAACDD2-4100-434A-9CED-A16BFC4392AD}</author>
    <author>tc={BA151CE8-C11F-4E9B-BE92-9A8C03B72140}</author>
    <author>tc={3AA4F353-4653-42B4-AC30-2E21F99420F4}</author>
    <author>tc={D911A897-E4A7-4055-B9D9-E6917E60CFCB}</author>
    <author>tc={60C799CD-F376-48E6-ACF5-25A0CD5A89F7}</author>
    <author>tc={EAD1A554-D345-4E2F-9BD4-01C72E98EEAC}</author>
    <author>tc={C07D3678-AF36-4690-9834-00A8A37AD8CE}</author>
    <author>tc={929C05D1-4546-4AF7-9CBE-18395EA4DBD1}</author>
    <author>tc={7A2BEFB3-497A-45E9-80B7-28E71704F251}</author>
    <author>tc={93338258-4B25-45AE-919A-B9D739346AE4}</author>
    <author>tc={9B8BB204-FE83-40C5-A25F-2F3B1627A8A4}</author>
    <author>tc={67E064FB-BEA3-4956-B351-92BFF39A3083}</author>
    <author>tc={8D09C463-7F6C-479A-8BD5-6602B75D9A2C}</author>
    <author>tc={30F81B1F-29CB-4CEE-BE6C-67DFA94B0851}</author>
    <author>tc={801434C3-7C5F-4FAE-A9D3-6443DA412149}</author>
    <author>tc={D4E71A50-64C1-4567-8789-2C1E288E8B33}</author>
    <author>tc={03ABB2A5-08F3-4896-AEAD-24E00D7A14FE}</author>
    <author>tc={0A72C888-5BC5-4E7B-BD8F-F41F5D9DA4D3}</author>
    <author>tc={2D00D098-998F-4FC6-ADD1-D2EB4DED77DF}</author>
    <author>tc={C4AFD06C-2B21-4658-ADD6-C40F2F98AFF4}</author>
    <author>tc={FFB6021E-908B-4AF0-A5FE-8D831941F692}</author>
    <author>tc={2722AC9D-5AE4-4544-BF1F-4131218A2E78}</author>
    <author>tc={F93D3B84-2D38-4D9F-846D-8AA8E5FF8F59}</author>
    <author>tc={D696D9FB-742D-476E-B67D-72CC16F3C891}</author>
    <author>tc={2218D972-22C3-46DC-8F32-B131A4581A8F}</author>
    <author>tc={737CEDAB-B2CD-4139-9671-5187FD73764B}</author>
    <author>tc={A8BD1EB7-77F4-4507-A61B-65D48811D538}</author>
    <author>tc={F459013C-3D4A-46A9-9DE3-1342510CCC8F}</author>
    <author>tc={1415665B-CF36-4EBE-B8ED-21DF2F447D7A}</author>
    <author>tc={9C705216-6304-4185-94E5-E7B954736E6B}</author>
  </authors>
  <commentList>
    <comment ref="V2" authorId="0" shapeId="0" xr:uid="{C944CAF9-FF5F-495C-A308-007892E4AAF8}">
      <text>
        <t>[Threaded comment]
Your version of Excel allows you to read this threaded comment; however, any edits to it will get removed if the file is opened in a newer version of Excel. Learn more: https://go.microsoft.com/fwlink/?linkid=870924
Comment:
    (Durabilidade_total / 1400) + (auto_heal_buffing / 3,5)</t>
      </text>
    </comment>
    <comment ref="W2" authorId="1" shapeId="0" xr:uid="{E6FC42D2-FD2A-455A-91D7-D4F30C871899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ataca eu achokkk
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>
      </text>
    </comment>
    <comment ref="X2" authorId="2" shapeId="0" xr:uid="{BC97BA7E-6F8C-477F-9224-7B3B87B0C662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(frequencia + potência + versatilidade)/3
frequência:
1 - 1 min
2 - 45s
3 - 35s
4 - 30s
5 - 25s
6 - 20s
7 - 15s
8 - 10s
9 - 5s
10 - menos de 5s
11...
potência do uso:
1 - distância curta
2 - distância curta/normal
3 - distância normal/curta
4 - distância normal
5 - distância normal/longa
6 - distância longa/normal
7 - distância longa
8 - distância longa/mtlonga
9 - distância mtlonga/longa
10 - distância mtlonga
11...
versatilidade:
1 - invulnerável, mas parado e vulnerável ao voltar
2 - invulnerável, mas parado ao voltar
3 - afasta inimigos um pouco
4 - afasta medio inimigos
5 - fuga lenta sem escolher direção ou circunstancial
6 - fuga lenta escolhendo direção quase livremente
7 - fuga lenta escolhendo direção livremente
8 - fuga rápida quase sem escolher direção
9 - fuga rápida escolhendo direção quase livremente
10 - fuga rápida escolhendo direção livremente
11...</t>
      </text>
    </comment>
    <comment ref="Y2" authorId="3" shapeId="0" xr:uid="{F1E169BE-03ED-47D8-9F9C-4C5BF207761A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projétil único
1 - projétil único perfurante
2 - linha fina multiplos projéteis
3 - tiro em forma de cone pequeno (25° +ou-)
4 - tiro em forma retangular medio (1 brawler de largura)
5 - tiro em forma de cone médio (50° +ou-)
6 - tiro em forma retangular grande (1-2 brawler de largura)
7 - tiro em forma de cone grande (75° +ou-)
8 - tiro com amplitude maior (até 100° +ou-)
9 - tiro em todas as direções
10 - tiro frequente em todas as direções
11...</t>
      </text>
    </comment>
    <comment ref="Z2" authorId="4" shapeId="0" xr:uid="{764EBF18-3141-40E9-87AC-7A91A4E692AB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mais de 1/30s
1 - 1/30s
2 - 1/20s
3 - 1/15s
4 - 1/10s
5 - 1/5s
6 - ataque básico frequente
7 - ataque básico e super frequente</t>
      </text>
    </comment>
    <comment ref="AA2" authorId="5" shapeId="0" xr:uid="{3DB19886-B401-4DAD-8E8E-090A15D56832}">
      <text>
        <t>[Threaded comment]
Your version of Excel allows you to read this threaded comment; however, any edits to it will get removed if the file is opened in a newer version of Excel. Learn more: https://go.microsoft.com/fwlink/?linkid=870924
Comment:
    (duração + área + efeito + distância-arremesso)/4
Efeito:
3 - efeito ignorável muitas vezes
6 - efeito ignorável raramente
9 - efeito quase nunca ignoravel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
Duração:
1 - 1s
2 - 2s
3 - 3s
4 - 4s
5 - 5s
6 - 6s
7 - 7s
8 - 8s
9 - 9s
10 - 10s
11...
Distância arremesso
0 - Não ataca eu achokkk
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>
      </text>
    </comment>
    <comment ref="AB2" authorId="6" shapeId="0" xr:uid="{1BF9E232-90EE-4ACD-A1DE-9A6BC5180718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o brawler não tem essa capacidade
1 - consegue manipular pouco e apenas de muito perto e não possui formas rápidas de se aproximar
2 - consegue manipular pouco e apenas de perto e não possui formas rápidas de se aproximar
3 - consegue manipular pouco e apenas de medio alcance e não possui formas rápidas de se aproximar
4 - consegue manipular pouco e apenas de perto mas possui formas de se aproximar
5 - o brawler consegue fazer de longas distancias mas manipula pouco
6 - o brawler consegue manipular muito a posição e de médias distâncias
7 - o brawler consegue manipular muito a posição e de longas distâncias
8 - o brawler consegue manipular um pouco a posição mas ignorando muros
9 - o brawler consegue manipular muito a posição e ignorando obstaculos a médio alcance
10 - o brawler consegue manipular muito a posição e ignorando obstáculos e objetos a longo alcance</t>
      </text>
    </comment>
    <comment ref="AC2" authorId="7" shapeId="0" xr:uid="{958A17A6-B188-40E4-B9D3-4AAD821C54D4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absoluta incompetência
7 - altamente competente</t>
      </text>
    </comment>
    <comment ref="AD2" authorId="8" shapeId="0" xr:uid="{97E2212D-593E-40AB-B5E1-260C71E993D2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impossivel causar dano
1 - causa dano irrisório
2 - causa dano circunstancial
3 - causa dano ocasionalmente
4 - causa dano mortal as vezes
5 - causa dano mortal quase normalmente
6 - capaz de atacar o inimigo normalmente
7 - causa dano normalmente + anda na água tmb
8 - causa dano levemente superior
9 - causa dano muito maior a inimigos na água
10 - causa dano absurdamente maior
11...</t>
      </text>
    </comment>
    <comment ref="AE2" authorId="9" shapeId="0" xr:uid="{26737FDB-A916-4BF4-A9A9-7CF6CCFD8068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quebra muros
1 - 1/35min
2 - 1/30s
3 - 1/25s
4 - 1/20s
5 - 1/15s
6 - 1/12s
7 - 1/9s
8 - 1/6s
9 - 1/3s
10 - 1/1s
11...
-1 se a destruição é pouco controlável
-2 se a destruição é quase incontrolável ou se o brawler não deveria gastar os recursos dele focando nessa destruição</t>
      </text>
    </comment>
    <comment ref="AF2" authorId="10" shapeId="0" xr:uid="{CDB81A4B-4E66-4983-81EF-AA6985855C34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quebra moitas
1 - 1/25min
2 - 1/16s
3 - 1/12s
4 - 1/10s
5 - 1/8s
6 - 1/6s
7 - 1/4s
8 - 1/3s
9 - 1/2s
10 - 1/1s
11...
-1 se a destruição é pouco controlável
-2 se a destruição é quase incontrolável ou se o brawler não deveria gastar os recursos dele focando nessa destruição</t>
      </text>
    </comment>
    <comment ref="AG2" authorId="11" shapeId="0" xr:uid="{CBAACDD2-4100-434A-9CED-A16BFC4392AD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constroi cover
1 - 1/25min
2 - 1/16s
3 - 1/12s
4 - 1/10s
5 - 1/8s
6 - 1/6s
7 - 1/4s
8 - 1/3s
9 - 1/2s
10 - 1/1s
11...
-1 se a construção é pouco controlável
-2 se a construção é quase incontrolável ou se o brawler não deveria gastar os recursos dele focando nessa construção</t>
      </text>
    </comment>
    <comment ref="AH2" authorId="12" shapeId="0" xr:uid="{BA151CE8-C11F-4E9B-BE92-9A8C03B72140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muito lento
2 - muito lento/lento
3 - lento
4 - lento/normal
5 - normal
6 - normal/rapido
7 - rapido
8 - rapido/muito rapido
9 - muito rapido
10 - suporter de velocidade
11...
-1 se a hitbox do brawler é do modelo maior</t>
      </text>
    </comment>
    <comment ref="AI2" authorId="13" shapeId="0" xr:uid="{3AA4F353-4653-42B4-AC30-2E21F99420F4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ataque lento e ineficaz
2 - ataque ineficaz
3 - ataque poderoso, mas super lento
4 - ataque poderoso, mas lento
5 - ataque poderoso e rápido, mas facilmente contornável sem sequelas
6 - ataque poderoso, mas contornavel/counterável facilmente
7 - ataque poderoso. Contornavel apenas se não estiver vulnerável
8 - mesmo counters tem dificuldade em prever/reagir ao ataque antes de levar um bom dano
9 - mesmo counters recebem muito dano antes de conseguirem reagir
10 - counterar um ataque bem planejado é quase impossível para qualquer brawler
+1 se aplica velocidade após o ataque
-1 se alcance é normal/longo
-2 se o alcance é curto/normal
-3 se o alcance é muito curto/curto</t>
      </text>
    </comment>
    <comment ref="AJ2" authorId="14" shapeId="0" xr:uid="{D911A897-E4A7-4055-B9D9-E6917E60CFCB}">
      <text>
        <t>[Threaded comment]
Your version of Excel allows you to read this threaded comment; however, any edits to it will get removed if the file is opened in a newer version of Excel. Learn more: https://go.microsoft.com/fwlink/?linkid=870924
Comment:
    *fórmula pronta, utiliza stun como força adicional</t>
      </text>
    </comment>
    <comment ref="AK2" authorId="15" shapeId="0" xr:uid="{60C799CD-F376-48E6-ACF5-25A0CD5A89F7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1 - 1/1min
2 - 1/50s
3 - 1/40s
4 - 1/30s
5 - 1/22s
6 - 1/15s
7 - 1/10s
8 - 1/7s
9 - 1/5s
10 - 1/3s
11...</t>
      </text>
    </comment>
    <comment ref="AL2" authorId="16" shapeId="0" xr:uid="{EAD1A554-D345-4E2F-9BD4-01C72E98EEAC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nunca acumula mais de 1
2 - raramente acumula mais de 1
3 - ocasionalmente acumula mais de 1
4 - frequentemente acumula ao menos 2
5 - raramente acumula mais de 2
6 - ocasionalmente acumula mais de 2
7 - frequentemente acumula ao menos 3
8 - ocasionalmente acumula mais de 3
9 - frequentemente acumula mais de 4
10 - frequentemente acumula mais de 5
11...</t>
      </text>
    </comment>
    <comment ref="AM2" authorId="17" shapeId="0" xr:uid="{C07D3678-AF36-4690-9834-00A8A37AD8CE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A vida do(s) pet(s) não se deteriora sozinha com o tempo
1 - A vida do(s) pet(s) é deteriorável</t>
      </text>
    </comment>
    <comment ref="AN2" authorId="18" shapeId="0" xr:uid="{929C05D1-4546-4AF7-9CBE-18395EA4DBD1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menos de 2000
2 - entre 2000 e 3000
3 - entre 3000 e 4000
4 - entre 4000 e 5000
5 - entre 5000 e 6000
6 - entre 6000 e 7000
7 - entre 7000 e 8000
8 - entre 8000 e 9000
9 - entre 9000 e 10000
10 - entre 10000 e 11000
11...</t>
      </text>
    </comment>
    <comment ref="AO2" authorId="19" shapeId="0" xr:uid="{7A2BEFB3-497A-45E9-80B7-28E71704F251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dano médio menor de 500
1 - dano médio 500-800
2 - dano médio 800-1100
3 - dano médio 1100-1400
4 - dano médio 1400-1700
5 - dano médio 1700-2000
6 - dano médio 2000-2300
7 - dano médio 2300-2600
8 - dano médio 2900-3200
9 - dano médio 3200-3500
10 - dano médio 3500-3800
11...</t>
      </text>
    </comment>
    <comment ref="AP2" authorId="20" shapeId="0" xr:uid="{93338258-4B25-45AE-919A-B9D739346AE4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>
      </text>
    </comment>
    <comment ref="AQ2" authorId="21" shapeId="0" xr:uid="{9B8BB204-FE83-40C5-A25F-2F3B1627A8A4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muito lento
2 - muito lento/lento
3 - lento/normal
4 - lento
5 - lento/normal
6 - normal/lento
7 - normal
8 - normal/rapido
9 - rapido
10 - MUITO rapido
11...</t>
      </text>
    </comment>
    <comment ref="AR2" authorId="22" shapeId="0" xr:uid="{67E064FB-BEA3-4956-B351-92BFF39A3083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O dono não fica próximo ao pet em quase nenhum momento
2,5 - O dono fica próximo ao pet as vezes, mas raramente por muito tempo
5 - O dono fica próximo ao pet com alguma frequência, mas não é regra de usabilidade
7,5 - O dono fica próximo ao pet na maior parte do tempo, sendo grande parte da sua estratégia principal para avançar contra inimigos
10 - O dono fica próximo ao pet em quase todos os momentos. A exceção para esta regra resulta em inutilidade do pet na maior parte das vezes.</t>
      </text>
    </comment>
    <comment ref="AS2" authorId="23" shapeId="0" xr:uid="{8D09C463-7F6C-479A-8BD5-6602B75D9A2C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é o caso para esse brawler
1 - chance levemente maior de causar dano ao todo
2 - chance relativamente maior de causar dano ao todo
3 - chance muito maior de causar mais dano ao todo
4 - atinge multiplos inimigos com a super
5 - atinge facilmente multiplos inimigos com a super
6 - atinge multiplos inimigos com o ataque principal
7 - atinge facilmente multiplos inimigos com o ataque
8 - causa mais dano por projétil
9 - causa mais do dobro de dano por projétil
10 - causa mais que o triplo do dano por projétil
11...</t>
      </text>
    </comment>
    <comment ref="AT2" authorId="24" shapeId="0" xr:uid="{30F81B1F-29CB-4CEE-BE6C-67DFA94B0851}">
      <text>
        <t>[Threaded comment]
Your version of Excel allows you to read this threaded comment; however, any edits to it will get removed if the file is opened in a newer version of Excel. Learn more: https://go.microsoft.com/fwlink/?linkid=870924
Comment:
    (precisão + Área + duração + frequência)/4
Precisão:
3 - perseguição de pets
6 - precisão em posição fixa arremessavel
10 - precisão absoluta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
Duração:
1 - 3s
2 - 6s
3 - 9s
4 - 12s
5 - 15s
6 - 18s
7 - 21s
8 - 24s
9 - 27s
10 - infinito
11...
Frequência:
1 - 1/1min
2 - 1/50s
3 - 1/40s
4 - 1/30s
5 - 1/22s
6 - 1/15s
7 - 1/10s
8 - 1/7s
9 - 1/5s
10 - 1/3s
11...</t>
      </text>
    </comment>
    <comment ref="AU2" authorId="25" shapeId="0" xr:uid="{801434C3-7C5F-4FAE-A9D3-6443DA412149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As informações do brawler/complemento não dependem de nenhuma forma da formação de inimigos ou terreno para que façam sentido
2,5 - As informações do brawler/complemento podem depender um pouco de formas de uso
5 - As informações do brawler/complemento podem depender um pouco de características de terreno, como presença de moitas/agua e/ou de formas de uso
7,5 - as informações dependem bastante de características externas como formas de uso, terreno e inimigos. A verificação humana é essencial para garantir que o brawler realmente seja bom.
10 - As informações dependem demais de fatores externos para funcionarem de forma adequada. Detalhes desses fatores devem ser destacados para o usuário.</t>
      </text>
    </comment>
    <comment ref="AV2" authorId="26" shapeId="0" xr:uid="{D4E71A50-64C1-4567-8789-2C1E288E8B33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potência + velocidade) / 3
Frequência:
1 - 1/1min
2 - 1/50s
3 - 1/40s
4 - 1/30s
5 - 1/22s
6 - 1/15s
7 - 1/10s
8 - 1/7s
9 - 1/5s
10 - 1/3s
11...
Potência do hp:
1 - 1-500
2 - 500-1000
3 - 1000-1500
4 - 1500 - 2000
5 - 2000 - 2500
6 - 2500 - 3000
7 - 3000 - 3500
8 - 3500 - 4000
9 - 4000 - 4500
10 - 4500 - 5000
Velocidade da cura
3 - Lenta e parcelada
6 - Lenta ou muito circunstancial
9 - Instantânea e pouco circunstancial</t>
      </text>
    </comment>
    <comment ref="AW2" authorId="27" shapeId="0" xr:uid="{03ABB2A5-08F3-4896-AEAD-24E00D7A14FE}">
      <text>
        <t>[Threaded comment]
Your version of Excel allows you to read this threaded comment; however, any edits to it will get removed if the file is opened in a newer version of Excel. Learn more: https://go.microsoft.com/fwlink/?linkid=870924
Comment:
    (duração + potência) / 2 
potência:
1 - até 10%
2 - até 20%
3 - até 30%
4 - até 40%
5 - até 50%
6 - até 60%
7 - até 70%
8 - até 80%
9 - até 90%
10 - até 100%
duração
1 - 1s
2 - 2s
3 - 3s
4 - 4s
5 - 5s
6 - 6s
7 - 7s
8 - 8s
9 - 9s
10 - 10s</t>
      </text>
    </comment>
    <comment ref="AX2" authorId="28" shapeId="0" xr:uid="{0A72C888-5BC5-4E7B-BD8F-F41F5D9DA4D3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potência) / 2 
Frequência:
1 - 1/1min
2 - 1/50s
3 - 1/40s
4 - 1/30s
5 - 1/22s
6 - 1/15s
7 - 1/10s
8 - 1/7s
9 - 1/5s
10 - 1/3s
11...
Potência do escudo:
1 - 1-500
2 - 500-1000
3 - 1000-1500
4 - 1500 - 2000
5 - 2000 - 2500
6 - 2500 - 3000
7 - 3000 - 3500
8 - 3500 - 4000
9 - 4000 - 4500
10 - 4500 - 5000</t>
      </text>
    </comment>
    <comment ref="AY2" authorId="29" shapeId="0" xr:uid="{2D00D098-998F-4FC6-ADD1-D2EB4DED77DF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potência + duração)/3
0 - não tem essa capacidade
Frequência:
1 - 1/1min
2 - 1/50s
3 - 1/40s
4 - 1/30s
5 - 1/22s
6 - 1/15s
7 - 1/10s
8 - 1/7s
9 - 1/5s
10 - 1/3s
11...
Potência do aumento de dano:
1 - até 5%
2 - até 10%
3 - até 15%
4 - até 20%
5 - até 25%
6 - até 30%
7 - até 35%
8 - até 40%
9 - até 45%
10 - até 50%
11...
duração
1 - 1s
2 - 2s
3 - 3s
4 - 4s
5 - 5s
6 - 6s
7 - 7s
8 - 8s
9 - 9s
10 - 10s
11...</t>
      </text>
    </comment>
    <comment ref="AZ2" authorId="30" shapeId="0" xr:uid="{C4AFD06C-2B21-4658-ADD6-C40F2F98AFF4}">
      <text>
        <t>[Threaded comment]
Your version of Excel allows you to read this threaded comment; however, any edits to it will get removed if the file is opened in a newer version of Excel. Learn more: https://go.microsoft.com/fwlink/?linkid=870924
Comment:
    (duração + potência) / 2 
potência:
1 - até 8%
2 - até 16%
3 - até 24%
4 - até 32%
5 - até 40%
6 - até 48%
7 - até 56%
8 - até 64%
9 - até 72%
10 - até 80%
11...
duração
1 - 1s
2 - 2s
3 - 3s
4 - 4s
5 - 5s
6 - 6s
7 - 7s
8 - 8s
9 - 9s
10 - 10s</t>
      </text>
    </comment>
    <comment ref="BA2" authorId="31" shapeId="0" xr:uid="{FFB6021E-908B-4AF0-A5FE-8D831941F692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(frequencia + duração) / 2 
Frequência
1 - 1/1min
2 - 1/50s
3 - 1/40s
4 - 1/30s
5 - 1/22s
6 - 1/15s
7 - 1/10s
8 - 1/7s
9 - 1/5s
10 - 1/3s
11...
Duração:
1 - 1s
2 - 2s
3 - 3s
4 - 4s
5 - 5s
6 - 6s
7 - 7s
8 - 8s
9 - 9s
10 - 10s
11...</t>
      </text>
    </comment>
    <comment ref="BB2" authorId="32" shapeId="0" xr:uid="{2722AC9D-5AE4-4544-BF1F-4131218A2E78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duração + área) / 3
0 - não tem essa capacidade
Frequência:
1 - 1/1min
2 - 1/50s
3 - 1/40s
4 - 1/30s
5 - 1/22s
6 - 1/15s
7 - 1/10s
8 - 1/7s
9 - 1/5s
10 - 1/3s
11...
duração
1 - 1s
2 - 2s
3 - 3s
4 - 4s
5 - 5s
6 - 6s
7 - 7s
8 - 8s
9 - 9s
10 - 10s
11...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</t>
      </text>
    </comment>
    <comment ref="BD2" authorId="33" shapeId="0" xr:uid="{F93D3B84-2D38-4D9F-846D-8AA8E5FF8F59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aplica veneno
1 - duração de 1 hit
2 - duração de 2 hit
3 - duração de 3 hit
4 - duração de 4 hit
5 - duração de 5 hit
6 - duração de 6 hit
7 - duração de 7 hit
8 - duração de 8 hit
9 - duração de 9 hit
10 - duração de 10 hit
11...
/1 se proveniente do ataque principal
/2 se proveniente da super
/3 se proveniente de algo ainda mais ocasional</t>
      </text>
    </comment>
    <comment ref="BE2" authorId="34" shapeId="0" xr:uid="{D696D9FB-742D-476E-B67D-72CC16F3C891}">
      <text>
        <t>[Threaded comment]
Your version of Excel allows you to read this threaded comment; however, any edits to it will get removed if the file is opened in a newer version of Excel. Learn more: https://go.microsoft.com/fwlink/?linkid=870924
Comment:
    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>
      </text>
    </comment>
    <comment ref="BF2" authorId="35" shapeId="0" xr:uid="{2218D972-22C3-46DC-8F32-B131A4581A8F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stun até 0.1s
2 - stun até 0.35s
3 - stun até 0.6s
4 - stun até 0.85s
5 - stun até 1.1s
6 - stun até 1.35s
7 - stun até 1.6s
8 - stun até 1.85s
9 - stun até 2.1s
10 - stun até 2.5s
11...</t>
      </text>
    </comment>
    <comment ref="BG2" authorId="36" shapeId="0" xr:uid="{737CEDAB-B2CD-4139-9671-5187FD73764B}">
      <text>
        <t>[Threaded comment]
Your version of Excel allows you to read this threaded comment; however, any edits to it will get removed if the file is opened in a newer version of Excel. Learn more: https://go.microsoft.com/fwlink/?linkid=870924
Comment:
    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>
      </text>
    </comment>
    <comment ref="BH2" authorId="37" shapeId="0" xr:uid="{A8BD1EB7-77F4-4507-A61B-65D48811D538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potência + duração)/3
0 - não tem essa capacidade
Frequência:
1 - 1/1min
2 - 1/50s
3 - 1/40s
4 - 1/30s
5 - 1/22s
6 - 1/15s
7 - 1/10s
8 - 1/7s
9 - 1/5s
10 - 1/3s
11...
Potência da lentidão:
1 - até 5%
2 - até 10%
3 - até 15%
4 - até 20%
5 - até 25%
6 - até 30%
7 - até 35%
8 - até 40%
9 - até 45%
10 - até 50%
11...
duração
1 - 0.5s
2 - 1s
3 - 1.5s
4 - 2s
5 - 2.5s
6 - 3s
7 - 3.5s
8 - 4s
9 - 4.5s
10 - 5s
11...</t>
      </text>
    </comment>
    <comment ref="BI2" authorId="38" shapeId="0" xr:uid="{F459013C-3D4A-46A9-9DE3-1342510CCC8F}">
      <text>
        <t>[Threaded comment]
Your version of Excel allows you to read this threaded comment; however, any edits to it will get removed if the file is opened in a newer version of Excel. Learn more: https://go.microsoft.com/fwlink/?linkid=870924
Comment:
    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>
      </text>
    </comment>
    <comment ref="BJ2" authorId="39" shapeId="0" xr:uid="{1415665B-CF36-4EBE-B8ED-21DF2F447D7A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o brawler não tem essa capacidade
1 - pouco e apenas de muito perto e não possui formas rápidas de se aproximar
2 - pouco e apenas de perto e não possui formas rápidas de se aproximar
3 - pouco e apenas de medio alcance e não possui formas rápidas de se aproximar
4 - pouco e apenas de perto mas possui formas de se aproximar
5 - pouco e apenas de perto mas possui formas de se aproximar rapidamente
6 - de médias/longas distâncias
7 - longas distâncias
8 - ignorando muros
9 - ignorando obstaculos a médio/longo alcance
10 - ignorando obstáculos e objetos a longo alcance
11...</t>
      </text>
    </comment>
    <comment ref="BK2" authorId="40" shapeId="0" xr:uid="{9C705216-6304-4185-94E5-E7B954736E6B}">
      <text>
        <t>[Threaded comment]
Your version of Excel allows you to read this threaded comment; however, any edits to it will get removed if the file is opened in a newer version of Excel. Learn more: https://go.microsoft.com/fwlink/?linkid=870924
Comment:
    Se o seu brawler não é especialmente afetado, assinale altamente competente (7). Caso seja (um frank por exemplo é muito afetado), tente medir o quão fácil é para o inimigo cancelar um ataque forte seu e te prejudicar.
6 - afetado levemente por demora até finalização do tiro
5 - afetado levemente numa situação específica
4 - afetado consideravelmente no super
3 - afetado consideravelmente no ataque principal
2 - afetado consideravelmente no super e ataque
-1 se dá mais de 1 segundo de tempo de reação na super
-2 se dá mais de 1 segundo de tempo de reação no ataque principal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tc={AB2E1642-3A0B-4A20-9C8F-8F78ED56A9F3}</author>
    <author>tc={22FA8EAB-0BF0-4C88-B452-DEB573D78B5F}</author>
    <author>tc={79E19527-57B0-487C-A21E-249B5DBB6E8A}</author>
    <author>tc={45883069-573A-4134-B980-C600E8FADE1C}</author>
    <author>tc={904F2E48-9C89-4E76-8CBB-21E7B90B453F}</author>
    <author>tc={E1963810-71A3-47FD-B892-525AC5EF68DA}</author>
    <author>tc={F6B31E50-32CD-4A00-9E3B-7B149A212FBE}</author>
    <author>tc={B6004CD2-AA61-4F06-8C4E-CD3974403BAD}</author>
    <author>tc={6D49238B-CA81-4C4F-8A45-E48379EE32BC}</author>
    <author>tc={163E51A4-E6AC-4389-BB5F-D719ABD9C0EA}</author>
    <author>tc={27FBB4B4-F0DD-4002-AB14-5A232E48BF99}</author>
    <author>tc={EA90FEFE-F494-491C-A798-D7DB2A95B8ED}</author>
    <author>tc={C0360099-1A78-4D2E-8BC3-F6CBE7B3E44C}</author>
    <author>tc={C9104942-D7C6-4867-9796-2636A7F7E38B}</author>
    <author>tc={3CB3A5D1-A9C2-4290-854C-57657A943496}</author>
    <author>tc={AFED3B60-0087-487E-B9EC-1FD794AEC1B9}</author>
    <author>tc={285443DB-4C79-4ACF-89CE-EE7FBDA7EFD0}</author>
    <author>tc={603975C2-BF30-4A10-A966-9C56490B265C}</author>
    <author>tc={CE024B70-19B2-4B1D-A26B-F7283EE8AA87}</author>
    <author>tc={9CF932BD-C4CC-41A9-A718-831599F5B900}</author>
    <author>tc={9D4EC3BF-A0F8-4D3E-87E6-DE74795E64F8}</author>
    <author>tc={94C41C0B-D8FD-4B06-AD9F-AC9D12922875}</author>
    <author>tc={70B4C29F-E60F-4F49-A58C-A05A15580F7C}</author>
    <author>tc={99D28CCE-AC3A-47D4-979C-FC92549E6E0D}</author>
    <author>tc={19DB9608-BF1F-44E6-B98F-FBDEC7FB9184}</author>
    <author>tc={28139002-EB18-4688-A75F-4E348FBCA122}</author>
    <author>tc={F96B29DC-8074-4CA4-981A-58980A5A2167}</author>
    <author>tc={B79138B2-46A9-42C9-A462-221D7A4323E8}</author>
    <author>tc={D9B76794-382E-4EE2-BB2F-F82CB9EF8191}</author>
    <author>tc={72ED817C-B528-4774-B9B8-950D070DDA6D}</author>
    <author>tc={2BC0CC20-D5E3-4D43-BFD0-752239273FFA}</author>
    <author>tc={542AC181-6E25-4E62-934B-99DD4FC48517}</author>
    <author>tc={E3A6BDE2-8107-4F99-9E85-E5693FEAA65B}</author>
    <author>tc={DD29FD6D-8FD1-489A-96B7-430F19838153}</author>
    <author>tc={8F1D5CBD-0005-474F-BF16-61E14E1CA198}</author>
    <author>tc={5CEE0A1B-D0E5-4642-A980-C54E408DCBC2}</author>
    <author>tc={B9E09B1C-778E-436B-B04D-8CF39E11523C}</author>
    <author>tc={AEC72396-F141-4843-AC8D-DEEEB8E600C4}</author>
    <author>tc={36096CDB-C9E7-4084-80F0-F06FB52F0D06}</author>
    <author>tc={8EA36F2C-0057-47E3-A3AC-B3D3871A7710}</author>
    <author>tc={F172D2BD-11A9-4DFF-BE19-B0DE8E98814C}</author>
  </authors>
  <commentList>
    <comment ref="V2" authorId="0" shapeId="0" xr:uid="{AB2E1642-3A0B-4A20-9C8F-8F78ED56A9F3}">
      <text>
        <t>[Threaded comment]
Your version of Excel allows you to read this threaded comment; however, any edits to it will get removed if the file is opened in a newer version of Excel. Learn more: https://go.microsoft.com/fwlink/?linkid=870924
Comment:
    (Durabilidade_total / 1400) + (auto_heal_buffing / 3,5)</t>
      </text>
    </comment>
    <comment ref="W2" authorId="1" shapeId="0" xr:uid="{22FA8EAB-0BF0-4C88-B452-DEB573D78B5F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ataca eu achokkk
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>
      </text>
    </comment>
    <comment ref="X2" authorId="2" shapeId="0" xr:uid="{79E19527-57B0-487C-A21E-249B5DBB6E8A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(frequencia + potência + versatilidade)/3
frequência:
1 - 1 min
2 - 45s
3 - 35s
4 - 30s
5 - 25s
6 - 20s
7 - 15s
8 - 10s
9 - 5s
10 - menos de 5s
11...
potência do uso:
1 - distância curta
2 - distância curta/normal
3 - distância normal/curta
4 - distância normal
5 - distância normal/longa
6 - distância longa/normal
7 - distância longa
8 - distância longa/mtlonga
9 - distância mtlonga/longa
10 - distância mtlonga
11...
versatilidade:
1 - invulnerável, mas parado e vulnerável ao voltar
2 - invulnerável, mas parado ao voltar
3 - afasta inimigos um pouco
4 - afasta medio inimigos
5 - fuga lenta sem escolher direção ou circunstancial
6 - fuga lenta escolhendo direção quase livremente
7 - fuga lenta escolhendo direção livremente
8 - fuga rápida quase sem escolher direção
9 - fuga rápida escolhendo direção quase livremente
10 - fuga rápida escolhendo direção livremente
11...</t>
      </text>
    </comment>
    <comment ref="Y2" authorId="3" shapeId="0" xr:uid="{45883069-573A-4134-B980-C600E8FADE1C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projétil único
1 - projétil único perfurante
2 - linha fina multiplos projéteis
3 - tiro em forma de cone pequeno (25° +ou-)
4 - tiro em forma retangular medio (1 brawler de largura)
5 - tiro em forma de cone médio (50° +ou-)
6 - tiro em forma retangular grande (1-2 brawler de largura)
7 - tiro em forma de cone grande (75° +ou-)
8 - tiro com amplitude maior (até 100° +ou-)
9 - tiro em todas as direções
10 - tiro frequente em todas as direções
11...</t>
      </text>
    </comment>
    <comment ref="Z2" authorId="4" shapeId="0" xr:uid="{904F2E48-9C89-4E76-8CBB-21E7B90B453F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mais de 1/30s
1 - 1/30s
2 - 1/20s
3 - 1/15s
4 - 1/10s
5 - 1/5s
6 - ataque básico frequente
7 - ataque básico e super frequente</t>
      </text>
    </comment>
    <comment ref="AA2" authorId="5" shapeId="0" xr:uid="{E1963810-71A3-47FD-B892-525AC5EF68DA}">
      <text>
        <t>[Threaded comment]
Your version of Excel allows you to read this threaded comment; however, any edits to it will get removed if the file is opened in a newer version of Excel. Learn more: https://go.microsoft.com/fwlink/?linkid=870924
Comment:
    (duração + área + efeito + distância-arremesso)/4
Efeito:
3 - efeito ignorável muitas vezes
6 - efeito ignorável raramente
9 - efeito quase nunca ignoravel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
Duração:
1 - 1s
2 - 2s
3 - 3s
4 - 4s
5 - 5s
6 - 6s
7 - 7s
8 - 8s
9 - 9s
10 - 10s
11...
Distância arremesso
0 - Não ataca eu achokkk
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>
      </text>
    </comment>
    <comment ref="AB2" authorId="6" shapeId="0" xr:uid="{F6B31E50-32CD-4A00-9E3B-7B149A212FBE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o brawler não tem essa capacidade
1 - consegue manipular pouco e apenas de muito perto e não possui formas rápidas de se aproximar
2 - consegue manipular pouco e apenas de perto e não possui formas rápidas de se aproximar
3 - consegue manipular pouco e apenas de medio alcance e não possui formas rápidas de se aproximar
4 - consegue manipular pouco e apenas de perto mas possui formas de se aproximar
5 - o brawler consegue fazer de longas distancias mas manipula pouco
6 - o brawler consegue manipular muito a posição e de médias distâncias
7 - o brawler consegue manipular muito a posição e de longas distâncias
8 - o brawler consegue manipular um pouco a posição mas ignorando muros
9 - o brawler consegue manipular muito a posição e ignorando obstaculos a médio alcance
10 - o brawler consegue manipular muito a posição e ignorando obstáculos e objetos a longo alcance</t>
      </text>
    </comment>
    <comment ref="AC2" authorId="7" shapeId="0" xr:uid="{B6004CD2-AA61-4F06-8C4E-CD3974403BAD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absoluta incompetência
7 - altamente competente</t>
      </text>
    </comment>
    <comment ref="AD2" authorId="8" shapeId="0" xr:uid="{6D49238B-CA81-4C4F-8A45-E48379EE32BC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impossivel causar dano
1 - causa dano irrisório
2 - causa dano circunstancial
3 - causa dano ocasionalmente
4 - causa dano mortal as vezes
5 - causa dano mortal quase normalmente
6 - capaz de atacar o inimigo normalmente
7 - causa dano normalmente + anda na água tmb
8 - causa dano levemente superior
9 - causa dano muito maior a inimigos na água
10 - causa dano absurdamente maior
11...</t>
      </text>
    </comment>
    <comment ref="AE2" authorId="9" shapeId="0" xr:uid="{163E51A4-E6AC-4389-BB5F-D719ABD9C0EA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quebra muros
1 - 1/35min
2 - 1/30s
3 - 1/25s
4 - 1/20s
5 - 1/15s
6 - 1/12s
7 - 1/9s
8 - 1/6s
9 - 1/3s
10 - 1/1s
11...
-1 se a destruição é pouco controlável
-2 se a destruição é quase incontrolável ou se o brawler não deveria gastar os recursos dele focando nessa destruição</t>
      </text>
    </comment>
    <comment ref="AF2" authorId="10" shapeId="0" xr:uid="{27FBB4B4-F0DD-4002-AB14-5A232E48BF99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quebra moitas
1 - 1/25min
2 - 1/16s
3 - 1/12s
4 - 1/10s
5 - 1/8s
6 - 1/6s
7 - 1/4s
8 - 1/3s
9 - 1/2s
10 - 1/1s
11...
-1 se a destruição é pouco controlável
-2 se a destruição é quase incontrolável ou se o brawler não deveria gastar os recursos dele focando nessa destruição</t>
      </text>
    </comment>
    <comment ref="AG2" authorId="11" shapeId="0" xr:uid="{EA90FEFE-F494-491C-A798-D7DB2A95B8ED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constroi cover
1 - 1/25min
2 - 1/16s
3 - 1/12s
4 - 1/10s
5 - 1/8s
6 - 1/6s
7 - 1/4s
8 - 1/3s
9 - 1/2s
10 - 1/1s
11...
-1 se a construção é pouco controlável
-2 se a construção é quase incontrolável ou se o brawler não deveria gastar os recursos dele focando nessa construção</t>
      </text>
    </comment>
    <comment ref="AH2" authorId="12" shapeId="0" xr:uid="{C0360099-1A78-4D2E-8BC3-F6CBE7B3E44C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muito lento
2 - muito lento/lento
3 - lento
4 - lento/normal
5 - normal
6 - normal/rapido
7 - rapido
8 - rapido/muito rapido
9 - muito rapido
10 - suporter de velocidade
11...
-1 se a hitbox do brawler é do modelo maior</t>
      </text>
    </comment>
    <comment ref="AI2" authorId="13" shapeId="0" xr:uid="{C9104942-D7C6-4867-9796-2636A7F7E38B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ataque lento e ineficaz
2 - ataque ineficaz
3 - ataque poderoso, mas super lento
4 - ataque poderoso, mas lento
5 - ataque poderoso e rápido, mas facilmente contornável sem sequelas
6 - ataque poderoso, mas contornavel/counterável facilmente
7 - ataque poderoso. Contornavel apenas se não estiver vulnerável
8 - mesmo counters tem dificuldade em prever/reagir ao ataque antes de levar um bom dano
9 - mesmo counters recebem muito dano antes de conseguirem reagir
10 - counterar um ataque bem planejado é quase impossível para qualquer brawler
+1 se aplica velocidade após o ataque
-1 se alcance é normal/longo
-2 se o alcance é curto/normal
-3 se o alcance é muito curto/curto</t>
      </text>
    </comment>
    <comment ref="AJ2" authorId="14" shapeId="0" xr:uid="{3CB3A5D1-A9C2-4290-854C-57657A943496}">
      <text>
        <t>[Threaded comment]
Your version of Excel allows you to read this threaded comment; however, any edits to it will get removed if the file is opened in a newer version of Excel. Learn more: https://go.microsoft.com/fwlink/?linkid=870924
Comment:
    *fórmula pronta, utiliza stun como força adicional</t>
      </text>
    </comment>
    <comment ref="AK2" authorId="15" shapeId="0" xr:uid="{AFED3B60-0087-487E-B9EC-1FD794AEC1B9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1 - 1/1min
2 - 1/50s
3 - 1/40s
4 - 1/30s
5 - 1/22s
6 - 1/15s
7 - 1/10s
8 - 1/7s
9 - 1/5s
10 - 1/3s
11...</t>
      </text>
    </comment>
    <comment ref="AL2" authorId="16" shapeId="0" xr:uid="{285443DB-4C79-4ACF-89CE-EE7FBDA7EFD0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nunca acumula mais de 1
2 - raramente acumula mais de 1
3 - ocasionalmente acumula mais de 1
4 - frequentemente acumula ao menos 2
5 - raramente acumula mais de 2
6 - ocasionalmente acumula mais de 2
7 - frequentemente acumula ao menos 3
8 - ocasionalmente acumula mais de 3
9 - frequentemente acumula mais de 4
10 - frequentemente acumula mais de 5
11...</t>
      </text>
    </comment>
    <comment ref="AM2" authorId="17" shapeId="0" xr:uid="{603975C2-BF30-4A10-A966-9C56490B265C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A vida do(s) pet(s) não se deteriora sozinha com o tempo
1 - A vida do(s) pet(s) é deteriorável</t>
      </text>
    </comment>
    <comment ref="AN2" authorId="18" shapeId="0" xr:uid="{CE024B70-19B2-4B1D-A26B-F7283EE8AA87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menos de 2000
2 - entre 2000 e 3000
3 - entre 3000 e 4000
4 - entre 4000 e 5000
5 - entre 5000 e 6000
6 - entre 6000 e 7000
7 - entre 7000 e 8000
8 - entre 8000 e 9000
9 - entre 9000 e 10000
10 - entre 10000 e 11000
11...</t>
      </text>
    </comment>
    <comment ref="AO2" authorId="19" shapeId="0" xr:uid="{9CF932BD-C4CC-41A9-A718-831599F5B900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dano médio menor de 500
1 - dano médio 500-800
2 - dano médio 800-1100
3 - dano médio 1100-1400
4 - dano médio 1400-1700
5 - dano médio 1700-2000
6 - dano médio 2000-2300
7 - dano médio 2300-2600
8 - dano médio 2900-3200
9 - dano médio 3200-3500
10 - dano médio 3500-3800
11...</t>
      </text>
    </comment>
    <comment ref="AP2" authorId="20" shapeId="0" xr:uid="{9D4EC3BF-A0F8-4D3E-87E6-DE74795E64F8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>
      </text>
    </comment>
    <comment ref="AQ2" authorId="21" shapeId="0" xr:uid="{94C41C0B-D8FD-4B06-AD9F-AC9D12922875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muito lento
2 - muito lento/lento
3 - lento/normal
4 - lento
5 - lento/normal
6 - normal/lento
7 - normal
8 - normal/rapido
9 - rapido
10 - MUITO rapido
11...</t>
      </text>
    </comment>
    <comment ref="AR2" authorId="22" shapeId="0" xr:uid="{70B4C29F-E60F-4F49-A58C-A05A15580F7C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O dono não fica próximo ao pet em quase nenhum momento
2,5 - O dono fica próximo ao pet as vezes, mas raramente por muito tempo
5 - O dono fica próximo ao pet com alguma frequência, mas não é regra de usabilidade
7,5 - O dono fica próximo ao pet na maior parte do tempo, sendo grande parte da sua estratégia principal para avançar contra inimigos
10 - O dono fica próximo ao pet em quase todos os momentos. A exceção para esta regra resulta em inutilidade do pet na maior parte das vezes.</t>
      </text>
    </comment>
    <comment ref="AS2" authorId="23" shapeId="0" xr:uid="{99D28CCE-AC3A-47D4-979C-FC92549E6E0D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é o caso para esse brawler
1 - chance levemente maior de causar dano ao todo
2 - chance relativamente maior de causar dano ao todo
3 - chance muito maior de causar mais dano ao todo
4 - atinge multiplos inimigos com a super
5 - atinge facilmente multiplos inimigos com a super
6 - atinge multiplos inimigos com o ataque principal
7 - atinge facilmente multiplos inimigos com o ataque
8 - causa mais dano por projétil
9 - causa mais do dobro de dano por projétil
10 - causa mais que o triplo do dano por projétil
11...</t>
      </text>
    </comment>
    <comment ref="AT2" authorId="24" shapeId="0" xr:uid="{19DB9608-BF1F-44E6-B98F-FBDEC7FB9184}">
      <text>
        <t>[Threaded comment]
Your version of Excel allows you to read this threaded comment; however, any edits to it will get removed if the file is opened in a newer version of Excel. Learn more: https://go.microsoft.com/fwlink/?linkid=870924
Comment:
    (precisão + Área + duração + frequência)/4
Precisão:
3 - perseguição de pets
6 - precisão em posição fixa arremessavel
10 - precisão absoluta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
Duração:
1 - 3s
2 - 6s
3 - 9s
4 - 12s
5 - 15s
6 - 18s
7 - 21s
8 - 24s
9 - 27s
10 - infinito
11...
Frequência:
1 - 1/1min
2 - 1/50s
3 - 1/40s
4 - 1/30s
5 - 1/22s
6 - 1/15s
7 - 1/10s
8 - 1/7s
9 - 1/5s
10 - 1/3s
11...</t>
      </text>
    </comment>
    <comment ref="AU2" authorId="25" shapeId="0" xr:uid="{28139002-EB18-4688-A75F-4E348FBCA122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As informações do brawler/complemento não dependem de nenhuma forma da formação de inimigos ou terreno para que façam sentido
2,5 - As informações do brawler/complemento podem depender um pouco de formas de uso
5 - As informações do brawler/complemento podem depender um pouco de características de terreno, como presença de moitas/agua e/ou de formas de uso
7,5 - as informações dependem bastante de características externas como formas de uso, terreno e inimigos. A verificação humana é essencial para garantir que o brawler realmente seja bom.
10 - As informações dependem demais de fatores externos para funcionarem de forma adequada. Detalhes desses fatores devem ser destacados para o usuário.</t>
      </text>
    </comment>
    <comment ref="AV2" authorId="26" shapeId="0" xr:uid="{F96B29DC-8074-4CA4-981A-58980A5A2167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potência + velocidade) / 3
Frequência:
1 - 1/1min
2 - 1/50s
3 - 1/40s
4 - 1/30s
5 - 1/22s
6 - 1/15s
7 - 1/10s
8 - 1/7s
9 - 1/5s
10 - 1/3s
11...
Potência do hp:
1 - 1-500
2 - 500-1000
3 - 1000-1500
4 - 1500 - 2000
5 - 2000 - 2500
6 - 2500 - 3000
7 - 3000 - 3500
8 - 3500 - 4000
9 - 4000 - 4500
10 - 4500 - 5000
Velocidade da cura
3 - Lenta e parcelada
6 - Lenta ou muito circunstancial
9 - Instantânea e pouco circunstancial</t>
      </text>
    </comment>
    <comment ref="AW2" authorId="27" shapeId="0" xr:uid="{B79138B2-46A9-42C9-A462-221D7A4323E8}">
      <text>
        <t>[Threaded comment]
Your version of Excel allows you to read this threaded comment; however, any edits to it will get removed if the file is opened in a newer version of Excel. Learn more: https://go.microsoft.com/fwlink/?linkid=870924
Comment:
    (duração + potência) / 2 
potência:
1 - até 10%
2 - até 20%
3 - até 30%
4 - até 40%
5 - até 50%
6 - até 60%
7 - até 70%
8 - até 80%
9 - até 90%
10 - até 100%
duração
1 - 1s
2 - 2s
3 - 3s
4 - 4s
5 - 5s
6 - 6s
7 - 7s
8 - 8s
9 - 9s
10 - 10s</t>
      </text>
    </comment>
    <comment ref="AX2" authorId="28" shapeId="0" xr:uid="{D9B76794-382E-4EE2-BB2F-F82CB9EF8191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potência) / 2 
Frequência:
1 - 1/1min
2 - 1/50s
3 - 1/40s
4 - 1/30s
5 - 1/22s
6 - 1/15s
7 - 1/10s
8 - 1/7s
9 - 1/5s
10 - 1/3s
11...
Potência do escudo:
1 - 1-500
2 - 500-1000
3 - 1000-1500
4 - 1500 - 2000
5 - 2000 - 2500
6 - 2500 - 3000
7 - 3000 - 3500
8 - 3500 - 4000
9 - 4000 - 4500
10 - 4500 - 5000</t>
      </text>
    </comment>
    <comment ref="AY2" authorId="29" shapeId="0" xr:uid="{72ED817C-B528-4774-B9B8-950D070DDA6D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potência + duração)/3
0 - não tem essa capacidade
Frequência:
1 - 1/1min
2 - 1/50s
3 - 1/40s
4 - 1/30s
5 - 1/22s
6 - 1/15s
7 - 1/10s
8 - 1/7s
9 - 1/5s
10 - 1/3s
11...
Potência do aumento de dano:
1 - até 5%
2 - até 10%
3 - até 15%
4 - até 20%
5 - até 25%
6 - até 30%
7 - até 35%
8 - até 40%
9 - até 45%
10 - até 50%
11...
duração
1 - 1s
2 - 2s
3 - 3s
4 - 4s
5 - 5s
6 - 6s
7 - 7s
8 - 8s
9 - 9s
10 - 10s
11...</t>
      </text>
    </comment>
    <comment ref="AZ2" authorId="30" shapeId="0" xr:uid="{2BC0CC20-D5E3-4D43-BFD0-752239273FFA}">
      <text>
        <t>[Threaded comment]
Your version of Excel allows you to read this threaded comment; however, any edits to it will get removed if the file is opened in a newer version of Excel. Learn more: https://go.microsoft.com/fwlink/?linkid=870924
Comment:
    (duração + potência) / 2 
potência:
1 - até 8%
2 - até 16%
3 - até 24%
4 - até 32%
5 - até 40%
6 - até 48%
7 - até 56%
8 - até 64%
9 - até 72%
10 - até 80%
11...
duração
1 - 1s
2 - 2s
3 - 3s
4 - 4s
5 - 5s
6 - 6s
7 - 7s
8 - 8s
9 - 9s
10 - 10s</t>
      </text>
    </comment>
    <comment ref="BA2" authorId="31" shapeId="0" xr:uid="{542AC181-6E25-4E62-934B-99DD4FC48517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(frequencia + duração) / 2 
Frequência
1 - 1/1min
2 - 1/50s
3 - 1/40s
4 - 1/30s
5 - 1/22s
6 - 1/15s
7 - 1/10s
8 - 1/7s
9 - 1/5s
10 - 1/3s
11...
Duração:
1 - 1s
2 - 2s
3 - 3s
4 - 4s
5 - 5s
6 - 6s
7 - 7s
8 - 8s
9 - 9s
10 - 10s
11...</t>
      </text>
    </comment>
    <comment ref="BB2" authorId="32" shapeId="0" xr:uid="{E3A6BDE2-8107-4F99-9E85-E5693FEAA65B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duração + área) / 3
0 - não tem essa capacidade
Frequência:
1 - 1/1min
2 - 1/50s
3 - 1/40s
4 - 1/30s
5 - 1/22s
6 - 1/15s
7 - 1/10s
8 - 1/7s
9 - 1/5s
10 - 1/3s
11...
duração
1 - 1s
2 - 2s
3 - 3s
4 - 4s
5 - 5s
6 - 6s
7 - 7s
8 - 8s
9 - 9s
10 - 10s
11...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</t>
      </text>
    </comment>
    <comment ref="BD2" authorId="33" shapeId="0" xr:uid="{DD29FD6D-8FD1-489A-96B7-430F19838153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aplica veneno
1 - duração de 1 hit
2 - duração de 2 hit
3 - duração de 3 hit
4 - duração de 4 hit
5 - duração de 5 hit
6 - duração de 6 hit
7 - duração de 7 hit
8 - duração de 8 hit
9 - duração de 9 hit
10 - duração de 10 hit
11...
/1 se proveniente do ataque principal
/2 se proveniente da super
/3 se proveniente de algo ainda mais ocasional</t>
      </text>
    </comment>
    <comment ref="BE2" authorId="34" shapeId="0" xr:uid="{8F1D5CBD-0005-474F-BF16-61E14E1CA198}">
      <text>
        <t>[Threaded comment]
Your version of Excel allows you to read this threaded comment; however, any edits to it will get removed if the file is opened in a newer version of Excel. Learn more: https://go.microsoft.com/fwlink/?linkid=870924
Comment:
    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>
      </text>
    </comment>
    <comment ref="BF2" authorId="35" shapeId="0" xr:uid="{5CEE0A1B-D0E5-4642-A980-C54E408DCBC2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stun até 0.1s
2 - stun até 0.35s
3 - stun até 0.6s
4 - stun até 0.85s
5 - stun até 1.1s
6 - stun até 1.35s
7 - stun até 1.6s
8 - stun até 1.85s
9 - stun até 2.1s
10 - stun até 2.5s
11...</t>
      </text>
    </comment>
    <comment ref="BG2" authorId="36" shapeId="0" xr:uid="{B9E09B1C-778E-436B-B04D-8CF39E11523C}">
      <text>
        <t>[Threaded comment]
Your version of Excel allows you to read this threaded comment; however, any edits to it will get removed if the file is opened in a newer version of Excel. Learn more: https://go.microsoft.com/fwlink/?linkid=870924
Comment:
    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>
      </text>
    </comment>
    <comment ref="BH2" authorId="37" shapeId="0" xr:uid="{AEC72396-F141-4843-AC8D-DEEEB8E600C4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potência + duração)/3
0 - não tem essa capacidade
Frequência:
1 - 1/1min
2 - 1/50s
3 - 1/40s
4 - 1/30s
5 - 1/22s
6 - 1/15s
7 - 1/10s
8 - 1/7s
9 - 1/5s
10 - 1/3s
11...
Potência da lentidão:
1 - até 5%
2 - até 10%
3 - até 15%
4 - até 20%
5 - até 25%
6 - até 30%
7 - até 35%
8 - até 40%
9 - até 45%
10 - até 50%
11...
duração
1 - 0.5s
2 - 1s
3 - 1.5s
4 - 2s
5 - 2.5s
6 - 3s
7 - 3.5s
8 - 4s
9 - 4.5s
10 - 5s
11...</t>
      </text>
    </comment>
    <comment ref="BI2" authorId="38" shapeId="0" xr:uid="{36096CDB-C9E7-4084-80F0-F06FB52F0D06}">
      <text>
        <t>[Threaded comment]
Your version of Excel allows you to read this threaded comment; however, any edits to it will get removed if the file is opened in a newer version of Excel. Learn more: https://go.microsoft.com/fwlink/?linkid=870924
Comment:
    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>
      </text>
    </comment>
    <comment ref="BJ2" authorId="39" shapeId="0" xr:uid="{8EA36F2C-0057-47E3-A3AC-B3D3871A7710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o brawler não tem essa capacidade
1 - pouco e apenas de muito perto e não possui formas rápidas de se aproximar
2 - pouco e apenas de perto e não possui formas rápidas de se aproximar
3 - pouco e apenas de medio alcance e não possui formas rápidas de se aproximar
4 - pouco e apenas de perto mas possui formas de se aproximar
5 - pouco e apenas de perto mas possui formas de se aproximar rapidamente
6 - de médias/longas distâncias
7 - longas distâncias
8 - ignorando muros
9 - ignorando obstaculos a médio/longo alcance
10 - ignorando obstáculos e objetos a longo alcance
11...</t>
      </text>
    </comment>
    <comment ref="BK2" authorId="40" shapeId="0" xr:uid="{F172D2BD-11A9-4DFF-BE19-B0DE8E98814C}">
      <text>
        <t>[Threaded comment]
Your version of Excel allows you to read this threaded comment; however, any edits to it will get removed if the file is opened in a newer version of Excel. Learn more: https://go.microsoft.com/fwlink/?linkid=870924
Comment:
    Se o seu brawler não é especialmente afetado, assinale altamente competente (7). Caso seja (um frank por exemplo é muito afetado), tente medir o quão fácil é para o inimigo cancelar um ataque forte seu e te prejudicar.
6 - afetado levemente por demora até finalização do tiro
5 - afetado levemente numa situação específica
4 - afetado consideravelmente no super
3 - afetado consideravelmente no ataque principal
2 - afetado consideravelmente no super e ataque
-1 se dá mais de 1 segundo de tempo de reação na super
-2 se dá mais de 1 segundo de tempo de reação no ataque principal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tc={674B3F5C-E5C7-4B63-AA46-1B62E367D55A}</author>
    <author>tc={F9BF6594-1646-46B5-A4F2-2DDAD507DF90}</author>
    <author>tc={1011E8A4-5596-4CE5-BAD8-4578D22FCF54}</author>
    <author>tc={C145578B-5512-4AA2-820B-BCA2A0D4545C}</author>
    <author>tc={F836B74D-3E97-41F8-99EB-DE92B9A78848}</author>
    <author>tc={66582112-5DD0-44B1-A89A-91B44C8873F0}</author>
    <author>tc={4BE59F1C-2106-4F34-941B-115D4300FD04}</author>
    <author>tc={7B63A108-32BF-4212-8910-2ECA0572BD5C}</author>
    <author>tc={5DA76403-6ADE-483D-8544-82546738F873}</author>
    <author>tc={A4D7D6D7-A68C-4104-8980-C585BAC357ED}</author>
    <author>tc={4548AA0A-89B4-483D-A7A2-3F6F592D9E01}</author>
    <author>tc={61BA3D98-A8FF-4A55-A708-40DBD2666A90}</author>
    <author>tc={76625504-22D5-414F-A2BA-4379DDD33CF9}</author>
    <author>tc={3710AAAA-293D-45C1-8852-D8D9FD0ED2BD}</author>
    <author>tc={BBEA535B-9252-4600-BDE0-1F0E274F9F3A}</author>
    <author>tc={643ECF7B-FEDA-4492-BD6B-FEC735BED398}</author>
    <author>tc={6D898BC5-F881-4F6A-A144-000F7BBAFD0D}</author>
    <author>tc={A015F4EA-1EAC-4243-9C3E-E714AAF390CE}</author>
    <author>tc={F2536301-EC63-4CB2-B160-02E3BE9CEEF7}</author>
    <author>tc={F42E8347-FBFF-4DE0-8B3F-C955D0045FDE}</author>
    <author>tc={12F5F743-9170-47B2-924F-27A52C4D9E82}</author>
    <author>tc={0FC90FF2-C738-4DF1-B747-4ABDE811467C}</author>
    <author>tc={3B2F8DEA-8476-41F3-BC32-9ACC79D967F9}</author>
    <author>tc={201287DC-A221-4269-B775-EB831475F1F6}</author>
    <author>tc={ECABA7EF-D5C2-485F-946F-66A47C09E158}</author>
    <author>tc={6B6B2882-DBA0-4FFF-A701-DCB542C42CB2}</author>
    <author>tc={8A69B6AF-9FB0-4B04-A433-73A1BC5DFDE7}</author>
    <author>tc={D4E26227-2DC2-4870-BEEE-A89E41A02124}</author>
    <author>tc={55DDC066-256F-40C2-A7BE-E51D47E50174}</author>
    <author>tc={199F4209-F855-4DCD-AECD-3B28E2FE8C9A}</author>
    <author>tc={9F689B5A-AFC5-42B7-87ED-8E35135885B1}</author>
    <author>tc={F9F95B5A-0770-4E64-9084-D80CDABBE688}</author>
    <author>tc={33377813-5443-426B-9115-2EFEC1C866FB}</author>
    <author>tc={839A561C-C6FA-440D-BC30-E684AB6FB836}</author>
    <author>tc={928E070D-0DB3-4D83-85DB-354FB216FAE0}</author>
    <author>tc={F2DD9A7C-F727-4CB5-A79F-466EE60652B8}</author>
    <author>tc={9E6746CF-83AA-4F85-92DB-03259C1D3C9B}</author>
    <author>tc={9E1D11A0-DDB4-446C-8CDF-55B9F87E9F1D}</author>
    <author>tc={C7B7DFB8-8909-4A2F-9649-19B6AAD5C7D6}</author>
    <author>tc={7FE00BD2-15A5-462D-AC23-95DE2E163889}</author>
    <author>tc={012F43A9-89DA-45CE-ABA6-35AAD60F0BB4}</author>
  </authors>
  <commentList>
    <comment ref="V2" authorId="0" shapeId="0" xr:uid="{674B3F5C-E5C7-4B63-AA46-1B62E367D55A}">
      <text>
        <t>[Threaded comment]
Your version of Excel allows you to read this threaded comment; however, any edits to it will get removed if the file is opened in a newer version of Excel. Learn more: https://go.microsoft.com/fwlink/?linkid=870924
Comment:
    (Durabilidade_total / 1400) + (auto_heal_buffing / 3,5)</t>
      </text>
    </comment>
    <comment ref="W2" authorId="1" shapeId="0" xr:uid="{F9BF6594-1646-46B5-A4F2-2DDAD507DF90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ataca eu achokkk
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>
      </text>
    </comment>
    <comment ref="X2" authorId="2" shapeId="0" xr:uid="{1011E8A4-5596-4CE5-BAD8-4578D22FCF54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(frequencia + potência + versatilidade)/3
frequência:
1 - 1 min
2 - 45s
3 - 35s
4 - 30s
5 - 25s
6 - 20s
7 - 15s
8 - 10s
9 - 5s
10 - menos de 5s
11...
potência do uso:
1 - distância curta
2 - distância curta/normal
3 - distância normal/curta
4 - distância normal
5 - distância normal/longa
6 - distância longa/normal
7 - distância longa
8 - distância longa/mtlonga
9 - distância mtlonga/longa
10 - distância mtlonga
11...
versatilidade:
1 - invulnerável, mas parado e vulnerável ao voltar
2 - invulnerável, mas parado ao voltar
3 - afasta inimigos um pouco
4 - afasta medio inimigos
5 - fuga lenta sem escolher direção ou circunstancial
6 - fuga lenta escolhendo direção quase livremente
7 - fuga lenta escolhendo direção livremente
8 - fuga rápida quase sem escolher direção
9 - fuga rápida escolhendo direção quase livremente
10 - fuga rápida escolhendo direção livremente
11...</t>
      </text>
    </comment>
    <comment ref="Y2" authorId="3" shapeId="0" xr:uid="{C145578B-5512-4AA2-820B-BCA2A0D4545C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projétil único
1 - projétil único perfurante
2 - linha fina multiplos projéteis
3 - tiro em forma de cone pequeno (25° +ou-)
4 - tiro em forma retangular medio (1 brawler de largura)
5 - tiro em forma de cone médio (50° +ou-)
6 - tiro em forma retangular grande (1-2 brawler de largura)
7 - tiro em forma de cone grande (75° +ou-)
8 - tiro com amplitude maior (até 100° +ou-)
9 - tiro em todas as direções
10 - tiro frequente em todas as direções
11...</t>
      </text>
    </comment>
    <comment ref="Z2" authorId="4" shapeId="0" xr:uid="{F836B74D-3E97-41F8-99EB-DE92B9A78848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mais de 1/30s
1 - 1/30s
2 - 1/20s
3 - 1/15s
4 - 1/10s
5 - 1/5s
6 - ataque básico frequente
7 - ataque básico e super frequente</t>
      </text>
    </comment>
    <comment ref="AA2" authorId="5" shapeId="0" xr:uid="{66582112-5DD0-44B1-A89A-91B44C8873F0}">
      <text>
        <t>[Threaded comment]
Your version of Excel allows you to read this threaded comment; however, any edits to it will get removed if the file is opened in a newer version of Excel. Learn more: https://go.microsoft.com/fwlink/?linkid=870924
Comment:
    (duração + área + efeito + distância-arremesso)/4
Efeito:
3 - efeito ignorável muitas vezes
6 - efeito ignorável raramente
9 - efeito quase nunca ignoravel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
Duração:
1 - 1s
2 - 2s
3 - 3s
4 - 4s
5 - 5s
6 - 6s
7 - 7s
8 - 8s
9 - 9s
10 - 10s
11...
Distância arremesso
0 - Não ataca eu achokkk
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>
      </text>
    </comment>
    <comment ref="AB2" authorId="6" shapeId="0" xr:uid="{4BE59F1C-2106-4F34-941B-115D4300FD04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o brawler não tem essa capacidade
1 - consegue manipular pouco e apenas de muito perto e não possui formas rápidas de se aproximar
2 - consegue manipular pouco e apenas de perto e não possui formas rápidas de se aproximar
3 - consegue manipular pouco e apenas de medio alcance e não possui formas rápidas de se aproximar
4 - consegue manipular pouco e apenas de perto mas possui formas de se aproximar
5 - o brawler consegue fazer de longas distancias mas manipula pouco
6 - o brawler consegue manipular muito a posição e de médias distâncias
7 - o brawler consegue manipular muito a posição e de longas distâncias
8 - o brawler consegue manipular um pouco a posição mas ignorando muros
9 - o brawler consegue manipular muito a posição e ignorando obstaculos a médio alcance
10 - o brawler consegue manipular muito a posição e ignorando obstáculos e objetos a longo alcance</t>
      </text>
    </comment>
    <comment ref="AC2" authorId="7" shapeId="0" xr:uid="{7B63A108-32BF-4212-8910-2ECA0572BD5C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absoluta incompetência
7 - altamente competente</t>
      </text>
    </comment>
    <comment ref="AD2" authorId="8" shapeId="0" xr:uid="{5DA76403-6ADE-483D-8544-82546738F873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impossivel causar dano
1 - causa dano irrisório
2 - causa dano circunstancial
3 - causa dano ocasionalmente
4 - causa dano mortal as vezes
5 - causa dano mortal quase normalmente
6 - capaz de atacar o inimigo normalmente
7 - causa dano normalmente + anda na água tmb
8 - causa dano levemente superior
9 - causa dano muito maior a inimigos na água
10 - causa dano absurdamente maior
11...</t>
      </text>
    </comment>
    <comment ref="AE2" authorId="9" shapeId="0" xr:uid="{A4D7D6D7-A68C-4104-8980-C585BAC357ED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quebra muros
1 - 1/35min
2 - 1/30s
3 - 1/25s
4 - 1/20s
5 - 1/15s
6 - 1/12s
7 - 1/9s
8 - 1/6s
9 - 1/3s
10 - 1/1s
11...
-1 se a destruição é pouco controlável
-2 se a destruição é quase incontrolável ou se o brawler não deveria gastar os recursos dele focando nessa destruição</t>
      </text>
    </comment>
    <comment ref="AF2" authorId="10" shapeId="0" xr:uid="{4548AA0A-89B4-483D-A7A2-3F6F592D9E01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quebra moitas
1 - 1/25min
2 - 1/16s
3 - 1/12s
4 - 1/10s
5 - 1/8s
6 - 1/6s
7 - 1/4s
8 - 1/3s
9 - 1/2s
10 - 1/1s
11...
-1 se a destruição é pouco controlável
-2 se a destruição é quase incontrolável ou se o brawler não deveria gastar os recursos dele focando nessa destruição</t>
      </text>
    </comment>
    <comment ref="AG2" authorId="11" shapeId="0" xr:uid="{61BA3D98-A8FF-4A55-A708-40DBD2666A90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constroi cover
1 - 1/25min
2 - 1/16s
3 - 1/12s
4 - 1/10s
5 - 1/8s
6 - 1/6s
7 - 1/4s
8 - 1/3s
9 - 1/2s
10 - 1/1s
11...
-1 se a construção é pouco controlável
-2 se a construção é quase incontrolável ou se o brawler não deveria gastar os recursos dele focando nessa construção</t>
      </text>
    </comment>
    <comment ref="AH2" authorId="12" shapeId="0" xr:uid="{76625504-22D5-414F-A2BA-4379DDD33CF9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muito lento
2 - muito lento/lento
3 - lento
4 - lento/normal
5 - normal
6 - normal/rapido
7 - rapido
8 - rapido/muito rapido
9 - muito rapido
10 - suporter de velocidade
11...
-1 se a hitbox do brawler é do modelo maior</t>
      </text>
    </comment>
    <comment ref="AI2" authorId="13" shapeId="0" xr:uid="{3710AAAA-293D-45C1-8852-D8D9FD0ED2BD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ataque lento e ineficaz
2 - ataque ineficaz
3 - ataque poderoso, mas super lento
4 - ataque poderoso, mas lento
5 - ataque poderoso e rápido, mas facilmente contornável sem sequelas
6 - ataque poderoso, mas contornavel/counterável facilmente
7 - ataque poderoso. Contornavel apenas se não estiver vulnerável
8 - mesmo counters tem dificuldade em prever/reagir ao ataque antes de levar um bom dano
9 - mesmo counters recebem muito dano antes de conseguirem reagir
10 - counterar um ataque bem planejado é quase impossível para qualquer brawler
+1 se aplica velocidade após o ataque
-1 se alcance é normal/longo
-2 se o alcance é curto/normal
-3 se o alcance é muito curto/curto</t>
      </text>
    </comment>
    <comment ref="AJ2" authorId="14" shapeId="0" xr:uid="{BBEA535B-9252-4600-BDE0-1F0E274F9F3A}">
      <text>
        <t>[Threaded comment]
Your version of Excel allows you to read this threaded comment; however, any edits to it will get removed if the file is opened in a newer version of Excel. Learn more: https://go.microsoft.com/fwlink/?linkid=870924
Comment:
    *fórmula pronta, utiliza stun como força adicional</t>
      </text>
    </comment>
    <comment ref="AK2" authorId="15" shapeId="0" xr:uid="{643ECF7B-FEDA-4492-BD6B-FEC735BED398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1 - 1/1min
2 - 1/50s
3 - 1/40s
4 - 1/30s
5 - 1/22s
6 - 1/15s
7 - 1/10s
8 - 1/7s
9 - 1/5s
10 - 1/3s
11...</t>
      </text>
    </comment>
    <comment ref="AL2" authorId="16" shapeId="0" xr:uid="{6D898BC5-F881-4F6A-A144-000F7BBAFD0D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nunca acumula mais de 1
2 - raramente acumula mais de 1
3 - ocasionalmente acumula mais de 1
4 - frequentemente acumula ao menos 2
5 - raramente acumula mais de 2
6 - ocasionalmente acumula mais de 2
7 - frequentemente acumula ao menos 3
8 - ocasionalmente acumula mais de 3
9 - frequentemente acumula mais de 4
10 - frequentemente acumula mais de 5
11...</t>
      </text>
    </comment>
    <comment ref="AM2" authorId="17" shapeId="0" xr:uid="{A015F4EA-1EAC-4243-9C3E-E714AAF390CE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A vida do(s) pet(s) não se deteriora sozinha com o tempo
1 - A vida do(s) pet(s) é deteriorável</t>
      </text>
    </comment>
    <comment ref="AN2" authorId="18" shapeId="0" xr:uid="{F2536301-EC63-4CB2-B160-02E3BE9CEEF7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menos de 2000
2 - entre 2000 e 3000
3 - entre 3000 e 4000
4 - entre 4000 e 5000
5 - entre 5000 e 6000
6 - entre 6000 e 7000
7 - entre 7000 e 8000
8 - entre 8000 e 9000
9 - entre 9000 e 10000
10 - entre 10000 e 11000
11...</t>
      </text>
    </comment>
    <comment ref="AO2" authorId="19" shapeId="0" xr:uid="{F42E8347-FBFF-4DE0-8B3F-C955D0045FDE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dano médio menor de 500
1 - dano médio 500-800
2 - dano médio 800-1100
3 - dano médio 1100-1400
4 - dano médio 1400-1700
5 - dano médio 1700-2000
6 - dano médio 2000-2300
7 - dano médio 2300-2600
8 - dano médio 2900-3200
9 - dano médio 3200-3500
10 - dano médio 3500-3800
11...</t>
      </text>
    </comment>
    <comment ref="AP2" authorId="20" shapeId="0" xr:uid="{12F5F743-9170-47B2-924F-27A52C4D9E82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>
      </text>
    </comment>
    <comment ref="AQ2" authorId="21" shapeId="0" xr:uid="{0FC90FF2-C738-4DF1-B747-4ABDE811467C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muito lento
2 - muito lento/lento
3 - lento/normal
4 - lento
5 - lento/normal
6 - normal/lento
7 - normal
8 - normal/rapido
9 - rapido
10 - MUITO rapido
11...</t>
      </text>
    </comment>
    <comment ref="AR2" authorId="22" shapeId="0" xr:uid="{3B2F8DEA-8476-41F3-BC32-9ACC79D967F9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O dono não fica próximo ao pet em quase nenhum momento
2,5 - O dono fica próximo ao pet as vezes, mas raramente por muito tempo
5 - O dono fica próximo ao pet com alguma frequência, mas não é regra de usabilidade
7,5 - O dono fica próximo ao pet na maior parte do tempo, sendo grande parte da sua estratégia principal para avançar contra inimigos
10 - O dono fica próximo ao pet em quase todos os momentos. A exceção para esta regra resulta em inutilidade do pet na maior parte das vezes.</t>
      </text>
    </comment>
    <comment ref="AS2" authorId="23" shapeId="0" xr:uid="{201287DC-A221-4269-B775-EB831475F1F6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é o caso para esse brawler
1 - chance levemente maior de causar dano ao todo
2 - chance relativamente maior de causar dano ao todo
3 - chance muito maior de causar mais dano ao todo
4 - atinge multiplos inimigos com a super
5 - atinge facilmente multiplos inimigos com a super
6 - atinge multiplos inimigos com o ataque principal
7 - atinge facilmente multiplos inimigos com o ataque
8 - causa mais dano por projétil
9 - causa mais do dobro de dano por projétil
10 - causa mais que o triplo do dano por projétil
11...</t>
      </text>
    </comment>
    <comment ref="AT2" authorId="24" shapeId="0" xr:uid="{ECABA7EF-D5C2-485F-946F-66A47C09E158}">
      <text>
        <t>[Threaded comment]
Your version of Excel allows you to read this threaded comment; however, any edits to it will get removed if the file is opened in a newer version of Excel. Learn more: https://go.microsoft.com/fwlink/?linkid=870924
Comment:
    (precisão + Área + duração + frequência)/4
Precisão:
3 - perseguição de pets
6 - precisão em posição fixa arremessavel
10 - precisão absoluta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
Duração:
1 - 3s
2 - 6s
3 - 9s
4 - 12s
5 - 15s
6 - 18s
7 - 21s
8 - 24s
9 - 27s
10 - infinito
11...
Frequência:
1 - 1/1min
2 - 1/50s
3 - 1/40s
4 - 1/30s
5 - 1/22s
6 - 1/15s
7 - 1/10s
8 - 1/7s
9 - 1/5s
10 - 1/3s
11...</t>
      </text>
    </comment>
    <comment ref="AU2" authorId="25" shapeId="0" xr:uid="{6B6B2882-DBA0-4FFF-A701-DCB542C42CB2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As informações do brawler/complemento não dependem de nenhuma forma da formação de inimigos ou terreno para que façam sentido
2,5 - As informações do brawler/complemento podem depender um pouco de formas de uso
5 - As informações do brawler/complemento podem depender um pouco de características de terreno, como presença de moitas/agua e/ou de formas de uso
7,5 - as informações dependem bastante de características externas como formas de uso, terreno e inimigos. A verificação humana é essencial para garantir que o brawler realmente seja bom.
10 - As informações dependem demais de fatores externos para funcionarem de forma adequada. Detalhes desses fatores devem ser destacados para o usuário.</t>
      </text>
    </comment>
    <comment ref="AV2" authorId="26" shapeId="0" xr:uid="{8A69B6AF-9FB0-4B04-A433-73A1BC5DFDE7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potência + velocidade) / 3
Frequência:
1 - 1/1min
2 - 1/50s
3 - 1/40s
4 - 1/30s
5 - 1/22s
6 - 1/15s
7 - 1/10s
8 - 1/7s
9 - 1/5s
10 - 1/3s
11...
Potência do hp:
1 - 1-500
2 - 500-1000
3 - 1000-1500
4 - 1500 - 2000
5 - 2000 - 2500
6 - 2500 - 3000
7 - 3000 - 3500
8 - 3500 - 4000
9 - 4000 - 4500
10 - 4500 - 5000
Velocidade da cura
3 - Lenta e parcelada
6 - Lenta ou muito circunstancial
9 - Instantânea e pouco circunstancial</t>
      </text>
    </comment>
    <comment ref="AW2" authorId="27" shapeId="0" xr:uid="{D4E26227-2DC2-4870-BEEE-A89E41A02124}">
      <text>
        <t>[Threaded comment]
Your version of Excel allows you to read this threaded comment; however, any edits to it will get removed if the file is opened in a newer version of Excel. Learn more: https://go.microsoft.com/fwlink/?linkid=870924
Comment:
    (duração + potência) / 2 
potência:
1 - até 10%
2 - até 20%
3 - até 30%
4 - até 40%
5 - até 50%
6 - até 60%
7 - até 70%
8 - até 80%
9 - até 90%
10 - até 100%
duração
1 - 1s
2 - 2s
3 - 3s
4 - 4s
5 - 5s
6 - 6s
7 - 7s
8 - 8s
9 - 9s
10 - 10s</t>
      </text>
    </comment>
    <comment ref="AX2" authorId="28" shapeId="0" xr:uid="{55DDC066-256F-40C2-A7BE-E51D47E50174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potência) / 2 
Frequência:
1 - 1/1min
2 - 1/50s
3 - 1/40s
4 - 1/30s
5 - 1/22s
6 - 1/15s
7 - 1/10s
8 - 1/7s
9 - 1/5s
10 - 1/3s
11...
Potência do escudo:
1 - 1-500
2 - 500-1000
3 - 1000-1500
4 - 1500 - 2000
5 - 2000 - 2500
6 - 2500 - 3000
7 - 3000 - 3500
8 - 3500 - 4000
9 - 4000 - 4500
10 - 4500 - 5000</t>
      </text>
    </comment>
    <comment ref="AY2" authorId="29" shapeId="0" xr:uid="{199F4209-F855-4DCD-AECD-3B28E2FE8C9A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potência + duração)/3
0 - não tem essa capacidade
Frequência:
1 - 1/1min
2 - 1/50s
3 - 1/40s
4 - 1/30s
5 - 1/22s
6 - 1/15s
7 - 1/10s
8 - 1/7s
9 - 1/5s
10 - 1/3s
11...
Potência do aumento de dano:
1 - até 5%
2 - até 10%
3 - até 15%
4 - até 20%
5 - até 25%
6 - até 30%
7 - até 35%
8 - até 40%
9 - até 45%
10 - até 50%
11...
duração
1 - 1s
2 - 2s
3 - 3s
4 - 4s
5 - 5s
6 - 6s
7 - 7s
8 - 8s
9 - 9s
10 - 10s
11...</t>
      </text>
    </comment>
    <comment ref="AZ2" authorId="30" shapeId="0" xr:uid="{9F689B5A-AFC5-42B7-87ED-8E35135885B1}">
      <text>
        <t>[Threaded comment]
Your version of Excel allows you to read this threaded comment; however, any edits to it will get removed if the file is opened in a newer version of Excel. Learn more: https://go.microsoft.com/fwlink/?linkid=870924
Comment:
    (duração + potência) / 2 
potência:
1 - até 8%
2 - até 16%
3 - até 24%
4 - até 32%
5 - até 40%
6 - até 48%
7 - até 56%
8 - até 64%
9 - até 72%
10 - até 80%
11...
duração
1 - 1s
2 - 2s
3 - 3s
4 - 4s
5 - 5s
6 - 6s
7 - 7s
8 - 8s
9 - 9s
10 - 10s</t>
      </text>
    </comment>
    <comment ref="BA2" authorId="31" shapeId="0" xr:uid="{F9F95B5A-0770-4E64-9084-D80CDABBE688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(frequencia + duração) / 2 
Frequência
1 - 1/1min
2 - 1/50s
3 - 1/40s
4 - 1/30s
5 - 1/22s
6 - 1/15s
7 - 1/10s
8 - 1/7s
9 - 1/5s
10 - 1/3s
11...
Duração:
1 - 1s
2 - 2s
3 - 3s
4 - 4s
5 - 5s
6 - 6s
7 - 7s
8 - 8s
9 - 9s
10 - 10s
11...</t>
      </text>
    </comment>
    <comment ref="BB2" authorId="32" shapeId="0" xr:uid="{33377813-5443-426B-9115-2EFEC1C866FB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duração + área) / 3
0 - não tem essa capacidade
Frequência:
1 - 1/1min
2 - 1/50s
3 - 1/40s
4 - 1/30s
5 - 1/22s
6 - 1/15s
7 - 1/10s
8 - 1/7s
9 - 1/5s
10 - 1/3s
11...
duração
1 - 1s
2 - 2s
3 - 3s
4 - 4s
5 - 5s
6 - 6s
7 - 7s
8 - 8s
9 - 9s
10 - 10s
11...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</t>
      </text>
    </comment>
    <comment ref="BD2" authorId="33" shapeId="0" xr:uid="{839A561C-C6FA-440D-BC30-E684AB6FB836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aplica veneno
1 - duração de 1 hit
2 - duração de 2 hit
3 - duração de 3 hit
4 - duração de 4 hit
5 - duração de 5 hit
6 - duração de 6 hit
7 - duração de 7 hit
8 - duração de 8 hit
9 - duração de 9 hit
10 - duração de 10 hit
11...
/1 se proveniente do ataque principal
/2 se proveniente da super
/3 se proveniente de algo ainda mais ocasional</t>
      </text>
    </comment>
    <comment ref="BE2" authorId="34" shapeId="0" xr:uid="{928E070D-0DB3-4D83-85DB-354FB216FAE0}">
      <text>
        <t>[Threaded comment]
Your version of Excel allows you to read this threaded comment; however, any edits to it will get removed if the file is opened in a newer version of Excel. Learn more: https://go.microsoft.com/fwlink/?linkid=870924
Comment:
    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>
      </text>
    </comment>
    <comment ref="BF2" authorId="35" shapeId="0" xr:uid="{F2DD9A7C-F727-4CB5-A79F-466EE60652B8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stun até 0.1s
2 - stun até 0.35s
3 - stun até 0.6s
4 - stun até 0.85s
5 - stun até 1.1s
6 - stun até 1.35s
7 - stun até 1.6s
8 - stun até 1.85s
9 - stun até 2.1s
10 - stun até 2.5s
11...</t>
      </text>
    </comment>
    <comment ref="BG2" authorId="36" shapeId="0" xr:uid="{9E6746CF-83AA-4F85-92DB-03259C1D3C9B}">
      <text>
        <t>[Threaded comment]
Your version of Excel allows you to read this threaded comment; however, any edits to it will get removed if the file is opened in a newer version of Excel. Learn more: https://go.microsoft.com/fwlink/?linkid=870924
Comment:
    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>
      </text>
    </comment>
    <comment ref="BH2" authorId="37" shapeId="0" xr:uid="{9E1D11A0-DDB4-446C-8CDF-55B9F87E9F1D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potência + duração)/3
0 - não tem essa capacidade
Frequência:
1 - 1/1min
2 - 1/50s
3 - 1/40s
4 - 1/30s
5 - 1/22s
6 - 1/15s
7 - 1/10s
8 - 1/7s
9 - 1/5s
10 - 1/3s
11...
Potência da lentidão:
1 - até 5%
2 - até 10%
3 - até 15%
4 - até 20%
5 - até 25%
6 - até 30%
7 - até 35%
8 - até 40%
9 - até 45%
10 - até 50%
11...
duração
1 - 0.5s
2 - 1s
3 - 1.5s
4 - 2s
5 - 2.5s
6 - 3s
7 - 3.5s
8 - 4s
9 - 4.5s
10 - 5s
11...</t>
      </text>
    </comment>
    <comment ref="BI2" authorId="38" shapeId="0" xr:uid="{C7B7DFB8-8909-4A2F-9649-19B6AAD5C7D6}">
      <text>
        <t>[Threaded comment]
Your version of Excel allows you to read this threaded comment; however, any edits to it will get removed if the file is opened in a newer version of Excel. Learn more: https://go.microsoft.com/fwlink/?linkid=870924
Comment:
    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>
      </text>
    </comment>
    <comment ref="BJ2" authorId="39" shapeId="0" xr:uid="{7FE00BD2-15A5-462D-AC23-95DE2E163889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o brawler não tem essa capacidade
1 - pouco e apenas de muito perto e não possui formas rápidas de se aproximar
2 - pouco e apenas de perto e não possui formas rápidas de se aproximar
3 - pouco e apenas de medio alcance e não possui formas rápidas de se aproximar
4 - pouco e apenas de perto mas possui formas de se aproximar
5 - pouco e apenas de perto mas possui formas de se aproximar rapidamente
6 - de médias/longas distâncias
7 - longas distâncias
8 - ignorando muros
9 - ignorando obstaculos a médio/longo alcance
10 - ignorando obstáculos e objetos a longo alcance
11...</t>
      </text>
    </comment>
    <comment ref="BK2" authorId="40" shapeId="0" xr:uid="{012F43A9-89DA-45CE-ABA6-35AAD60F0BB4}">
      <text>
        <t>[Threaded comment]
Your version of Excel allows you to read this threaded comment; however, any edits to it will get removed if the file is opened in a newer version of Excel. Learn more: https://go.microsoft.com/fwlink/?linkid=870924
Comment:
    Se o seu brawler não é especialmente afetado, assinale altamente competente (7). Caso seja (um frank por exemplo é muito afetado), tente medir o quão fácil é para o inimigo cancelar um ataque forte seu e te prejudicar.
6 - afetado levemente por demora até finalização do tiro
5 - afetado levemente numa situação específica
4 - afetado consideravelmente no super
3 - afetado consideravelmente no ataque principal
2 - afetado consideravelmente no super e ataque
-1 se dá mais de 1 segundo de tempo de reação na super
-2 se dá mais de 1 segundo de tempo de reação no ataque principal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tc={1C01040B-C1E2-4C9B-9471-9C92632B2399}</author>
    <author>tc={B71BF662-F81E-4B6F-AEF8-334FEDB4E3D8}</author>
    <author>tc={75E84146-5093-40E3-A9CA-C655E7999A13}</author>
    <author>tc={5010CBE9-6DCB-4C97-B649-10D0F1E5BEC4}</author>
    <author>tc={26F84EFB-735A-4E2E-827B-B60FB8F9E0D2}</author>
    <author>tc={B1A26A6A-6D67-4607-B3A7-7EFF52A0B273}</author>
    <author>tc={B8807D1A-3E71-4EB4-B0F8-71AFCE7F1460}</author>
    <author>tc={B5315BE0-2F85-45B7-B09C-0E003B466912}</author>
    <author>tc={9495D7C6-77B4-4361-BC22-DC81D40D904F}</author>
    <author>tc={877F0BD9-4A91-4F4F-97CB-7E00545ABF77}</author>
    <author>tc={7684DC9F-CFC8-42FD-AFA9-27EE547BF146}</author>
    <author>tc={05DFB8B4-8D2F-40C4-8A32-45AAC71336FE}</author>
    <author>tc={1893A89C-A5C4-4CD4-A95B-BFB4D7F59DA8}</author>
    <author>tc={95A94A9A-CD20-4F51-8C29-D91B04B25934}</author>
    <author>tc={86F620F7-F5B6-41D9-B545-2A5C4401D9A4}</author>
    <author>tc={EA4EB7CB-F690-40F7-875A-AE65CACB2AF2}</author>
    <author>tc={E72DC0A5-CE73-454E-B921-9CB3869A648F}</author>
    <author>tc={AFB1A0E4-2D56-4CEA-AEE6-A4F5B5B34F04}</author>
    <author>tc={4DA208C6-E492-4C9C-BA3D-D8DFF7E30A2D}</author>
    <author>tc={1DA44273-7AB5-497A-9D96-014499B10C6D}</author>
    <author>tc={AE55D4EC-4D8B-4265-A4A3-2F02654CFB7C}</author>
    <author>tc={C4EEE4AF-4445-49D4-B0D7-902DE5FCD2F8}</author>
    <author>tc={A5080B27-3471-4EED-91A5-71B0FA115539}</author>
    <author>tc={C34BA8B9-04D5-4825-8508-A43BD13B9F50}</author>
    <author>tc={97A98E9B-19E3-4AFE-BE9A-78EBB4116F16}</author>
    <author>tc={9757A7C1-1536-4550-8692-E71204F59585}</author>
    <author>tc={BA9408F7-257F-4DFD-9027-01F4C7DB27DA}</author>
    <author>tc={3BA07920-6923-430E-80C5-0C85D4AE2BA0}</author>
    <author>tc={BFC5B272-7AB6-4AB7-B3DD-C0CB3C2D5EE4}</author>
    <author>tc={2F78080D-0BB4-4EDA-BC8B-BBA37D7DB7D8}</author>
    <author>tc={6A70DF2D-7FA9-4898-AF2E-503F0BD9C410}</author>
    <author>tc={E3B5C75E-A63E-4DF1-AB21-96072BE88947}</author>
    <author>tc={2C4F4EC5-6006-4309-8C21-C207444C929A}</author>
    <author>tc={BF3EF9EE-8771-4879-9B67-EA31C54B5816}</author>
    <author>tc={98500EC3-98EB-46A3-9B91-2E318A31BEF2}</author>
    <author>tc={27889731-7270-4229-931F-CFAAA24CB773}</author>
    <author>tc={532C8B5E-D4B0-45D9-A19A-AC90B97A1CE6}</author>
    <author>tc={2FCE083B-8685-4397-ABBD-1FAEA5F3C471}</author>
    <author>tc={4F3C11AD-7618-48A2-8113-98DDD4BAAE2A}</author>
    <author>tc={6B8DA9B2-B31C-47E0-8E90-405EDA0F39F9}</author>
    <author>tc={1AF3A5F1-F54A-45BB-BC53-D25CCAF0DA2C}</author>
  </authors>
  <commentList>
    <comment ref="V2" authorId="0" shapeId="0" xr:uid="{1C01040B-C1E2-4C9B-9471-9C92632B2399}">
      <text>
        <t>[Threaded comment]
Your version of Excel allows you to read this threaded comment; however, any edits to it will get removed if the file is opened in a newer version of Excel. Learn more: https://go.microsoft.com/fwlink/?linkid=870924
Comment:
    (Durabilidade_total / 1400) + (auto_heal_buffing / 3,5)</t>
      </text>
    </comment>
    <comment ref="W2" authorId="1" shapeId="0" xr:uid="{B71BF662-F81E-4B6F-AEF8-334FEDB4E3D8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ataca eu achokkk
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>
      </text>
    </comment>
    <comment ref="X2" authorId="2" shapeId="0" xr:uid="{75E84146-5093-40E3-A9CA-C655E7999A13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(frequencia + potência + versatilidade)/3
frequência:
1 - 1 min
2 - 45s
3 - 35s
4 - 30s
5 - 25s
6 - 20s
7 - 15s
8 - 10s
9 - 5s
10 - menos de 5s
11...
potência do uso:
1 - distância curta
2 - distância curta/normal
3 - distância normal/curta
4 - distância normal
5 - distância normal/longa
6 - distância longa/normal
7 - distância longa
8 - distância longa/mtlonga
9 - distância mtlonga/longa
10 - distância mtlonga
11...
versatilidade:
1 - invulnerável, mas parado e vulnerável ao voltar
2 - invulnerável, mas parado ao voltar
3 - afasta inimigos um pouco
4 - afasta medio inimigos
5 - fuga lenta sem escolher direção ou circunstancial
6 - fuga lenta escolhendo direção quase livremente
7 - fuga lenta escolhendo direção livremente
8 - fuga rápida quase sem escolher direção
9 - fuga rápida escolhendo direção quase livremente
10 - fuga rápida escolhendo direção livremente
11...</t>
      </text>
    </comment>
    <comment ref="Y2" authorId="3" shapeId="0" xr:uid="{5010CBE9-6DCB-4C97-B649-10D0F1E5BEC4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projétil único
1 - projétil único perfurante
2 - linha fina multiplos projéteis
3 - tiro em forma de cone pequeno (25° +ou-)
4 - tiro em forma retangular medio (1 brawler de largura)
5 - tiro em forma de cone médio (50° +ou-)
6 - tiro em forma retangular grande (1-2 brawler de largura)
7 - tiro em forma de cone grande (75° +ou-)
8 - tiro com amplitude maior (até 100° +ou-)
9 - tiro em todas as direções
10 - tiro frequente em todas as direções
11...</t>
      </text>
    </comment>
    <comment ref="Z2" authorId="4" shapeId="0" xr:uid="{26F84EFB-735A-4E2E-827B-B60FB8F9E0D2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mais de 1/30s
1 - 1/30s
2 - 1/20s
3 - 1/15s
4 - 1/10s
5 - 1/5s
6 - ataque básico frequente
7 - ataque básico e super frequente</t>
      </text>
    </comment>
    <comment ref="AA2" authorId="5" shapeId="0" xr:uid="{B1A26A6A-6D67-4607-B3A7-7EFF52A0B273}">
      <text>
        <t>[Threaded comment]
Your version of Excel allows you to read this threaded comment; however, any edits to it will get removed if the file is opened in a newer version of Excel. Learn more: https://go.microsoft.com/fwlink/?linkid=870924
Comment:
    (duração + área + efeito + distância-arremesso)/4
Efeito:
3 - efeito ignorável muitas vezes
6 - efeito ignorável raramente
9 - efeito quase nunca ignoravel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
Duração:
1 - 1s
2 - 2s
3 - 3s
4 - 4s
5 - 5s
6 - 6s
7 - 7s
8 - 8s
9 - 9s
10 - 10s
11...
Distância arremesso
0 - Não ataca eu achokkk
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>
      </text>
    </comment>
    <comment ref="AB2" authorId="6" shapeId="0" xr:uid="{B8807D1A-3E71-4EB4-B0F8-71AFCE7F1460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o brawler não tem essa capacidade
1 - consegue manipular pouco e apenas de muito perto e não possui formas rápidas de se aproximar
2 - consegue manipular pouco e apenas de perto e não possui formas rápidas de se aproximar
3 - consegue manipular pouco e apenas de medio alcance e não possui formas rápidas de se aproximar
4 - consegue manipular pouco e apenas de perto mas possui formas de se aproximar
5 - o brawler consegue fazer de longas distancias mas manipula pouco
6 - o brawler consegue manipular muito a posição e de médias distâncias
7 - o brawler consegue manipular muito a posição e de longas distâncias
8 - o brawler consegue manipular um pouco a posição mas ignorando muros
9 - o brawler consegue manipular muito a posição e ignorando obstaculos a médio alcance
10 - o brawler consegue manipular muito a posição e ignorando obstáculos e objetos a longo alcance</t>
      </text>
    </comment>
    <comment ref="AC2" authorId="7" shapeId="0" xr:uid="{B5315BE0-2F85-45B7-B09C-0E003B466912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absoluta incompetência
7 - altamente competente</t>
      </text>
    </comment>
    <comment ref="AD2" authorId="8" shapeId="0" xr:uid="{9495D7C6-77B4-4361-BC22-DC81D40D904F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impossivel causar dano
1 - causa dano irrisório
2 - causa dano circunstancial
3 - causa dano ocasionalmente
4 - causa dano mortal as vezes
5 - causa dano mortal quase normalmente
6 - capaz de atacar o inimigo normalmente
7 - causa dano normalmente + anda na água tmb
8 - causa dano levemente superior
9 - causa dano muito maior a inimigos na água
10 - causa dano absurdamente maior
11...</t>
      </text>
    </comment>
    <comment ref="AE2" authorId="9" shapeId="0" xr:uid="{877F0BD9-4A91-4F4F-97CB-7E00545ABF77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quebra muros
1 - 1/35min
2 - 1/30s
3 - 1/25s
4 - 1/20s
5 - 1/15s
6 - 1/12s
7 - 1/9s
8 - 1/6s
9 - 1/3s
10 - 1/1s
11...
-1 se a destruição é pouco controlável
-2 se a destruição é quase incontrolável ou se o brawler não deveria gastar os recursos dele focando nessa destruição</t>
      </text>
    </comment>
    <comment ref="AF2" authorId="10" shapeId="0" xr:uid="{7684DC9F-CFC8-42FD-AFA9-27EE547BF146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quebra moitas
1 - 1/25min
2 - 1/16s
3 - 1/12s
4 - 1/10s
5 - 1/8s
6 - 1/6s
7 - 1/4s
8 - 1/3s
9 - 1/2s
10 - 1/1s
11...
-1 se a destruição é pouco controlável
-2 se a destruição é quase incontrolável ou se o brawler não deveria gastar os recursos dele focando nessa destruição</t>
      </text>
    </comment>
    <comment ref="AG2" authorId="11" shapeId="0" xr:uid="{05DFB8B4-8D2F-40C4-8A32-45AAC71336FE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constroi cover
1 - 1/25min
2 - 1/16s
3 - 1/12s
4 - 1/10s
5 - 1/8s
6 - 1/6s
7 - 1/4s
8 - 1/3s
9 - 1/2s
10 - 1/1s
11...
-1 se a construção é pouco controlável
-2 se a construção é quase incontrolável ou se o brawler não deveria gastar os recursos dele focando nessa construção</t>
      </text>
    </comment>
    <comment ref="AH2" authorId="12" shapeId="0" xr:uid="{1893A89C-A5C4-4CD4-A95B-BFB4D7F59DA8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muito lento
2 - muito lento/lento
3 - lento
4 - lento/normal
5 - normal
6 - normal/rapido
7 - rapido
8 - rapido/muito rapido
9 - muito rapido
10 - suporter de velocidade
11...
-1 se a hitbox do brawler é do modelo maior</t>
      </text>
    </comment>
    <comment ref="AI2" authorId="13" shapeId="0" xr:uid="{95A94A9A-CD20-4F51-8C29-D91B04B25934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ataque lento e ineficaz
2 - ataque ineficaz
3 - ataque poderoso, mas super lento
4 - ataque poderoso, mas lento
5 - ataque poderoso e rápido, mas facilmente contornável sem sequelas
6 - ataque poderoso, mas contornavel/counterável facilmente
7 - ataque poderoso. Contornavel apenas se não estiver vulnerável
8 - mesmo counters tem dificuldade em prever/reagir ao ataque antes de levar um bom dano
9 - mesmo counters recebem muito dano antes de conseguirem reagir
10 - counterar um ataque bem planejado é quase impossível para qualquer brawler
+1 se aplica velocidade após o ataque
-1 se alcance é normal/longo
-2 se o alcance é curto/normal
-3 se o alcance é muito curto/curto</t>
      </text>
    </comment>
    <comment ref="AJ2" authorId="14" shapeId="0" xr:uid="{86F620F7-F5B6-41D9-B545-2A5C4401D9A4}">
      <text>
        <t>[Threaded comment]
Your version of Excel allows you to read this threaded comment; however, any edits to it will get removed if the file is opened in a newer version of Excel. Learn more: https://go.microsoft.com/fwlink/?linkid=870924
Comment:
    *fórmula pronta, utiliza stun como força adicional</t>
      </text>
    </comment>
    <comment ref="AK2" authorId="15" shapeId="0" xr:uid="{EA4EB7CB-F690-40F7-875A-AE65CACB2AF2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1 - 1/1min
2 - 1/50s
3 - 1/40s
4 - 1/30s
5 - 1/22s
6 - 1/15s
7 - 1/10s
8 - 1/7s
9 - 1/5s
10 - 1/3s
11...</t>
      </text>
    </comment>
    <comment ref="AL2" authorId="16" shapeId="0" xr:uid="{E72DC0A5-CE73-454E-B921-9CB3869A648F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nunca acumula mais de 1
2 - raramente acumula mais de 1
3 - ocasionalmente acumula mais de 1
4 - frequentemente acumula ao menos 2
5 - raramente acumula mais de 2
6 - ocasionalmente acumula mais de 2
7 - frequentemente acumula ao menos 3
8 - ocasionalmente acumula mais de 3
9 - frequentemente acumula mais de 4
10 - frequentemente acumula mais de 5
11...</t>
      </text>
    </comment>
    <comment ref="AM2" authorId="17" shapeId="0" xr:uid="{AFB1A0E4-2D56-4CEA-AEE6-A4F5B5B34F04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A vida do(s) pet(s) não se deteriora sozinha com o tempo
1 - A vida do(s) pet(s) é deteriorável</t>
      </text>
    </comment>
    <comment ref="AN2" authorId="18" shapeId="0" xr:uid="{4DA208C6-E492-4C9C-BA3D-D8DFF7E30A2D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menos de 2000
2 - entre 2000 e 3000
3 - entre 3000 e 4000
4 - entre 4000 e 5000
5 - entre 5000 e 6000
6 - entre 6000 e 7000
7 - entre 7000 e 8000
8 - entre 8000 e 9000
9 - entre 9000 e 10000
10 - entre 10000 e 11000
11...</t>
      </text>
    </comment>
    <comment ref="AO2" authorId="19" shapeId="0" xr:uid="{1DA44273-7AB5-497A-9D96-014499B10C6D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dano médio menor de 500
1 - dano médio 500-800
2 - dano médio 800-1100
3 - dano médio 1100-1400
4 - dano médio 1400-1700
5 - dano médio 1700-2000
6 - dano médio 2000-2300
7 - dano médio 2300-2600
8 - dano médio 2900-3200
9 - dano médio 3200-3500
10 - dano médio 3500-3800
11...</t>
      </text>
    </comment>
    <comment ref="AP2" authorId="20" shapeId="0" xr:uid="{AE55D4EC-4D8B-4265-A4A3-2F02654CFB7C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>
      </text>
    </comment>
    <comment ref="AQ2" authorId="21" shapeId="0" xr:uid="{C4EEE4AF-4445-49D4-B0D7-902DE5FCD2F8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muito lento
2 - muito lento/lento
3 - lento/normal
4 - lento
5 - lento/normal
6 - normal/lento
7 - normal
8 - normal/rapido
9 - rapido
10 - MUITO rapido
11...</t>
      </text>
    </comment>
    <comment ref="AR2" authorId="22" shapeId="0" xr:uid="{A5080B27-3471-4EED-91A5-71B0FA115539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O dono não fica próximo ao pet em quase nenhum momento
2,5 - O dono fica próximo ao pet as vezes, mas raramente por muito tempo
5 - O dono fica próximo ao pet com alguma frequência, mas não é regra de usabilidade
7,5 - O dono fica próximo ao pet na maior parte do tempo, sendo grande parte da sua estratégia principal para avançar contra inimigos
10 - O dono fica próximo ao pet em quase todos os momentos. A exceção para esta regra resulta em inutilidade do pet na maior parte das vezes.</t>
      </text>
    </comment>
    <comment ref="AS2" authorId="23" shapeId="0" xr:uid="{C34BA8B9-04D5-4825-8508-A43BD13B9F50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é o caso para esse brawler
1 - chance levemente maior de causar dano ao todo
2 - chance relativamente maior de causar dano ao todo
3 - chance muito maior de causar mais dano ao todo
4 - atinge multiplos inimigos com a super
5 - atinge facilmente multiplos inimigos com a super
6 - atinge multiplos inimigos com o ataque principal
7 - atinge facilmente multiplos inimigos com o ataque
8 - causa mais dano por projétil
9 - causa mais do dobro de dano por projétil
10 - causa mais que o triplo do dano por projétil
11...</t>
      </text>
    </comment>
    <comment ref="AT2" authorId="24" shapeId="0" xr:uid="{97A98E9B-19E3-4AFE-BE9A-78EBB4116F16}">
      <text>
        <t>[Threaded comment]
Your version of Excel allows you to read this threaded comment; however, any edits to it will get removed if the file is opened in a newer version of Excel. Learn more: https://go.microsoft.com/fwlink/?linkid=870924
Comment:
    (precisão + Área + duração + frequência)/4
Precisão:
3 - perseguição de pets
6 - precisão em posição fixa arremessavel
10 - precisão absoluta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
Duração:
1 - 3s
2 - 6s
3 - 9s
4 - 12s
5 - 15s
6 - 18s
7 - 21s
8 - 24s
9 - 27s
10 - infinito
11...
Frequência:
1 - 1/1min
2 - 1/50s
3 - 1/40s
4 - 1/30s
5 - 1/22s
6 - 1/15s
7 - 1/10s
8 - 1/7s
9 - 1/5s
10 - 1/3s
11...</t>
      </text>
    </comment>
    <comment ref="AU2" authorId="25" shapeId="0" xr:uid="{9757A7C1-1536-4550-8692-E71204F59585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As informações do brawler/complemento não dependem de nenhuma forma da formação de inimigos ou terreno para que façam sentido
2,5 - As informações do brawler/complemento podem depender um pouco de formas de uso
5 - As informações do brawler/complemento podem depender um pouco de características de terreno, como presença de moitas/agua e/ou de formas de uso
7,5 - as informações dependem bastante de características externas como formas de uso, terreno e inimigos. A verificação humana é essencial para garantir que o brawler realmente seja bom.
10 - As informações dependem demais de fatores externos para funcionarem de forma adequada. Detalhes desses fatores devem ser destacados para o usuário.</t>
      </text>
    </comment>
    <comment ref="AV2" authorId="26" shapeId="0" xr:uid="{BA9408F7-257F-4DFD-9027-01F4C7DB27DA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potência + velocidade) / 3
Frequência:
1 - 1/1min
2 - 1/50s
3 - 1/40s
4 - 1/30s
5 - 1/22s
6 - 1/15s
7 - 1/10s
8 - 1/7s
9 - 1/5s
10 - 1/3s
11...
Potência do hp:
1 - 1-500
2 - 500-1000
3 - 1000-1500
4 - 1500 - 2000
5 - 2000 - 2500
6 - 2500 - 3000
7 - 3000 - 3500
8 - 3500 - 4000
9 - 4000 - 4500
10 - 4500 - 5000
Velocidade da cura
3 - Lenta e parcelada
6 - Lenta ou muito circunstancial
9 - Instantânea e pouco circunstancial</t>
      </text>
    </comment>
    <comment ref="AW2" authorId="27" shapeId="0" xr:uid="{3BA07920-6923-430E-80C5-0C85D4AE2BA0}">
      <text>
        <t>[Threaded comment]
Your version of Excel allows you to read this threaded comment; however, any edits to it will get removed if the file is opened in a newer version of Excel. Learn more: https://go.microsoft.com/fwlink/?linkid=870924
Comment:
    (duração + potência) / 2 
potência:
1 - até 10%
2 - até 20%
3 - até 30%
4 - até 40%
5 - até 50%
6 - até 60%
7 - até 70%
8 - até 80%
9 - até 90%
10 - até 100%
duração
1 - 1s
2 - 2s
3 - 3s
4 - 4s
5 - 5s
6 - 6s
7 - 7s
8 - 8s
9 - 9s
10 - 10s</t>
      </text>
    </comment>
    <comment ref="AX2" authorId="28" shapeId="0" xr:uid="{BFC5B272-7AB6-4AB7-B3DD-C0CB3C2D5EE4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potência) / 2 
Frequência:
1 - 1/1min
2 - 1/50s
3 - 1/40s
4 - 1/30s
5 - 1/22s
6 - 1/15s
7 - 1/10s
8 - 1/7s
9 - 1/5s
10 - 1/3s
11...
Potência do escudo:
1 - 1-500
2 - 500-1000
3 - 1000-1500
4 - 1500 - 2000
5 - 2000 - 2500
6 - 2500 - 3000
7 - 3000 - 3500
8 - 3500 - 4000
9 - 4000 - 4500
10 - 4500 - 5000</t>
      </text>
    </comment>
    <comment ref="AY2" authorId="29" shapeId="0" xr:uid="{2F78080D-0BB4-4EDA-BC8B-BBA37D7DB7D8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potência + duração)/3
0 - não tem essa capacidade
Frequência:
1 - 1/1min
2 - 1/50s
3 - 1/40s
4 - 1/30s
5 - 1/22s
6 - 1/15s
7 - 1/10s
8 - 1/7s
9 - 1/5s
10 - 1/3s
11...
Potência do aumento de dano:
1 - até 5%
2 - até 10%
3 - até 15%
4 - até 20%
5 - até 25%
6 - até 30%
7 - até 35%
8 - até 40%
9 - até 45%
10 - até 50%
11...
duração
1 - 1s
2 - 2s
3 - 3s
4 - 4s
5 - 5s
6 - 6s
7 - 7s
8 - 8s
9 - 9s
10 - 10s
11...</t>
      </text>
    </comment>
    <comment ref="AZ2" authorId="30" shapeId="0" xr:uid="{6A70DF2D-7FA9-4898-AF2E-503F0BD9C410}">
      <text>
        <t>[Threaded comment]
Your version of Excel allows you to read this threaded comment; however, any edits to it will get removed if the file is opened in a newer version of Excel. Learn more: https://go.microsoft.com/fwlink/?linkid=870924
Comment:
    (duração + potência) / 2 
potência:
1 - até 8%
2 - até 16%
3 - até 24%
4 - até 32%
5 - até 40%
6 - até 48%
7 - até 56%
8 - até 64%
9 - até 72%
10 - até 80%
11...
duração
1 - 1s
2 - 2s
3 - 3s
4 - 4s
5 - 5s
6 - 6s
7 - 7s
8 - 8s
9 - 9s
10 - 10s</t>
      </text>
    </comment>
    <comment ref="BA2" authorId="31" shapeId="0" xr:uid="{E3B5C75E-A63E-4DF1-AB21-96072BE88947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(frequencia + duração) / 2 
Frequência
1 - 1/1min
2 - 1/50s
3 - 1/40s
4 - 1/30s
5 - 1/22s
6 - 1/15s
7 - 1/10s
8 - 1/7s
9 - 1/5s
10 - 1/3s
11...
Duração:
1 - 1s
2 - 2s
3 - 3s
4 - 4s
5 - 5s
6 - 6s
7 - 7s
8 - 8s
9 - 9s
10 - 10s
11...</t>
      </text>
    </comment>
    <comment ref="BB2" authorId="32" shapeId="0" xr:uid="{2C4F4EC5-6006-4309-8C21-C207444C929A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duração + área) / 3
0 - não tem essa capacidade
Frequência:
1 - 1/1min
2 - 1/50s
3 - 1/40s
4 - 1/30s
5 - 1/22s
6 - 1/15s
7 - 1/10s
8 - 1/7s
9 - 1/5s
10 - 1/3s
11...
duração
1 - 1s
2 - 2s
3 - 3s
4 - 4s
5 - 5s
6 - 6s
7 - 7s
8 - 8s
9 - 9s
10 - 10s
11...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</t>
      </text>
    </comment>
    <comment ref="BD2" authorId="33" shapeId="0" xr:uid="{BF3EF9EE-8771-4879-9B67-EA31C54B5816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não aplica veneno
1 - duração de 1 hit
2 - duração de 2 hit
3 - duração de 3 hit
4 - duração de 4 hit
5 - duração de 5 hit
6 - duração de 6 hit
7 - duração de 7 hit
8 - duração de 8 hit
9 - duração de 9 hit
10 - duração de 10 hit
11...
/1 se proveniente do ataque principal
/2 se proveniente da super
/3 se proveniente de algo ainda mais ocasional</t>
      </text>
    </comment>
    <comment ref="BE2" authorId="34" shapeId="0" xr:uid="{98500EC3-98EB-46A3-9B91-2E318A31BEF2}">
      <text>
        <t>[Threaded comment]
Your version of Excel allows you to read this threaded comment; however, any edits to it will get removed if the file is opened in a newer version of Excel. Learn more: https://go.microsoft.com/fwlink/?linkid=870924
Comment:
    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>
      </text>
    </comment>
    <comment ref="BF2" authorId="35" shapeId="0" xr:uid="{27889731-7270-4229-931F-CFAAA24CB773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stun até 0.1s
2 - stun até 0.35s
3 - stun até 0.6s
4 - stun até 0.85s
5 - stun até 1.1s
6 - stun até 1.35s
7 - stun até 1.6s
8 - stun até 1.85s
9 - stun até 2.1s
10 - stun até 2.5s
11...</t>
      </text>
    </comment>
    <comment ref="BG2" authorId="36" shapeId="0" xr:uid="{532C8B5E-D4B0-45D9-A19A-AC90B97A1CE6}">
      <text>
        <t>[Threaded comment]
Your version of Excel allows you to read this threaded comment; however, any edits to it will get removed if the file is opened in a newer version of Excel. Learn more: https://go.microsoft.com/fwlink/?linkid=870924
Comment:
    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>
      </text>
    </comment>
    <comment ref="BH2" authorId="37" shapeId="0" xr:uid="{2FCE083B-8685-4397-ABBD-1FAEA5F3C471}">
      <text>
        <t>[Threaded comment]
Your version of Excel allows you to read this threaded comment; however, any edits to it will get removed if the file is opened in a newer version of Excel. Learn more: https://go.microsoft.com/fwlink/?linkid=870924
Comment:
    (frequência + potência + duração)/3
0 - não tem essa capacidade
Frequência:
1 - 1/1min
2 - 1/50s
3 - 1/40s
4 - 1/30s
5 - 1/22s
6 - 1/15s
7 - 1/10s
8 - 1/7s
9 - 1/5s
10 - 1/3s
11...
Potência da lentidão:
1 - até 5%
2 - até 10%
3 - até 15%
4 - até 20%
5 - até 25%
6 - até 30%
7 - até 35%
8 - até 40%
9 - até 45%
10 - até 50%
11...
duração
1 - 0.5s
2 - 1s
3 - 1.5s
4 - 2s
5 - 2.5s
6 - 3s
7 - 3.5s
8 - 4s
9 - 4.5s
10 - 5s
11...</t>
      </text>
    </comment>
    <comment ref="BI2" authorId="38" shapeId="0" xr:uid="{4F3C11AD-7618-48A2-8113-98DDD4BAAE2A}">
      <text>
        <t>[Threaded comment]
Your version of Excel allows you to read this threaded comment; however, any edits to it will get removed if the file is opened in a newer version of Excel. Learn more: https://go.microsoft.com/fwlink/?linkid=870924
Comment:
    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>
      </text>
    </comment>
    <comment ref="BJ2" authorId="39" shapeId="0" xr:uid="{6B8DA9B2-B31C-47E0-8E90-405EDA0F39F9}">
      <text>
        <t>[Threaded comment]
Your version of Excel allows you to read this threaded comment; however, any edits to it will get removed if the file is opened in a newer version of Excel. Learn more: https://go.microsoft.com/fwlink/?linkid=870924
Comment:
    0 - o brawler não tem essa capacidade
1 - pouco e apenas de muito perto e não possui formas rápidas de se aproximar
2 - pouco e apenas de perto e não possui formas rápidas de se aproximar
3 - pouco e apenas de medio alcance e não possui formas rápidas de se aproximar
4 - pouco e apenas de perto mas possui formas de se aproximar
5 - pouco e apenas de perto mas possui formas de se aproximar rapidamente
6 - de médias/longas distâncias
7 - longas distâncias
8 - ignorando muros
9 - ignorando obstaculos a médio/longo alcance
10 - ignorando obstáculos e objetos a longo alcance
11...</t>
      </text>
    </comment>
    <comment ref="BK2" authorId="40" shapeId="0" xr:uid="{1AF3A5F1-F54A-45BB-BC53-D25CCAF0DA2C}">
      <text>
        <t>[Threaded comment]
Your version of Excel allows you to read this threaded comment; however, any edits to it will get removed if the file is opened in a newer version of Excel. Learn more: https://go.microsoft.com/fwlink/?linkid=870924
Comment:
    Se o seu brawler não é especialmente afetado, assinale altamente competente (7). Caso seja (um frank por exemplo é muito afetado), tente medir o quão fácil é para o inimigo cancelar um ataque forte seu e te prejudicar.
6 - afetado levemente por demora até finalização do tiro
5 - afetado levemente numa situação específica
4 - afetado consideravelmente no super
3 - afetado consideravelmente no ataque principal
2 - afetado consideravelmente no super e ataque
-1 se dá mais de 1 segundo de tempo de reação na super
-2 se dá mais de 1 segundo de tempo de reação no ataque principal</t>
      </text>
    </comment>
  </commentList>
</comments>
</file>

<file path=xl/sharedStrings.xml><?xml version="1.0" encoding="utf-8"?>
<sst xmlns="http://schemas.openxmlformats.org/spreadsheetml/2006/main" count="2055" uniqueCount="490">
  <si>
    <t>Nome Brawler</t>
  </si>
  <si>
    <t>Soma de Durability</t>
  </si>
  <si>
    <t>Soma de Distância-Ataque</t>
  </si>
  <si>
    <t>Soma de C Durability</t>
  </si>
  <si>
    <t>Soma de Ataque-Surpresa</t>
  </si>
  <si>
    <t>Soma de Aproximação-Fácil</t>
  </si>
  <si>
    <t>Soma de C Distância-ataque</t>
  </si>
  <si>
    <t>8-BIT</t>
  </si>
  <si>
    <t>ALLI</t>
  </si>
  <si>
    <t>AMBER</t>
  </si>
  <si>
    <t>ANGELO</t>
  </si>
  <si>
    <t>ASH</t>
  </si>
  <si>
    <t>BARLEY</t>
  </si>
  <si>
    <t>BEA</t>
  </si>
  <si>
    <t>BELLE</t>
  </si>
  <si>
    <t>BERRY</t>
  </si>
  <si>
    <t>BIBI</t>
  </si>
  <si>
    <t>BO</t>
  </si>
  <si>
    <t>BONNIE</t>
  </si>
  <si>
    <t>BROCK</t>
  </si>
  <si>
    <t>BULL</t>
  </si>
  <si>
    <t>BUSTER</t>
  </si>
  <si>
    <t>BUZZ</t>
  </si>
  <si>
    <t>BYRON</t>
  </si>
  <si>
    <t>CARL</t>
  </si>
  <si>
    <t>CHARLIE</t>
  </si>
  <si>
    <t>CHESTER</t>
  </si>
  <si>
    <t>CHUCK</t>
  </si>
  <si>
    <t>CLANCY</t>
  </si>
  <si>
    <t>COLLETE</t>
  </si>
  <si>
    <t>COLT</t>
  </si>
  <si>
    <t>CORDELIUS</t>
  </si>
  <si>
    <t>CROW</t>
  </si>
  <si>
    <t>DARRYL</t>
  </si>
  <si>
    <t>DOUG</t>
  </si>
  <si>
    <t>DRACO</t>
  </si>
  <si>
    <t>DYNAMIKE</t>
  </si>
  <si>
    <t>EDGAR</t>
  </si>
  <si>
    <t>EL PRIMO</t>
  </si>
  <si>
    <t>EMZ</t>
  </si>
  <si>
    <t>EVE</t>
  </si>
  <si>
    <t>FANG</t>
  </si>
  <si>
    <t>FINX</t>
  </si>
  <si>
    <t>FRANK</t>
  </si>
  <si>
    <t>GALE</t>
  </si>
  <si>
    <t>GENE</t>
  </si>
  <si>
    <t>GIGI</t>
  </si>
  <si>
    <t>GLOWBERT</t>
  </si>
  <si>
    <t>GRAY</t>
  </si>
  <si>
    <t>GRIFF</t>
  </si>
  <si>
    <t>GROM</t>
  </si>
  <si>
    <t>GUS</t>
  </si>
  <si>
    <t>HANK</t>
  </si>
  <si>
    <t>JACKY</t>
  </si>
  <si>
    <t>JAE-YONG</t>
  </si>
  <si>
    <t>JANET</t>
  </si>
  <si>
    <t>JESSIE</t>
  </si>
  <si>
    <t>JUJU</t>
  </si>
  <si>
    <t>KAZE</t>
  </si>
  <si>
    <t>KENJI</t>
  </si>
  <si>
    <t>KIT</t>
  </si>
  <si>
    <t>LARRIE E LAWRIE</t>
  </si>
  <si>
    <t>LEON</t>
  </si>
  <si>
    <t>LILY</t>
  </si>
  <si>
    <t>LOLA</t>
  </si>
  <si>
    <t>LOU</t>
  </si>
  <si>
    <t>LUMI</t>
  </si>
  <si>
    <t>MAISIE</t>
  </si>
  <si>
    <t>MANDY</t>
  </si>
  <si>
    <t>MAX</t>
  </si>
  <si>
    <t>MEEPLE</t>
  </si>
  <si>
    <t>MEG</t>
  </si>
  <si>
    <t>MELLODIE</t>
  </si>
  <si>
    <t>MICO</t>
  </si>
  <si>
    <t>MINA</t>
  </si>
  <si>
    <t>MISTER P</t>
  </si>
  <si>
    <t>MOE</t>
  </si>
  <si>
    <t>MORTIS</t>
  </si>
  <si>
    <t>NANI</t>
  </si>
  <si>
    <t>NITA</t>
  </si>
  <si>
    <t>OLLIE</t>
  </si>
  <si>
    <t>OTIS</t>
  </si>
  <si>
    <t>PAM</t>
  </si>
  <si>
    <t>PEARL</t>
  </si>
  <si>
    <t>PENNY</t>
  </si>
  <si>
    <t>PIERCE</t>
  </si>
  <si>
    <t>PIPER</t>
  </si>
  <si>
    <t>POCO</t>
  </si>
  <si>
    <t>RICO</t>
  </si>
  <si>
    <t>ROSA</t>
  </si>
  <si>
    <t>R-T</t>
  </si>
  <si>
    <t>RUFUS</t>
  </si>
  <si>
    <t>SAM</t>
  </si>
  <si>
    <t>SANDY</t>
  </si>
  <si>
    <t>SHADE</t>
  </si>
  <si>
    <t>SHELLY</t>
  </si>
  <si>
    <t>SPIKE</t>
  </si>
  <si>
    <t>SPROUT</t>
  </si>
  <si>
    <t>SQUEAK</t>
  </si>
  <si>
    <t>STU</t>
  </si>
  <si>
    <t>TARA</t>
  </si>
  <si>
    <t>TICK</t>
  </si>
  <si>
    <t>TRUNK</t>
  </si>
  <si>
    <t>WATTSON</t>
  </si>
  <si>
    <t>WILLOW</t>
  </si>
  <si>
    <t>ZIGGY</t>
  </si>
  <si>
    <t>Total Geral</t>
  </si>
  <si>
    <t>durabilidade, (suporte-cura, suporte-escudo)</t>
  </si>
  <si>
    <t>ataque-surpresa, (durabilidade, velocidade-movimento)</t>
  </si>
  <si>
    <t>distancia-ataque, (durabilidade, aproximação-facil, counter-durabilidade)</t>
  </si>
  <si>
    <t>durabilidade (C-durabilidade, potencial-dano-curto-alcance)</t>
  </si>
  <si>
    <t>ID</t>
  </si>
  <si>
    <t>POT-DAN-CUR-ALC</t>
  </si>
  <si>
    <t>PODER-DE-STUN</t>
  </si>
  <si>
    <t>DANO-PETS</t>
  </si>
  <si>
    <t>Durability</t>
  </si>
  <si>
    <t>Distância-Ataque</t>
  </si>
  <si>
    <t>C Durability</t>
  </si>
  <si>
    <t>Ataque-Surpresa</t>
  </si>
  <si>
    <t>Aproximação-Fácil</t>
  </si>
  <si>
    <t>C Distância-ataque</t>
  </si>
  <si>
    <t>Botão-de-Fuga</t>
  </si>
  <si>
    <t>SIRIUS</t>
  </si>
  <si>
    <t xml:space="preserve">  </t>
  </si>
  <si>
    <t>PROJETEIS-PARA-SUPER</t>
  </si>
  <si>
    <t>DANO-PROJETIL</t>
  </si>
  <si>
    <t>TIROS-DADOS-EM-5-SEGUNDOS</t>
  </si>
  <si>
    <t>MÉDIA-PROJETEIS-POR-TIRO</t>
  </si>
  <si>
    <t>CURTO-ALCANCE-QUANT-PROJETIL-MEDIO</t>
  </si>
  <si>
    <t>MEDIO-ALCANCE-QUANT-PROJETIL-MEDIO</t>
  </si>
  <si>
    <t>LONGO-ALCANCE-QUANT-PROJETIL-MEDIO</t>
  </si>
  <si>
    <t>MTLONGO-ALCANCE-QUANT-PROJETIL-MEDIO</t>
  </si>
  <si>
    <t>CARREGAMENTO-SUPER-AO-ACERTAR-EM-PROJETEIS</t>
  </si>
  <si>
    <t>CURTO-ALCANCE-DANO-SUPER-MEDIO</t>
  </si>
  <si>
    <t>MEDIO-ALCANCE-DANO-SUPER-MEDIO</t>
  </si>
  <si>
    <t>LONGO-ALCANCE-DANO-SUPER-MEDIO</t>
  </si>
  <si>
    <t>MT-LONGO-ALCANCE-DANO-SUPER-MEDIO</t>
  </si>
  <si>
    <t>MÉDIA-DANO-POR-SUPER</t>
  </si>
  <si>
    <t>Ataque-amplo</t>
  </si>
  <si>
    <t>FREQUENCIA-DANO-INDIRETO</t>
  </si>
  <si>
    <t>NEGACAO-DE-AREA</t>
  </si>
  <si>
    <t>MANIPULACAO-DA-POSICAO-DE-INIMIGOS</t>
  </si>
  <si>
    <t>ANDA-SOBRE-AGUA</t>
  </si>
  <si>
    <t>COMBATER-INIMIGOS-SOBRE-AGUA</t>
  </si>
  <si>
    <t>POTENCIAL-DESTRUIÇÃO-DE-MUROS</t>
  </si>
  <si>
    <t>POTENCIAL-DESTRUIÇÃO-DE-MOITAS</t>
  </si>
  <si>
    <t>VELOCIDADE-MOVIMENTO</t>
  </si>
  <si>
    <t>FORÇA-ATK-SURP</t>
  </si>
  <si>
    <t>FREQUÊNCIA-GERAÇÃO-DE-PETS</t>
  </si>
  <si>
    <t>ACÚMULO-PETS</t>
  </si>
  <si>
    <t>VIDA-DETERIORÁVEL-PETS</t>
  </si>
  <si>
    <t>RESISTÊNCIA-PETS</t>
  </si>
  <si>
    <t>ALCANCE-PETS</t>
  </si>
  <si>
    <t>VELOCIDADE-PETS</t>
  </si>
  <si>
    <t>PROXIMIDADE-PETS</t>
  </si>
  <si>
    <t>DANO-AUMENTADO-QUANDO-AGRUPADO</t>
  </si>
  <si>
    <t>HP-SUPORTE</t>
  </si>
  <si>
    <t>HP-ENFRAQUECIMENTO</t>
  </si>
  <si>
    <t>DANO-SUPORTE</t>
  </si>
  <si>
    <t>DANO-ENFRAQUECIMENTO</t>
  </si>
  <si>
    <t>SPEED-SUPORTE</t>
  </si>
  <si>
    <t>INVISIBILIDADE-SUPORTE</t>
  </si>
  <si>
    <t>ESCUDO-SUPORTE</t>
  </si>
  <si>
    <t>POSICIONAMENTO-SUPORTE</t>
  </si>
  <si>
    <t>VENENO-DEBUFF</t>
  </si>
  <si>
    <t>COUNTER-VENENO-DEBUFF</t>
  </si>
  <si>
    <t>LENTIDAO-DEBUFF</t>
  </si>
  <si>
    <t>COUNTER-LENTIDAO-DEBUFF</t>
  </si>
  <si>
    <t>STUN-DEBUFF</t>
  </si>
  <si>
    <t>COUNTER-STUN-DEBUFF</t>
  </si>
  <si>
    <t>CANCELAMENTO-ATAQUES</t>
  </si>
  <si>
    <t>COUNTER-CANCELAMENTO-ATAQUES</t>
  </si>
  <si>
    <t>BLOQUEIO-DE-INIMIGOS</t>
  </si>
  <si>
    <t>CURTO-ALCANCE-5-SEC-DANO-TOTAL-1-SUPER</t>
  </si>
  <si>
    <t>MEDIO-ALCANCE-5-SEC-DANO-TOTAL-1-SUPER</t>
  </si>
  <si>
    <t>LONGO-ALCANCE-5-SEC-DANO-TOTAL-1-SUPER</t>
  </si>
  <si>
    <t>MT-LONGO-ALCANCE-5-SEC-DANO-TOTAL-1-SUPER</t>
  </si>
  <si>
    <t>CURTO-ALCANCE-5-SEC-DANO-MEDIO</t>
  </si>
  <si>
    <t>MEDIO-ALCANCE-5-SEC-DANO-MEDIO</t>
  </si>
  <si>
    <t>LONGO-ALCANCE-5-SEC-DANO-MEDIO</t>
  </si>
  <si>
    <t>MT-LONGO-ALCANCE-5-SEC-DANO-MEDIO</t>
  </si>
  <si>
    <t>ESPAÇO</t>
  </si>
  <si>
    <t>CURTO-ALCANCE-DANO-RESISTENCIA</t>
  </si>
  <si>
    <t>MEDIO-ALCANCE-DANO-RESISTENCIA</t>
  </si>
  <si>
    <t>LONGO-ALCANCE-DANO-RESISTENCIA</t>
  </si>
  <si>
    <t>MT-LONGO-ALCANCE-DANO-RESISTENCIA</t>
  </si>
  <si>
    <t>CURTO-ALCANCE-ATK-SURPRESA</t>
  </si>
  <si>
    <t>MEDIO-ALCANCE-ATK-SURPRESA</t>
  </si>
  <si>
    <t>LONGO-ALCANCE-ATK-SURPRESA</t>
  </si>
  <si>
    <t>MT-LONGO-ALCANCE-ATK-SURPRESA</t>
  </si>
  <si>
    <t>Controle-ativo-de-Área</t>
  </si>
  <si>
    <t>CONTROLE DE AREA</t>
  </si>
  <si>
    <t>DANO INDIRETO</t>
  </si>
  <si>
    <t>Geração multiplos pets</t>
  </si>
  <si>
    <t>Geração resistentes pets</t>
  </si>
  <si>
    <t>Punição-Agrupamento</t>
  </si>
  <si>
    <t>VELOCIDADES RECARGA</t>
  </si>
  <si>
    <t>MT-RAPIDO</t>
  </si>
  <si>
    <t>0.66t p/s</t>
  </si>
  <si>
    <t>RAPIDO</t>
  </si>
  <si>
    <t>0.57t p/s</t>
  </si>
  <si>
    <t>NORMAL</t>
  </si>
  <si>
    <t>0.50t p/s</t>
  </si>
  <si>
    <t>LENTO</t>
  </si>
  <si>
    <t>0.43t p/s</t>
  </si>
  <si>
    <t>MT-LENTO</t>
  </si>
  <si>
    <t>0.33t p/s</t>
  </si>
  <si>
    <t>(Tudo)</t>
  </si>
  <si>
    <t>NOME ACESSÓRIO</t>
  </si>
  <si>
    <t>NOME PODER DE ESTRELA</t>
  </si>
  <si>
    <t>NOME HIPERCARGA</t>
  </si>
  <si>
    <t>Valores</t>
  </si>
  <si>
    <t>TICK Total</t>
  </si>
  <si>
    <t>Soma de PROJETEIS-PARA-SUPER</t>
  </si>
  <si>
    <t>MINE MANIA</t>
  </si>
  <si>
    <t>LAST HURRAH</t>
  </si>
  <si>
    <t>WELL OILED</t>
  </si>
  <si>
    <t>AUTOMA-TICK RELOAD</t>
  </si>
  <si>
    <t>HEADSTRONG</t>
  </si>
  <si>
    <t>Soma de SUPERS-PARA-HIPERCARGA</t>
  </si>
  <si>
    <t>Soma de DANO-PROJETIL</t>
  </si>
  <si>
    <t>Soma de TIROS-DADOS-EM-5-SEGUNDOS</t>
  </si>
  <si>
    <t>Soma de MÉDIA-PROJETEIS-POR-TIRO</t>
  </si>
  <si>
    <t>Soma de CURTO-ALCANCE-QUANT-PROJETIL-MEDIO</t>
  </si>
  <si>
    <t>Soma de MEDIO-ALCANCE-QUANT-PROJETIL-MEDIO</t>
  </si>
  <si>
    <t>Soma de LONGO-ALCANCE-QUANT-PROJETIL-MEDIO</t>
  </si>
  <si>
    <t>Soma de MTLONGO-ALCANCE-QUANT-PROJETIL-MEDIO</t>
  </si>
  <si>
    <t>Soma de CARREGAMENTO-SUPER-AO-ACERTAR-EM-PROJETEIS</t>
  </si>
  <si>
    <t>Soma de CURTO-ALCANCE-DANO-SUPER-MEDIO</t>
  </si>
  <si>
    <t>Soma de MEDIO-ALCANCE-DANO-SUPER-MEDIO</t>
  </si>
  <si>
    <t>Soma de LONGO-ALCANCE-DANO-SUPER-MEDIO</t>
  </si>
  <si>
    <t>Soma de MT-LONGO-ALCANCE-DANO-SUPER-MEDIO</t>
  </si>
  <si>
    <t>Soma de MÉDIA-DANO-POR-SUPER</t>
  </si>
  <si>
    <t>Soma de DANO-OCASIONAL</t>
  </si>
  <si>
    <t>Soma de Botão-de-Fuga</t>
  </si>
  <si>
    <t>Soma de Ataque-amplo</t>
  </si>
  <si>
    <t>Soma de FREQUENCIA-DANO-INDIRETO</t>
  </si>
  <si>
    <t>Soma de NEGACAO-DE-AREA</t>
  </si>
  <si>
    <t>Soma de MANIPULACAO-DA-POSICAO-DE-INIMIGOS</t>
  </si>
  <si>
    <t>Soma de ANDA-SOBRE-AGUA</t>
  </si>
  <si>
    <t>Soma de COMBATER-INIMIGOS-SOBRE-AGUA</t>
  </si>
  <si>
    <t>Soma de POTENCIAL-DESTRUIÇÃO-DE-MUROS</t>
  </si>
  <si>
    <t>Soma de POTENCIAL-DESTRUIÇÃO-DE-MOITAS</t>
  </si>
  <si>
    <t>Soma de POTENCIAL-DE-CRIACAO-DE-COVER</t>
  </si>
  <si>
    <t>Soma de VELOCIDADE-MOVIMENTO</t>
  </si>
  <si>
    <t>Soma de FORÇA-ATK-SURP</t>
  </si>
  <si>
    <t>Soma de FREQUÊNCIA-GERAÇÃO-DE-PETS</t>
  </si>
  <si>
    <t>Soma de ACÚMULO-PETS</t>
  </si>
  <si>
    <t>Soma de VIDA-DETERIORÁVEL-PETS</t>
  </si>
  <si>
    <t>Soma de RESISTÊNCIA-PETS</t>
  </si>
  <si>
    <t>Soma de DANO-PETS</t>
  </si>
  <si>
    <t>Soma de ALCANCE-PETS</t>
  </si>
  <si>
    <t>Soma de VELOCIDADE-PETS</t>
  </si>
  <si>
    <t>Soma de PROXIMIDADE-PETS</t>
  </si>
  <si>
    <t>Soma de DANO-AUMENTADO-QUANDO-AGRUPADO</t>
  </si>
  <si>
    <t>Soma de CISCUNSTANCIABILIDADE</t>
  </si>
  <si>
    <t>Soma de HP-SUPORTE</t>
  </si>
  <si>
    <t>Soma de CIRCUNSTANCIABILIDADE</t>
  </si>
  <si>
    <t>Soma de CIRCUSNTANCIABILIDADE</t>
  </si>
  <si>
    <t>Soma de HP-ENFRAQUECIMENTO</t>
  </si>
  <si>
    <t>Soma de ESCUDO-SUPORTE</t>
  </si>
  <si>
    <t>Soma de DANO-SUPORTE</t>
  </si>
  <si>
    <t>Soma de DANO-ENFRAQUECIMENTO</t>
  </si>
  <si>
    <t>Soma de SPEED-SUPORTE</t>
  </si>
  <si>
    <t>Soma de INVISIBILIDADE-SUPORTE</t>
  </si>
  <si>
    <t>Soma de POSICIONAMENTO-SUPORTE</t>
  </si>
  <si>
    <t>Soma de VENENO-DEBUFF</t>
  </si>
  <si>
    <t>Soma de COUNTER-VENENO-DEBUFF</t>
  </si>
  <si>
    <t>Soma de STUN-DEBUFF</t>
  </si>
  <si>
    <t>Soma de COUNTER-STUN-DEBUFF</t>
  </si>
  <si>
    <t>Soma de LENTIDAO-DEBUFF</t>
  </si>
  <si>
    <t>Soma de COUNTER-LENTIDAO-DEBUFF</t>
  </si>
  <si>
    <t>Soma de BLOQUEIO-DE-INIMIGOS</t>
  </si>
  <si>
    <t>Soma de CANCELAMENTO-ATAQUES</t>
  </si>
  <si>
    <t>Soma de COUNTER-CANCELAMENTO-ATAQUES</t>
  </si>
  <si>
    <t>Contagem de ESPAÇO</t>
  </si>
  <si>
    <t>Contagem de ESPAÇO2</t>
  </si>
  <si>
    <t>Contagem de ESPAÇO3</t>
  </si>
  <si>
    <t>Contagem de ESPAÇO4</t>
  </si>
  <si>
    <t>Soma de CURTO-ALCANCE-5-SEC-DANO-TOTAL-1-SUPER</t>
  </si>
  <si>
    <t>Soma de MEDIO-ALCANCE-5-SEC-DANO-TOTAL-1-SUPER</t>
  </si>
  <si>
    <t>Soma de LONGO-ALCANCE-5-SEC-DANO-TOTAL-1-SUPER</t>
  </si>
  <si>
    <t>Soma de MT-LONGO-ALCANCE-5-SEC-DANO-TOTAL-1-SUPER</t>
  </si>
  <si>
    <t>Soma de CURTO-ALCANCE-5-SEC-DANO-MEDIO</t>
  </si>
  <si>
    <t>Soma de MEDIO-ALCANCE-5-SEC-DANO-MEDIO</t>
  </si>
  <si>
    <t>Soma de LONGO-ALCANCE-5-SEC-DANO-MEDIO</t>
  </si>
  <si>
    <t>Soma de MT-LONGO-ALCANCE-5-SEC-DANO-MEDIO</t>
  </si>
  <si>
    <t>Soma de CURTO-ALCANCE-DANO-RESISTENCIA</t>
  </si>
  <si>
    <t>Soma de MEDIO-ALCANCE-DANO-RESISTENCIA</t>
  </si>
  <si>
    <t>Soma de LONGO-ALCANCE-DANO-RESISTENCIA</t>
  </si>
  <si>
    <t>Soma de MT-LONGO-ALCANCE-DANO-RESISTENCIA</t>
  </si>
  <si>
    <t>Soma de CURTO-ALCANCE-ATK-SURPRESA</t>
  </si>
  <si>
    <t>Soma de MEDIO-ALCANCE-ATK-SURPRESA</t>
  </si>
  <si>
    <t>Soma de LONGO-ALCANCE-ATK-SURPRESA</t>
  </si>
  <si>
    <t>Soma de MT-LONGO-ALCANCE-ATK-SURPRESA</t>
  </si>
  <si>
    <t>Soma de Controle-ativo-de-Área</t>
  </si>
  <si>
    <t>Soma de CONTROLE DE AREA</t>
  </si>
  <si>
    <t>Soma de DANO INDIRETO</t>
  </si>
  <si>
    <t>Soma de Geração multiplos pets</t>
  </si>
  <si>
    <t>Soma de Geração resistentes pets</t>
  </si>
  <si>
    <t>Soma de Punição-Agrupamento</t>
  </si>
  <si>
    <t>APROX</t>
  </si>
  <si>
    <t>name</t>
  </si>
  <si>
    <t>_necessary_projectiles_to_charge_super</t>
  </si>
  <si>
    <t>_necessary_supers_to_charge_hipercharge</t>
  </si>
  <si>
    <t>_projectile_damage</t>
  </si>
  <si>
    <t>_shots_per_five_seconds</t>
  </si>
  <si>
    <t>_average_projectiles_per_shot</t>
  </si>
  <si>
    <t>_projectiles_per_shot_in_short_range</t>
  </si>
  <si>
    <t>_projectiles_per_shot_in_medium_range</t>
  </si>
  <si>
    <t>_projectiles_per_shot_in_long_range</t>
  </si>
  <si>
    <t>_projectiles_per_shot_in_very_long_range</t>
  </si>
  <si>
    <t>_shotting_time</t>
  </si>
  <si>
    <t>_auto_charge_super</t>
  </si>
  <si>
    <t>super_damage_in_short_range</t>
  </si>
  <si>
    <t>super_damage_in_medium_range</t>
  </si>
  <si>
    <t>super_damage_in_long_range</t>
  </si>
  <si>
    <t>super_damage_in_very_long_range</t>
  </si>
  <si>
    <t>average_super_damage</t>
  </si>
  <si>
    <t>_super_time</t>
  </si>
  <si>
    <t>ocasional_damage</t>
  </si>
  <si>
    <t>_durability</t>
  </si>
  <si>
    <t>_attack_distance</t>
  </si>
  <si>
    <t>retreat_button</t>
  </si>
  <si>
    <t>wide_attack</t>
  </si>
  <si>
    <t>_indirect_damage_efficiency</t>
  </si>
  <si>
    <t>area_denial</t>
  </si>
  <si>
    <t>enemy_position_manipulation</t>
  </si>
  <si>
    <t>water_walking</t>
  </si>
  <si>
    <t>counter_water_walking</t>
  </si>
  <si>
    <t>wall_break_efficiency</t>
  </si>
  <si>
    <t>grass_break_efficiency</t>
  </si>
  <si>
    <t>cover_creation_efficiency</t>
  </si>
  <si>
    <t>_movement_speed</t>
  </si>
  <si>
    <t>_surprise_attack_power</t>
  </si>
  <si>
    <t>_surprise_attack</t>
  </si>
  <si>
    <t>_frequency_of_pets_generation</t>
  </si>
  <si>
    <t>_accumulation_of_pets</t>
  </si>
  <si>
    <t>_deteriorability_of_pets</t>
  </si>
  <si>
    <t>_pets_resistence</t>
  </si>
  <si>
    <t>_pets_damage</t>
  </si>
  <si>
    <t>_pets_range</t>
  </si>
  <si>
    <t>_pets_speed</t>
  </si>
  <si>
    <t>_pets_proximity</t>
  </si>
  <si>
    <t>_increased_damage_when_grouped</t>
  </si>
  <si>
    <t>grass_vision</t>
  </si>
  <si>
    <t>circumstantiality_of_overall_proficiency</t>
  </si>
  <si>
    <t>heal_buffing</t>
  </si>
  <si>
    <t>counter_heal_buffing</t>
  </si>
  <si>
    <t>shield_buffing</t>
  </si>
  <si>
    <t>damage_buffing</t>
  </si>
  <si>
    <t>counter_damage_buffing</t>
  </si>
  <si>
    <t>speed_buffing</t>
  </si>
  <si>
    <t>invisibility_buffing</t>
  </si>
  <si>
    <t>positioning_buffing</t>
  </si>
  <si>
    <t>poison_debuffing</t>
  </si>
  <si>
    <t>counter_poison_debuffing</t>
  </si>
  <si>
    <t>stun_debuffing</t>
  </si>
  <si>
    <t>counter_stun_debuffing</t>
  </si>
  <si>
    <t>slowness_debuffing</t>
  </si>
  <si>
    <t>counter_slowness_debuffing</t>
  </si>
  <si>
    <t>attacks_canceling</t>
  </si>
  <si>
    <t>counter_attacks_canceling</t>
  </si>
  <si>
    <t>block_enemies</t>
  </si>
  <si>
    <t>object_burst_damage_in_short_range</t>
  </si>
  <si>
    <t>object_burst_damage_in_medium_range</t>
  </si>
  <si>
    <t>object_burst_damage_in_long_range</t>
  </si>
  <si>
    <t>object_burst_damage_in_very_long_range</t>
  </si>
  <si>
    <t>usual_burst_damage_in_short_range</t>
  </si>
  <si>
    <t>usual_burst_damage_in_medium_range</t>
  </si>
  <si>
    <t>usual_burst_damage_in_long_range</t>
  </si>
  <si>
    <t>usual_burst_damage_in_very_long_range</t>
  </si>
  <si>
    <t>balance_between_damage_and_durability_in_short_range</t>
  </si>
  <si>
    <t>balance_between_damage_and_durability_in_medium_range</t>
  </si>
  <si>
    <t>balance_between_damage_and_durability_in_long_range</t>
  </si>
  <si>
    <t>balance_between_damage_and_durability_in_very_long_range</t>
  </si>
  <si>
    <t>surprise_attack_power_in_short_range</t>
  </si>
  <si>
    <t>surprise_attack_power_in_medium_range</t>
  </si>
  <si>
    <t>surprise_attack_power_in_long_range</t>
  </si>
  <si>
    <t>surprise_attack_power_in_very_long_range</t>
  </si>
  <si>
    <t>easy_approach</t>
  </si>
  <si>
    <t>pressure</t>
  </si>
  <si>
    <t>area_control</t>
  </si>
  <si>
    <t>indirect_damage</t>
  </si>
  <si>
    <t>multiple_pets_generation</t>
  </si>
  <si>
    <t>durable_pets_generation</t>
  </si>
  <si>
    <t>groupment_punishment</t>
  </si>
  <si>
    <t>primary_class</t>
  </si>
  <si>
    <t>secondary_class</t>
  </si>
  <si>
    <t>C</t>
  </si>
  <si>
    <t>-</t>
  </si>
  <si>
    <t>FRACO SE INIMIGOS POSSUEM OU SE INIMIGOS NÃO POSSUEM</t>
  </si>
  <si>
    <t>SINERGIAS</t>
  </si>
  <si>
    <t>QUANT MENÇÕES</t>
  </si>
  <si>
    <t>freq-based</t>
  </si>
  <si>
    <t>additional_power_name</t>
  </si>
  <si>
    <t>RECARGA-DO-ACESSÓRIO</t>
  </si>
  <si>
    <t>WARPIN' TIME</t>
  </si>
  <si>
    <t>STINGING FLIGHT</t>
  </si>
  <si>
    <t>MULTIBALL LAUNCHER</t>
  </si>
  <si>
    <t>POPPING PINCUSHION</t>
  </si>
  <si>
    <t>CLONE PROJECTOR</t>
  </si>
  <si>
    <t>SPRING EJECTOR</t>
  </si>
  <si>
    <t>FAST FORWARD</t>
  </si>
  <si>
    <t>TUNING FORK</t>
  </si>
  <si>
    <t>FRIENDSHIP IS GREAT</t>
  </si>
  <si>
    <t>ACTIVE NOISE CANCELING</t>
  </si>
  <si>
    <t>SLEEP STIMULATOR</t>
  </si>
  <si>
    <t>PNEUMATIC BOOSTER</t>
  </si>
  <si>
    <t>SALTY BARREL</t>
  </si>
  <si>
    <t>COMBO SPINNER</t>
  </si>
  <si>
    <t>VOODOO CHILE</t>
  </si>
  <si>
    <t>GOTTA GO</t>
  </si>
  <si>
    <t>PHASE SHIFTER</t>
  </si>
  <si>
    <t>FREQUENCIA:</t>
  </si>
  <si>
    <t>: 1p/5s</t>
  </si>
  <si>
    <t>RETURN TO SENDER</t>
  </si>
  <si>
    <t>MASTER FLETCHER</t>
  </si>
  <si>
    <t>BOUNCY CASTLE</t>
  </si>
  <si>
    <t>LIFE PLANT</t>
  </si>
  <si>
    <t>LOLLIPOP DROP</t>
  </si>
  <si>
    <t>TWISTER</t>
  </si>
  <si>
    <t>CLAY PIGEONS</t>
  </si>
  <si>
    <t>PROTECTIVE TUNES</t>
  </si>
  <si>
    <t>HEALTHY ADDITIVES</t>
  </si>
  <si>
    <t>IRRESISTIBLE ATRACTION</t>
  </si>
  <si>
    <t>SWEET DREAMS</t>
  </si>
  <si>
    <t>REBUILD</t>
  </si>
  <si>
    <t>TRUSTY SPYGLASS</t>
  </si>
  <si>
    <t>CREATURE OF THE NIGHT</t>
  </si>
  <si>
    <t>ELEMENTALIST</t>
  </si>
  <si>
    <t>MOTHERLY LOVE</t>
  </si>
  <si>
    <t>SNEAKY SNEAKERS</t>
  </si>
  <si>
    <t>PESO DIVISOR</t>
  </si>
  <si>
    <t>AUTOFOCUS</t>
  </si>
  <si>
    <t>EMPOWER</t>
  </si>
  <si>
    <t>SUPER BOUNCY</t>
  </si>
  <si>
    <t>FERTILIZE</t>
  </si>
  <si>
    <t>SMOKE TRAILS</t>
  </si>
  <si>
    <t>BLUSTERY BLOW</t>
  </si>
  <si>
    <t>SHELL SHOCK</t>
  </si>
  <si>
    <t>DA CAPO</t>
  </si>
  <si>
    <t>FLOOR IS FINE</t>
  </si>
  <si>
    <t>POWER GRAB</t>
  </si>
  <si>
    <t>RUDE SANDS</t>
  </si>
  <si>
    <t>COUNTER CRUSH</t>
  </si>
  <si>
    <t>HEAVY COFFERS</t>
  </si>
  <si>
    <t>CREEPY HARVEST</t>
  </si>
  <si>
    <t>GUARDED GRIS-GRIS</t>
  </si>
  <si>
    <t>UNNATURAL ORDER</t>
  </si>
  <si>
    <t>SUPER CHARGED</t>
  </si>
  <si>
    <t>PASSIVA/TIRO PADRÃO:</t>
  </si>
  <si>
    <t>peso 1</t>
  </si>
  <si>
    <t>RELACIONADA À SUPER:</t>
  </si>
  <si>
    <t>projeteis p/super / média projeteis</t>
  </si>
  <si>
    <t>TEMPERED STEEL</t>
  </si>
  <si>
    <t>FLOW</t>
  </si>
  <si>
    <t>ROBO RETREAT</t>
  </si>
  <si>
    <t>CURVEBALL</t>
  </si>
  <si>
    <t>INVISIHEAL</t>
  </si>
  <si>
    <t>FREEZING SNOW</t>
  </si>
  <si>
    <t>BAND-AID</t>
  </si>
  <si>
    <t>SCREECHING SOLO</t>
  </si>
  <si>
    <t>MAKING A MESS</t>
  </si>
  <si>
    <t>SPONGE</t>
  </si>
  <si>
    <t>HEALING WINDS</t>
  </si>
  <si>
    <t>HARDY HARD HAT</t>
  </si>
  <si>
    <t>MASTER BLASTER</t>
  </si>
  <si>
    <t>COILED SNAKE</t>
  </si>
  <si>
    <t>NUMBING NEEDLES</t>
  </si>
  <si>
    <t>HAPPY SURPRISE</t>
  </si>
  <si>
    <t>RUN N GUN</t>
  </si>
  <si>
    <t>BIG PEEP</t>
  </si>
  <si>
    <t>IN MY ELEMENT</t>
  </si>
  <si>
    <t>TRICK SHOT KING</t>
  </si>
  <si>
    <t>BLOOMING SEASON</t>
  </si>
  <si>
    <t>LIMBO</t>
  </si>
  <si>
    <t>BLIZZARD</t>
  </si>
  <si>
    <t>DOUBLE BARREL</t>
  </si>
  <si>
    <t>MEDIC'S MELODY</t>
  </si>
  <si>
    <t>DOUBLE SCOOPS</t>
  </si>
  <si>
    <t>SEISMIC SMASH</t>
  </si>
  <si>
    <t>SWIFT WINDS</t>
  </si>
  <si>
    <t>SEISMIC EVENT</t>
  </si>
  <si>
    <t>NEW LOBBER</t>
  </si>
  <si>
    <t>BLOOD BOOMERANG</t>
  </si>
  <si>
    <t>BOKOR</t>
  </si>
  <si>
    <t>GENERATIONS</t>
  </si>
  <si>
    <t>UNLIMITED ENERGY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</si>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</sst>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nsolas"/>
      <charset val="1"/>
    </font>
    <font>
      <sz val="11"/>
      <color theme="1"/>
      <name val="Consolas"/>
    </font>
    <font>
      <sz val="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Consolas"/>
      <charset val="1"/>
    </font>
    <font>
      <u val="double"/>
      <sz val="12"/>
      <color theme="1"/>
      <name val="Comic Sans MS"/>
    </font>
    <font>
      <sz val="10"/>
      <color theme="0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309"/>
        <bgColor indexed="64"/>
      </patternFill>
    </fill>
    <fill>
      <patternFill patternType="solid">
        <fgColor rgb="FF0061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/>
    <xf numFmtId="0" fontId="2" fillId="4" borderId="1" xfId="0" applyFont="1" applyFill="1" applyBorder="1"/>
    <xf numFmtId="0" fontId="0" fillId="0" borderId="0" xfId="0" applyFont="1"/>
    <xf numFmtId="0" fontId="0" fillId="2" borderId="1" xfId="0" applyFont="1" applyFill="1" applyBorder="1"/>
    <xf numFmtId="0" fontId="4" fillId="0" borderId="0" xfId="0" applyFont="1"/>
    <xf numFmtId="0" fontId="3" fillId="0" borderId="0" xfId="0" applyFont="1"/>
    <xf numFmtId="0" fontId="2" fillId="5" borderId="2" xfId="0" applyFont="1" applyFill="1" applyBorder="1"/>
    <xf numFmtId="0" fontId="2" fillId="6" borderId="1" xfId="0" applyFont="1" applyFill="1" applyBorder="1"/>
    <xf numFmtId="0" fontId="0" fillId="7" borderId="1" xfId="0" applyFont="1" applyFill="1" applyBorder="1"/>
    <xf numFmtId="0" fontId="3" fillId="3" borderId="2" xfId="0" applyFont="1" applyFill="1" applyBorder="1"/>
    <xf numFmtId="0" fontId="0" fillId="3" borderId="2" xfId="0" applyFont="1" applyFill="1" applyBorder="1"/>
    <xf numFmtId="2" fontId="0" fillId="0" borderId="0" xfId="0" applyNumberFormat="1" applyFont="1"/>
    <xf numFmtId="2" fontId="2" fillId="6" borderId="1" xfId="0" applyNumberFormat="1" applyFont="1" applyFill="1" applyBorder="1"/>
    <xf numFmtId="2" fontId="0" fillId="7" borderId="1" xfId="0" applyNumberFormat="1" applyFont="1" applyFill="1" applyBorder="1"/>
    <xf numFmtId="2" fontId="5" fillId="0" borderId="0" xfId="0" applyNumberFormat="1" applyFont="1" applyAlignment="1">
      <alignment vertical="center" wrapText="1"/>
    </xf>
    <xf numFmtId="0" fontId="0" fillId="0" borderId="0" xfId="0" pivotButton="1"/>
    <xf numFmtId="2" fontId="0" fillId="0" borderId="0" xfId="0" applyNumberFormat="1"/>
    <xf numFmtId="0" fontId="0" fillId="0" borderId="0" xfId="0" applyNumberFormat="1"/>
    <xf numFmtId="0" fontId="5" fillId="0" borderId="0" xfId="0" applyFont="1" applyAlignment="1">
      <alignment vertical="center" wrapText="1"/>
    </xf>
    <xf numFmtId="0" fontId="2" fillId="8" borderId="2" xfId="0" applyFont="1" applyFill="1" applyBorder="1"/>
    <xf numFmtId="0" fontId="0" fillId="9" borderId="2" xfId="0" applyFont="1" applyFill="1" applyBorder="1"/>
    <xf numFmtId="0" fontId="3" fillId="9" borderId="2" xfId="0" applyFont="1" applyFill="1" applyBorder="1"/>
    <xf numFmtId="1" fontId="0" fillId="7" borderId="1" xfId="0" applyNumberFormat="1" applyFont="1" applyFill="1" applyBorder="1"/>
    <xf numFmtId="0" fontId="0" fillId="0" borderId="0" xfId="0" applyAlignment="1"/>
    <xf numFmtId="0" fontId="2" fillId="6" borderId="2" xfId="0" applyFont="1" applyFill="1" applyBorder="1"/>
    <xf numFmtId="0" fontId="2" fillId="8" borderId="1" xfId="0" applyFont="1" applyFill="1" applyBorder="1"/>
    <xf numFmtId="0" fontId="0" fillId="9" borderId="1" xfId="0" applyFont="1" applyFill="1" applyBorder="1"/>
    <xf numFmtId="0" fontId="2" fillId="0" borderId="0" xfId="0" applyFont="1"/>
    <xf numFmtId="1" fontId="6" fillId="2" borderId="1" xfId="0" applyNumberFormat="1" applyFont="1" applyFill="1" applyBorder="1"/>
    <xf numFmtId="164" fontId="6" fillId="3" borderId="2" xfId="0" applyNumberFormat="1" applyFont="1" applyFill="1" applyBorder="1"/>
    <xf numFmtId="0" fontId="6" fillId="9" borderId="2" xfId="0" applyFont="1" applyFill="1" applyBorder="1"/>
    <xf numFmtId="164" fontId="6" fillId="9" borderId="1" xfId="0" applyNumberFormat="1" applyFont="1" applyFill="1" applyBorder="1"/>
    <xf numFmtId="0" fontId="6" fillId="9" borderId="1" xfId="0" applyFont="1" applyFill="1" applyBorder="1"/>
    <xf numFmtId="1" fontId="6" fillId="9" borderId="1" xfId="0" applyNumberFormat="1" applyFont="1" applyFill="1" applyBorder="1"/>
    <xf numFmtId="0" fontId="6" fillId="0" borderId="0" xfId="0" applyFont="1"/>
    <xf numFmtId="1" fontId="7" fillId="7" borderId="2" xfId="0" applyNumberFormat="1" applyFont="1" applyFill="1" applyBorder="1"/>
    <xf numFmtId="164" fontId="8" fillId="3" borderId="2" xfId="0" applyNumberFormat="1" applyFont="1" applyFill="1" applyBorder="1"/>
    <xf numFmtId="0" fontId="8" fillId="9" borderId="2" xfId="0" applyFont="1" applyFill="1" applyBorder="1"/>
    <xf numFmtId="0" fontId="6" fillId="10" borderId="1" xfId="0" applyFont="1" applyFill="1" applyBorder="1"/>
    <xf numFmtId="0" fontId="2" fillId="6" borderId="3" xfId="0" applyFont="1" applyFill="1" applyBorder="1"/>
    <xf numFmtId="2" fontId="0" fillId="7" borderId="3" xfId="0" applyNumberFormat="1" applyFont="1" applyFill="1" applyBorder="1"/>
    <xf numFmtId="2" fontId="0" fillId="7" borderId="2" xfId="0" applyNumberFormat="1" applyFont="1" applyFill="1" applyBorder="1"/>
    <xf numFmtId="0" fontId="2" fillId="5" borderId="1" xfId="0" applyFont="1" applyFill="1" applyBorder="1"/>
    <xf numFmtId="0" fontId="6" fillId="11" borderId="1" xfId="0" applyFont="1" applyFill="1" applyBorder="1"/>
    <xf numFmtId="0" fontId="2" fillId="6" borderId="4" xfId="0" applyFont="1" applyFill="1" applyBorder="1"/>
    <xf numFmtId="1" fontId="7" fillId="7" borderId="4" xfId="0" applyNumberFormat="1" applyFont="1" applyFill="1" applyBorder="1"/>
    <xf numFmtId="2" fontId="6" fillId="7" borderId="1" xfId="0" applyNumberFormat="1" applyFont="1" applyFill="1" applyBorder="1"/>
    <xf numFmtId="2" fontId="6" fillId="7" borderId="3" xfId="0" applyNumberFormat="1" applyFont="1" applyFill="1" applyBorder="1"/>
    <xf numFmtId="0" fontId="2" fillId="5" borderId="4" xfId="0" applyFont="1" applyFill="1" applyBorder="1"/>
    <xf numFmtId="0" fontId="6" fillId="11" borderId="4" xfId="0" applyFont="1" applyFill="1" applyBorder="1"/>
    <xf numFmtId="0" fontId="6" fillId="11" borderId="2" xfId="0" applyFont="1" applyFill="1" applyBorder="1"/>
    <xf numFmtId="0" fontId="8" fillId="11" borderId="2" xfId="0" applyFont="1" applyFill="1" applyBorder="1"/>
    <xf numFmtId="0" fontId="2" fillId="12" borderId="2" xfId="0" applyFont="1" applyFill="1" applyBorder="1"/>
    <xf numFmtId="0" fontId="7" fillId="13" borderId="2" xfId="0" applyNumberFormat="1" applyFont="1" applyFill="1" applyBorder="1"/>
    <xf numFmtId="0" fontId="6" fillId="13" borderId="2" xfId="0" applyFont="1" applyFill="1" applyBorder="1"/>
    <xf numFmtId="0" fontId="8" fillId="13" borderId="2" xfId="0" applyFont="1" applyFill="1" applyBorder="1"/>
    <xf numFmtId="0" fontId="0" fillId="0" borderId="0" xfId="0" applyAlignment="1">
      <alignment wrapText="1"/>
    </xf>
    <xf numFmtId="164" fontId="7" fillId="7" borderId="2" xfId="0" applyNumberFormat="1" applyFont="1" applyFill="1" applyBorder="1"/>
    <xf numFmtId="164" fontId="7" fillId="13" borderId="2" xfId="0" applyNumberFormat="1" applyFont="1" applyFill="1" applyBorder="1"/>
    <xf numFmtId="164" fontId="6" fillId="13" borderId="2" xfId="0" applyNumberFormat="1" applyFont="1" applyFill="1" applyBorder="1"/>
    <xf numFmtId="164" fontId="6" fillId="9" borderId="2" xfId="0" applyNumberFormat="1" applyFont="1" applyFill="1" applyBorder="1"/>
    <xf numFmtId="164" fontId="0" fillId="9" borderId="1" xfId="0" applyNumberFormat="1" applyFont="1" applyFill="1" applyBorder="1"/>
    <xf numFmtId="164" fontId="6" fillId="11" borderId="1" xfId="0" applyNumberFormat="1" applyFont="1" applyFill="1" applyBorder="1"/>
    <xf numFmtId="164" fontId="6" fillId="11" borderId="2" xfId="0" applyNumberFormat="1" applyFont="1" applyFill="1" applyBorder="1"/>
    <xf numFmtId="164" fontId="6" fillId="11" borderId="4" xfId="0" applyNumberFormat="1" applyFont="1" applyFill="1" applyBorder="1"/>
    <xf numFmtId="164" fontId="7" fillId="7" borderId="4" xfId="0" applyNumberFormat="1" applyFont="1" applyFill="1" applyBorder="1"/>
    <xf numFmtId="164" fontId="6" fillId="10" borderId="1" xfId="0" applyNumberFormat="1" applyFont="1" applyFill="1" applyBorder="1"/>
    <xf numFmtId="164" fontId="0" fillId="7" borderId="1" xfId="0" applyNumberFormat="1" applyFont="1" applyFill="1" applyBorder="1"/>
    <xf numFmtId="164" fontId="0" fillId="7" borderId="2" xfId="0" applyNumberFormat="1" applyFont="1" applyFill="1" applyBorder="1"/>
    <xf numFmtId="164" fontId="6" fillId="7" borderId="1" xfId="0" applyNumberFormat="1" applyFont="1" applyFill="1" applyBorder="1"/>
    <xf numFmtId="164" fontId="6" fillId="7" borderId="3" xfId="0" applyNumberFormat="1" applyFont="1" applyFill="1" applyBorder="1"/>
    <xf numFmtId="164" fontId="0" fillId="7" borderId="3" xfId="0" applyNumberFormat="1" applyFont="1" applyFill="1" applyBorder="1"/>
    <xf numFmtId="164" fontId="8" fillId="9" borderId="2" xfId="0" applyNumberFormat="1" applyFont="1" applyFill="1" applyBorder="1"/>
    <xf numFmtId="164" fontId="8" fillId="11" borderId="2" xfId="0" applyNumberFormat="1" applyFont="1" applyFill="1" applyBorder="1"/>
    <xf numFmtId="164" fontId="8" fillId="13" borderId="2" xfId="0" applyNumberFormat="1" applyFont="1" applyFill="1" applyBorder="1"/>
    <xf numFmtId="0" fontId="0" fillId="4" borderId="0" xfId="0" applyFill="1"/>
    <xf numFmtId="0" fontId="6" fillId="10" borderId="1" xfId="0" applyNumberFormat="1" applyFont="1" applyFill="1" applyBorder="1"/>
    <xf numFmtId="0" fontId="0" fillId="10" borderId="1" xfId="0" applyNumberFormat="1" applyFont="1" applyFill="1" applyBorder="1"/>
    <xf numFmtId="164" fontId="7" fillId="14" borderId="1" xfId="0" applyNumberFormat="1" applyFont="1" applyFill="1" applyBorder="1"/>
    <xf numFmtId="164" fontId="7" fillId="10" borderId="1" xfId="0" applyNumberFormat="1" applyFont="1" applyFill="1" applyBorder="1"/>
    <xf numFmtId="164" fontId="8" fillId="10" borderId="1" xfId="0" applyNumberFormat="1" applyFont="1" applyFill="1" applyBorder="1"/>
    <xf numFmtId="0" fontId="0" fillId="10" borderId="1" xfId="0" applyFont="1" applyFill="1" applyBorder="1"/>
    <xf numFmtId="0" fontId="0" fillId="10" borderId="0" xfId="0" applyFill="1" applyAlignment="1">
      <alignment horizontal="center" wrapText="1"/>
    </xf>
    <xf numFmtId="0" fontId="0" fillId="10" borderId="0" xfId="0" applyFill="1"/>
    <xf numFmtId="0" fontId="0" fillId="8" borderId="0" xfId="0" applyFill="1"/>
    <xf numFmtId="0" fontId="6" fillId="15" borderId="1" xfId="0" applyNumberFormat="1" applyFont="1" applyFill="1" applyBorder="1"/>
    <xf numFmtId="164" fontId="6" fillId="15" borderId="1" xfId="0" applyNumberFormat="1" applyFont="1" applyFill="1" applyBorder="1"/>
    <xf numFmtId="164" fontId="8" fillId="15" borderId="1" xfId="0" applyNumberFormat="1" applyFont="1" applyFill="1" applyBorder="1"/>
    <xf numFmtId="0" fontId="0" fillId="15" borderId="1" xfId="0" applyNumberFormat="1" applyFont="1" applyFill="1" applyBorder="1"/>
    <xf numFmtId="0" fontId="0" fillId="15" borderId="1" xfId="0" applyFont="1" applyFill="1" applyBorder="1"/>
    <xf numFmtId="164" fontId="7" fillId="9" borderId="1" xfId="0" applyNumberFormat="1" applyFont="1" applyFill="1" applyBorder="1"/>
    <xf numFmtId="164" fontId="7" fillId="15" borderId="1" xfId="0" applyNumberFormat="1" applyFont="1" applyFill="1" applyBorder="1"/>
    <xf numFmtId="0" fontId="0" fillId="6" borderId="0" xfId="0" applyFill="1" applyAlignment="1">
      <alignment horizontal="center" wrapText="1"/>
    </xf>
    <xf numFmtId="0" fontId="0" fillId="6" borderId="0" xfId="0" applyFill="1"/>
    <xf numFmtId="0" fontId="2" fillId="16" borderId="1" xfId="0" applyFont="1" applyFill="1" applyBorder="1"/>
    <xf numFmtId="0" fontId="0" fillId="16" borderId="0" xfId="0" applyFill="1"/>
    <xf numFmtId="0" fontId="6" fillId="7" borderId="1" xfId="0" applyNumberFormat="1" applyFont="1" applyFill="1" applyBorder="1"/>
    <xf numFmtId="164" fontId="8" fillId="7" borderId="1" xfId="0" applyNumberFormat="1" applyFont="1" applyFill="1" applyBorder="1"/>
    <xf numFmtId="0" fontId="0" fillId="7" borderId="1" xfId="0" applyNumberFormat="1" applyFont="1" applyFill="1" applyBorder="1"/>
    <xf numFmtId="164" fontId="7" fillId="17" borderId="1" xfId="0" applyNumberFormat="1" applyFont="1" applyFill="1" applyBorder="1"/>
    <xf numFmtId="164" fontId="7" fillId="7" borderId="1" xfId="0" applyNumberFormat="1" applyFont="1" applyFill="1" applyBorder="1"/>
    <xf numFmtId="2" fontId="7" fillId="15" borderId="1" xfId="0" applyNumberFormat="1" applyFont="1" applyFill="1" applyBorder="1"/>
    <xf numFmtId="2" fontId="7" fillId="7" borderId="1" xfId="0" applyNumberFormat="1" applyFont="1" applyFill="1" applyBorder="1"/>
    <xf numFmtId="164" fontId="9" fillId="0" borderId="0" xfId="0" applyNumberFormat="1" applyFont="1" applyAlignment="1">
      <alignment vertical="center"/>
    </xf>
    <xf numFmtId="164" fontId="9" fillId="0" borderId="0" xfId="0" pivotButton="1" applyNumberFormat="1" applyFont="1" applyAlignment="1">
      <alignment vertical="center"/>
    </xf>
    <xf numFmtId="164" fontId="9" fillId="0" borderId="0" xfId="0" applyNumberFormat="1" applyFont="1" applyBorder="1" applyAlignment="1">
      <alignment horizontal="right" vertical="center"/>
    </xf>
    <xf numFmtId="0" fontId="2" fillId="18" borderId="1" xfId="0" applyFont="1" applyFill="1" applyBorder="1"/>
    <xf numFmtId="2" fontId="2" fillId="18" borderId="1" xfId="0" applyNumberFormat="1" applyFont="1" applyFill="1" applyBorder="1"/>
    <xf numFmtId="0" fontId="2" fillId="20" borderId="1" xfId="0" applyFont="1" applyFill="1" applyBorder="1"/>
    <xf numFmtId="164" fontId="2" fillId="20" borderId="1" xfId="0" applyNumberFormat="1" applyFont="1" applyFill="1" applyBorder="1"/>
    <xf numFmtId="2" fontId="2" fillId="20" borderId="1" xfId="0" applyNumberFormat="1" applyFont="1" applyFill="1" applyBorder="1"/>
    <xf numFmtId="0" fontId="2" fillId="22" borderId="1" xfId="0" applyFont="1" applyFill="1" applyBorder="1"/>
    <xf numFmtId="2" fontId="2" fillId="22" borderId="1" xfId="0" applyNumberFormat="1" applyFont="1" applyFill="1" applyBorder="1"/>
    <xf numFmtId="0" fontId="2" fillId="22" borderId="3" xfId="0" applyFont="1" applyFill="1" applyBorder="1"/>
    <xf numFmtId="164" fontId="2" fillId="22" borderId="3" xfId="0" applyNumberFormat="1" applyFont="1" applyFill="1" applyBorder="1"/>
    <xf numFmtId="0" fontId="2" fillId="4" borderId="2" xfId="0" applyFont="1" applyFill="1" applyBorder="1"/>
    <xf numFmtId="0" fontId="2" fillId="4" borderId="4" xfId="0" applyFont="1" applyFill="1" applyBorder="1"/>
    <xf numFmtId="0" fontId="2" fillId="16" borderId="2" xfId="0" applyFont="1" applyFill="1" applyBorder="1"/>
    <xf numFmtId="0" fontId="2" fillId="16" borderId="4" xfId="0" applyFont="1" applyFill="1" applyBorder="1"/>
    <xf numFmtId="0" fontId="2" fillId="8" borderId="4" xfId="0" applyFont="1" applyFill="1" applyBorder="1"/>
    <xf numFmtId="2" fontId="7" fillId="10" borderId="1" xfId="0" applyNumberFormat="1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 wrapText="1"/>
    </xf>
    <xf numFmtId="0" fontId="2" fillId="16" borderId="0" xfId="0" applyFont="1" applyFill="1" applyAlignment="1">
      <alignment horizontal="center" wrapText="1"/>
    </xf>
    <xf numFmtId="0" fontId="2" fillId="16" borderId="0" xfId="0" applyFont="1" applyFill="1"/>
    <xf numFmtId="0" fontId="2" fillId="8" borderId="0" xfId="0" applyFont="1" applyFill="1" applyAlignment="1">
      <alignment horizontal="center" wrapText="1"/>
    </xf>
    <xf numFmtId="0" fontId="2" fillId="8" borderId="0" xfId="0" applyFont="1" applyFill="1"/>
    <xf numFmtId="0" fontId="10" fillId="19" borderId="1" xfId="0" applyFont="1" applyFill="1" applyBorder="1" applyAlignment="1">
      <alignment horizontal="center" vertical="center" wrapText="1"/>
    </xf>
    <xf numFmtId="0" fontId="10" fillId="21" borderId="1" xfId="0" applyFont="1" applyFill="1" applyBorder="1" applyAlignment="1">
      <alignment horizontal="center" vertical="center"/>
    </xf>
    <xf numFmtId="0" fontId="10" fillId="23" borderId="5" xfId="0" applyFont="1" applyFill="1" applyBorder="1" applyAlignment="1">
      <alignment horizontal="center" wrapText="1"/>
    </xf>
    <xf numFmtId="0" fontId="10" fillId="23" borderId="0" xfId="0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518">
    <dxf>
      <font>
        <color theme="0"/>
      </font>
      <fill>
        <patternFill patternType="solid">
          <bgColor theme="5" tint="-0.499984740745262"/>
        </patternFill>
      </fill>
    </dxf>
    <dxf>
      <font>
        <color theme="0"/>
      </font>
      <fill>
        <patternFill patternType="solid">
          <bgColor theme="5" tint="-0.499984740745262"/>
        </patternFill>
      </fill>
    </dxf>
    <dxf>
      <font>
        <color theme="0"/>
      </font>
      <fill>
        <patternFill patternType="solid">
          <bgColor theme="8" tint="-0.249977111117893"/>
        </patternFill>
      </fill>
    </dxf>
    <dxf>
      <font>
        <color theme="0"/>
      </font>
      <fill>
        <patternFill patternType="solid">
          <bgColor theme="8" tint="-0.249977111117893"/>
        </patternFill>
      </fill>
    </dxf>
    <dxf>
      <font>
        <color theme="0"/>
      </font>
      <fill>
        <patternFill patternType="solid">
          <bgColor theme="8" tint="-0.249977111117893"/>
        </patternFill>
      </fill>
    </dxf>
    <dxf>
      <font>
        <color theme="0"/>
      </font>
      <fill>
        <patternFill patternType="solid">
          <bgColor theme="8" tint="-0.249977111117893"/>
        </patternFill>
      </fill>
    </dxf>
    <dxf>
      <font>
        <color theme="0"/>
      </font>
      <fill>
        <patternFill patternType="solid">
          <bgColor theme="8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2" tint="-0.249977111117893"/>
      </font>
      <fill>
        <patternFill patternType="solid">
          <bgColor theme="0"/>
        </patternFill>
      </fill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0.0"/>
    </dxf>
    <dxf>
      <alignment horizontal="right"/>
    </dxf>
    <dxf>
      <alignment relativeIndent="1"/>
    </dxf>
    <dxf>
      <alignment vertical="center"/>
    </dxf>
    <dxf>
      <font>
        <u val="double"/>
      </font>
    </dxf>
    <dxf>
      <border outline="0">
        <left/>
        <right/>
        <top/>
        <bottom/>
      </border>
    </dxf>
    <dxf>
      <font>
        <name val="Comic Sans MS"/>
      </font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name val="Comic Sans MS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font>
        <u val="double"/>
      </font>
    </dxf>
    <dxf>
      <alignment horizontal="left" relativeIndent="-1"/>
    </dxf>
    <dxf>
      <alignment horizontal="right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Medium9"/>
  <colors>
    <mruColors>
      <color rgb="FF00B309"/>
      <color rgb="FF006105"/>
      <color rgb="FF009608"/>
      <color rgb="FF00ED0C"/>
      <color rgb="FF04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nrique Ferreira Moreira" id="{B6012F0E-E5C6-4745-8A5E-4C6462E9C718}" userId="7046356e832b627c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4.81609270833" createdVersion="8" refreshedVersion="8" minRefreshableVersion="3" recordCount="18" xr:uid="{E4CE2CAC-815F-4F54-B6BF-0A45B2032A8B}">
  <cacheSource type="worksheet">
    <worksheetSource ref="B2:BL20" sheet="HIPERCARGA"/>
  </cacheSource>
  <cacheFields count="60">
    <cacheField name="NOME HIPERCARGA" numFmtId="0">
      <sharedItems count="18">
        <s v="BIG PEEP"/>
        <s v="IN MY ELEMENT"/>
        <s v="TRICK SHOT KING"/>
        <s v="BLOOMING SEASON"/>
        <s v="LIMBO"/>
        <s v="BLIZZARD"/>
        <s v="DOUBLE BARREL"/>
        <s v="MEDIC'S MELODY"/>
        <s v="DOUBLE SCOOPS"/>
        <s v="SEISMIC SMASH"/>
        <s v="SWIFT WINDS"/>
        <s v="SEISMIC EVENT"/>
        <s v="NEW LOBBER"/>
        <s v="BLOOD BOOMERANG"/>
        <s v="HEADSTRONG"/>
        <s v="BOKOR"/>
        <s v="GENERATIONS"/>
        <s v="UNLIMITED ENERGY"/>
      </sharedItems>
    </cacheField>
    <cacheField name="Nome Brawler" numFmtId="0">
      <sharedItems count="18">
        <s v="NANI"/>
        <s v="ANGELO"/>
        <s v="RICO"/>
        <s v="SPIKE"/>
        <s v="LEON"/>
        <s v="GALE"/>
        <s v="SHELLY"/>
        <s v="POCO"/>
        <s v="BERRY"/>
        <s v="FRANK"/>
        <s v="SANDY"/>
        <s v="JACKY"/>
        <s v="PENNY"/>
        <s v="MORTIS"/>
        <s v="TICK"/>
        <s v="JUJU"/>
        <s v="EVE"/>
        <s v="MAX"/>
      </sharedItems>
    </cacheField>
    <cacheField name="PROJETEIS-PARA-SUPER" numFmtId="164">
      <sharedItems containsSemiMixedTypes="0" containsString="0" containsNumber="1" containsInteger="1" minValue="0" maxValue="0"/>
    </cacheField>
    <cacheField name="SUPERS-PARA-HIPERCARGA" numFmtId="164">
      <sharedItems containsSemiMixedTypes="0" containsString="0" containsNumber="1" containsInteger="1" minValue="0" maxValue="0"/>
    </cacheField>
    <cacheField name="DANO-PROJETIL" numFmtId="164">
      <sharedItems containsSemiMixedTypes="0" containsString="0" containsNumber="1" minValue="7.5" maxValue="343.75"/>
    </cacheField>
    <cacheField name="TIROS-DADOS-EM-5-SEGUNDOS" numFmtId="164">
      <sharedItems containsSemiMixedTypes="0" containsString="0" containsNumber="1" containsInteger="1" minValue="0" maxValue="0"/>
    </cacheField>
    <cacheField name="MÉDIA-PROJETEIS-POR-TIRO" numFmtId="164">
      <sharedItems containsSemiMixedTypes="0" containsString="0" containsNumber="1" minValue="0" maxValue="0.92307692307692335"/>
    </cacheField>
    <cacheField name="CURTO-ALCANCE-QUANT-PROJETIL-MEDIO" numFmtId="164">
      <sharedItems containsSemiMixedTypes="0" containsString="0" containsNumber="1" minValue="0" maxValue="1.2307692307692308"/>
    </cacheField>
    <cacheField name="MEDIO-ALCANCE-QUANT-PROJETIL-MEDIO" numFmtId="164">
      <sharedItems containsSemiMixedTypes="0" containsString="0" containsNumber="1" minValue="0" maxValue="0.61538461538461542"/>
    </cacheField>
    <cacheField name="LONGO-ALCANCE-QUANT-PROJETIL-MEDIO" numFmtId="164">
      <sharedItems containsSemiMixedTypes="0" containsString="0" containsNumber="1" minValue="0" maxValue="0.46153846153846168"/>
    </cacheField>
    <cacheField name="MTLONGO-ALCANCE-QUANT-PROJETIL-MEDIO" numFmtId="164">
      <sharedItems containsSemiMixedTypes="0" containsString="0" containsNumber="1" minValue="0" maxValue="0.46451612903225792"/>
    </cacheField>
    <cacheField name="CARREGAMENTO-SUPER-AO-ACERTAR-EM-PROJETEIS" numFmtId="164">
      <sharedItems containsSemiMixedTypes="0" containsString="0" containsNumber="1" containsInteger="1" minValue="0" maxValue="0"/>
    </cacheField>
    <cacheField name="CURTO-ALCANCE-DANO-SUPER-MEDIO" numFmtId="164">
      <sharedItems containsSemiMixedTypes="0" containsString="0" containsNumber="1" minValue="0" maxValue="1800"/>
    </cacheField>
    <cacheField name="MEDIO-ALCANCE-DANO-SUPER-MEDIO" numFmtId="164">
      <sharedItems containsSemiMixedTypes="0" containsString="0" containsNumber="1" minValue="0" maxValue="1500"/>
    </cacheField>
    <cacheField name="LONGO-ALCANCE-DANO-SUPER-MEDIO" numFmtId="164">
      <sharedItems containsSemiMixedTypes="0" containsString="0" containsNumber="1" minValue="0" maxValue="3000"/>
    </cacheField>
    <cacheField name="MT-LONGO-ALCANCE-DANO-SUPER-MEDIO" numFmtId="164">
      <sharedItems containsSemiMixedTypes="0" containsString="0" containsNumber="1" minValue="0" maxValue="3000"/>
    </cacheField>
    <cacheField name="MÉDIA-DANO-POR-SUPER" numFmtId="164">
      <sharedItems containsSemiMixedTypes="0" containsString="0" containsNumber="1" minValue="0" maxValue="1632"/>
    </cacheField>
    <cacheField name="DANO-OCASIONAL" numFmtId="164">
      <sharedItems containsSemiMixedTypes="0" containsString="0" containsNumber="1" containsInteger="1" minValue="0" maxValue="0"/>
    </cacheField>
    <cacheField name="Durability" numFmtId="2">
      <sharedItems containsSemiMixedTypes="0" containsString="0" containsNumber="1" minValue="5.2521008403361158E-2" maxValue="0.14571428571428591"/>
    </cacheField>
    <cacheField name="Distância-Ataque" numFmtId="164">
      <sharedItems containsSemiMixedTypes="0" containsString="0" containsNumber="1" minValue="0" maxValue="0.88888888888888928"/>
    </cacheField>
    <cacheField name="Botão-de-Fuga" numFmtId="164">
      <sharedItems containsSemiMixedTypes="0" containsString="0" containsNumber="1" minValue="0" maxValue="1.2000000000000002"/>
    </cacheField>
    <cacheField name="Ataque-amplo" numFmtId="164">
      <sharedItems containsSemiMixedTypes="0" containsString="0" containsNumber="1" minValue="0" maxValue="0.59999999999999964"/>
    </cacheField>
    <cacheField name="FREQUENCIA-DANO-INDIRETO" numFmtId="164">
      <sharedItems containsSemiMixedTypes="0" containsString="0" containsNumber="1" minValue="0" maxValue="0.88888888888888884"/>
    </cacheField>
    <cacheField name="NEGACAO-DE-AREA" numFmtId="164">
      <sharedItems containsSemiMixedTypes="0" containsString="0" containsNumber="1" minValue="0" maxValue="1.5641025641025639"/>
    </cacheField>
    <cacheField name="MANIPULACAO-DA-POSICAO-DE-INIMIGOS" numFmtId="164">
      <sharedItems containsSemiMixedTypes="0" containsString="0" containsNumber="1" containsInteger="1" minValue="0" maxValue="0"/>
    </cacheField>
    <cacheField name="ANDA-SOBRE-AGUA" numFmtId="164">
      <sharedItems containsSemiMixedTypes="0" containsString="0" containsNumber="1" containsInteger="1" minValue="0" maxValue="0"/>
    </cacheField>
    <cacheField name="COMBATER-INIMIGOS-SOBRE-AGUA" numFmtId="164">
      <sharedItems containsSemiMixedTypes="0" containsString="0" containsNumber="1" containsInteger="1" minValue="0" maxValue="0"/>
    </cacheField>
    <cacheField name="POTENCIAL-DESTRUIÇÃO-DE-MUROS" numFmtId="164">
      <sharedItems containsSemiMixedTypes="0" containsString="0" containsNumber="1" minValue="0" maxValue="0.59999999999999964"/>
    </cacheField>
    <cacheField name="POTENCIAL-DESTRUIÇÃO-DE-MOITAS" numFmtId="164">
      <sharedItems containsSemiMixedTypes="0" containsString="0" containsNumber="1" minValue="0" maxValue="0.44999999999999929"/>
    </cacheField>
    <cacheField name="POTENCIAL-DE-CRIACAO-DE-COVER" numFmtId="164">
      <sharedItems containsSemiMixedTypes="0" containsString="0" containsNumber="1" containsInteger="1" minValue="0" maxValue="0"/>
    </cacheField>
    <cacheField name="VELOCIDADE-MOVIMENTO" numFmtId="164">
      <sharedItems containsSemiMixedTypes="0" containsString="0" containsNumber="1" minValue="0.25" maxValue="1.5999999999999996"/>
    </cacheField>
    <cacheField name="FORÇA-ATK-SURP" numFmtId="164">
      <sharedItems containsSemiMixedTypes="0" containsString="0" containsNumber="1" minValue="0" maxValue="0.87096774193548399"/>
    </cacheField>
    <cacheField name="Ataque-Surpresa" numFmtId="164">
      <sharedItems containsSemiMixedTypes="0" containsString="0" containsNumber="1" minValue="0" maxValue="0.87096774193548399"/>
    </cacheField>
    <cacheField name="FREQUÊNCIA-GERAÇÃO-DE-PETS" numFmtId="164">
      <sharedItems containsSemiMixedTypes="0" containsString="0" containsNumber="1" minValue="0" maxValue="1.7142857142857135"/>
    </cacheField>
    <cacheField name="ACÚMULO-PETS" numFmtId="164">
      <sharedItems containsSemiMixedTypes="0" containsString="0" containsNumber="1" minValue="0" maxValue="1.2857142857142847"/>
    </cacheField>
    <cacheField name="VIDA-DETERIORÁVEL-PETS" numFmtId="164">
      <sharedItems containsSemiMixedTypes="0" containsString="0" containsNumber="1" containsInteger="1" minValue="0" maxValue="0"/>
    </cacheField>
    <cacheField name="RESISTÊNCIA-PETS" numFmtId="164">
      <sharedItems containsSemiMixedTypes="0" containsString="0" containsNumber="1" minValue="0" maxValue="0.61249999999999982"/>
    </cacheField>
    <cacheField name="DANO-PETS" numFmtId="164">
      <sharedItems containsSemiMixedTypes="0" containsString="0" containsNumber="1" minValue="0" maxValue="0.34999999999999964"/>
    </cacheField>
    <cacheField name="ALCANCE-PETS" numFmtId="164">
      <sharedItems containsSemiMixedTypes="0" containsString="0" containsNumber="1" minValue="0" maxValue="0.4375"/>
    </cacheField>
    <cacheField name="VELOCIDADE-PETS" numFmtId="164">
      <sharedItems containsSemiMixedTypes="0" containsString="0" containsNumber="1" minValue="0" maxValue="0.85714285714285765"/>
    </cacheField>
    <cacheField name="PROXIMIDADE-PETS" numFmtId="164">
      <sharedItems containsSemiMixedTypes="0" containsString="0" containsNumber="1" containsInteger="1" minValue="0" maxValue="0"/>
    </cacheField>
    <cacheField name="DANO-AUMENTADO-QUANDO-AGRUPADO" numFmtId="164">
      <sharedItems containsSemiMixedTypes="0" containsString="0" containsNumber="1" containsInteger="1" minValue="0" maxValue="0"/>
    </cacheField>
    <cacheField name="CIRCUNSTANCIABILIDADE" numFmtId="164">
      <sharedItems containsSemiMixedTypes="0" containsString="0" containsNumber="1" minValue="0" maxValue="2.5"/>
    </cacheField>
    <cacheField name="HP-SUPORTE" numFmtId="164">
      <sharedItems containsSemiMixedTypes="0" containsString="0" containsNumber="1" containsInteger="1" minValue="0" maxValue="0"/>
    </cacheField>
    <cacheField name="HP-ENFRAQUECIMENTO" numFmtId="164">
      <sharedItems containsSemiMixedTypes="0" containsString="0" containsNumber="1" containsInteger="1" minValue="0" maxValue="0"/>
    </cacheField>
    <cacheField name="DANO-SUPORTE" numFmtId="164">
      <sharedItems containsSemiMixedTypes="0" containsString="0" containsNumber="1" minValue="0" maxValue="0.45161290322580644"/>
    </cacheField>
    <cacheField name="DANO-ENFRAQUECIMENTO" numFmtId="164">
      <sharedItems containsSemiMixedTypes="0" containsString="0" containsNumber="1" containsInteger="1" minValue="0" maxValue="0"/>
    </cacheField>
    <cacheField name="SPEED-SUPORTE" numFmtId="164">
      <sharedItems containsSemiMixedTypes="0" containsString="0" containsNumber="1" minValue="0" maxValue="2.8"/>
    </cacheField>
    <cacheField name="INVISIBILIDADE-SUPORTE" numFmtId="164">
      <sharedItems containsSemiMixedTypes="0" containsString="0" containsNumber="1" containsInteger="1" minValue="0" maxValue="0"/>
    </cacheField>
    <cacheField name="ESCUDO-SUPORTE" numFmtId="164">
      <sharedItems containsSemiMixedTypes="0" containsString="0" containsNumber="1" minValue="0" maxValue="2.4"/>
    </cacheField>
    <cacheField name="POSICIONAMENTO-SUPORTE" numFmtId="164">
      <sharedItems containsSemiMixedTypes="0" containsString="0" containsNumber="1" containsInteger="1" minValue="0" maxValue="0"/>
    </cacheField>
    <cacheField name="VENENO-DEBUFF" numFmtId="164">
      <sharedItems containsSemiMixedTypes="0" containsString="0" containsNumber="1" minValue="0" maxValue="1.666666666666667"/>
    </cacheField>
    <cacheField name="COUNTER-VENENO-DEBUFF" numFmtId="164">
      <sharedItems containsSemiMixedTypes="0" containsString="0" containsNumber="1" containsInteger="1" minValue="0" maxValue="0"/>
    </cacheField>
    <cacheField name="LENTIDAO-DEBUFF" numFmtId="164">
      <sharedItems containsSemiMixedTypes="0" containsString="0" containsNumber="1" minValue="0" maxValue="1.8666666666666667"/>
    </cacheField>
    <cacheField name="COUNTER-LENTIDAO-DEBUFF" numFmtId="164">
      <sharedItems containsSemiMixedTypes="0" containsString="0" containsNumber="1" containsInteger="1" minValue="0" maxValue="0"/>
    </cacheField>
    <cacheField name="STUN-DEBUFF" numFmtId="164">
      <sharedItems containsSemiMixedTypes="0" containsString="0" containsNumber="1" containsInteger="1" minValue="0" maxValue="0"/>
    </cacheField>
    <cacheField name="COUNTER-STUN-DEBUFF" numFmtId="164">
      <sharedItems containsSemiMixedTypes="0" containsString="0" containsNumber="1" containsInteger="1" minValue="0" maxValue="0"/>
    </cacheField>
    <cacheField name="CANCELAMENTO-ATAQUES" numFmtId="164">
      <sharedItems containsSemiMixedTypes="0" containsString="0" containsNumber="1" containsInteger="1" minValue="0" maxValue="0"/>
    </cacheField>
    <cacheField name="COUNTER-CANCELAMENTO-ATAQUES" numFmtId="164">
      <sharedItems containsSemiMixedTypes="0" containsString="0" containsNumber="1" minValue="0" maxValue="0.89999999999999991"/>
    </cacheField>
    <cacheField name="BLOQUEIO-DE-INIMIGOS" numFmtId="164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4.81609270833" createdVersion="8" refreshedVersion="8" minRefreshableVersion="3" recordCount="18" xr:uid="{18F7389F-FDCC-4864-89BD-063F07BA150F}">
  <cacheSource type="worksheet">
    <worksheetSource ref="B2:BL20" sheet="SEGUNDO PODER-DE-ESTRELA"/>
  </cacheSource>
  <cacheFields count="60">
    <cacheField name="NOME PODER DE ESTRELA" numFmtId="0">
      <sharedItems count="18">
        <s v="TEMPERED STEEL"/>
        <s v="FLOW"/>
        <s v="ROBO RETREAT"/>
        <s v="CURVEBALL"/>
        <s v="INVISIHEAL"/>
        <s v="FREEZING SNOW"/>
        <s v="BAND-AID"/>
        <s v="SCREECHING SOLO"/>
        <s v="MAKING A MESS"/>
        <s v="SPONGE"/>
        <s v="HEALING WINDS"/>
        <s v="HARDY HARD HAT"/>
        <s v="MASTER BLASTER"/>
        <s v="COILED SNAKE"/>
        <s v="AUTOMA-TICK RELOAD"/>
        <s v="NUMBING NEEDLES"/>
        <s v="HAPPY SURPRISE"/>
        <s v="RUN N GUN"/>
      </sharedItems>
    </cacheField>
    <cacheField name="Nome Brawler" numFmtId="0">
      <sharedItems count="18">
        <s v="NANI"/>
        <s v="ANGELO"/>
        <s v="RICO"/>
        <s v="SPIKE"/>
        <s v="LEON"/>
        <s v="GALE"/>
        <s v="SHELLY"/>
        <s v="POCO"/>
        <s v="BERRY"/>
        <s v="FRANK"/>
        <s v="SANDY"/>
        <s v="JACKY"/>
        <s v="PENNY"/>
        <s v="MORTIS"/>
        <s v="TICK"/>
        <s v="JUJU"/>
        <s v="EVE"/>
        <s v="MAX"/>
      </sharedItems>
    </cacheField>
    <cacheField name="PROJETEIS-PARA-SUPER" numFmtId="164">
      <sharedItems containsSemiMixedTypes="0" containsString="0" containsNumber="1" containsInteger="1" minValue="0" maxValue="0"/>
    </cacheField>
    <cacheField name="SUPERS-PARA-HIPERCARGA" numFmtId="164">
      <sharedItems containsSemiMixedTypes="0" containsString="0" containsNumber="1" containsInteger="1" minValue="0" maxValue="0"/>
    </cacheField>
    <cacheField name="DANO-PROJETIL" numFmtId="164">
      <sharedItems containsSemiMixedTypes="0" containsString="0" containsNumber="1" containsInteger="1" minValue="0" maxValue="66"/>
    </cacheField>
    <cacheField name="TIROS-DADOS-EM-5-SEGUNDOS" numFmtId="164">
      <sharedItems containsSemiMixedTypes="0" containsString="0" containsNumber="1" minValue="0" maxValue="0.70000000000000018"/>
    </cacheField>
    <cacheField name="MÉDIA-PROJETEIS-POR-TIRO" numFmtId="164">
      <sharedItems containsSemiMixedTypes="0" containsString="0" containsNumber="1" containsInteger="1" minValue="0" maxValue="0"/>
    </cacheField>
    <cacheField name="CURTO-ALCANCE-QUANT-PROJETIL-MEDIO" numFmtId="164">
      <sharedItems containsSemiMixedTypes="0" containsString="0" containsNumber="1" containsInteger="1" minValue="0" maxValue="0"/>
    </cacheField>
    <cacheField name="MEDIO-ALCANCE-QUANT-PROJETIL-MEDIO" numFmtId="164">
      <sharedItems containsSemiMixedTypes="0" containsString="0" containsNumber="1" minValue="0" maxValue="0.5"/>
    </cacheField>
    <cacheField name="LONGO-ALCANCE-QUANT-PROJETIL-MEDIO" numFmtId="164">
      <sharedItems containsSemiMixedTypes="0" containsString="0" containsNumber="1" minValue="0" maxValue="0.5"/>
    </cacheField>
    <cacheField name="MTLONGO-ALCANCE-QUANT-PROJETIL-MEDIO" numFmtId="164">
      <sharedItems containsSemiMixedTypes="0" containsString="0" containsNumber="1" containsInteger="1" minValue="0" maxValue="1"/>
    </cacheField>
    <cacheField name="CARREGAMENTO-SUPER-AO-ACERTAR-EM-PROJETEIS" numFmtId="164">
      <sharedItems containsSemiMixedTypes="0" containsString="0" containsNumber="1" containsInteger="1" minValue="0" maxValue="0"/>
    </cacheField>
    <cacheField name="CURTO-ALCANCE-DANO-SUPER-MEDIO" numFmtId="164">
      <sharedItems containsSemiMixedTypes="0" containsString="0" containsNumber="1" containsInteger="1" minValue="0" maxValue="1520"/>
    </cacheField>
    <cacheField name="MEDIO-ALCANCE-DANO-SUPER-MEDIO" numFmtId="164">
      <sharedItems containsSemiMixedTypes="0" containsString="0" containsNumber="1" containsInteger="1" minValue="0" maxValue="1520"/>
    </cacheField>
    <cacheField name="LONGO-ALCANCE-DANO-SUPER-MEDIO" numFmtId="164">
      <sharedItems containsSemiMixedTypes="0" containsString="0" containsNumber="1" containsInteger="1" minValue="0" maxValue="1520"/>
    </cacheField>
    <cacheField name="MT-LONGO-ALCANCE-DANO-SUPER-MEDIO" numFmtId="164">
      <sharedItems containsSemiMixedTypes="0" containsString="0" containsNumber="1" containsInteger="1" minValue="0" maxValue="1520"/>
    </cacheField>
    <cacheField name="MÉDIA-DANO-POR-SUPER" numFmtId="164">
      <sharedItems containsSemiMixedTypes="0" containsString="0" containsNumber="1" containsInteger="1" minValue="0" maxValue="1520"/>
    </cacheField>
    <cacheField name="DANO-OCASIONAL" numFmtId="164">
      <sharedItems containsSemiMixedTypes="0" containsString="0" containsNumber="1" containsInteger="1" minValue="0" maxValue="0"/>
    </cacheField>
    <cacheField name="Durability" numFmtId="2">
      <sharedItems containsSemiMixedTypes="0" containsString="0" containsNumber="1" minValue="0" maxValue="1.4285714285714279"/>
    </cacheField>
    <cacheField name="Distância-Ataque" numFmtId="164">
      <sharedItems containsSemiMixedTypes="0" containsString="0" containsNumber="1" containsInteger="1" minValue="0" maxValue="1"/>
    </cacheField>
    <cacheField name="Botão-de-Fuga" numFmtId="164">
      <sharedItems containsSemiMixedTypes="0" containsString="0" containsNumber="1" minValue="0" maxValue="0.33333333333333304"/>
    </cacheField>
    <cacheField name="Ataque-amplo" numFmtId="164">
      <sharedItems containsSemiMixedTypes="0" containsString="0" containsNumber="1" minValue="0" maxValue="1.5"/>
    </cacheField>
    <cacheField name="FREQUENCIA-DANO-INDIRETO" numFmtId="164">
      <sharedItems containsSemiMixedTypes="0" containsString="0" containsNumber="1" containsInteger="1" minValue="0" maxValue="3"/>
    </cacheField>
    <cacheField name="NEGACAO-DE-AREA" numFmtId="164">
      <sharedItems containsSemiMixedTypes="0" containsString="0" containsNumber="1" containsInteger="1" minValue="0" maxValue="0"/>
    </cacheField>
    <cacheField name="MANIPULACAO-DA-POSICAO-DE-INIMIGOS" numFmtId="164">
      <sharedItems containsSemiMixedTypes="0" containsString="0" containsNumber="1" containsInteger="1" minValue="0" maxValue="0"/>
    </cacheField>
    <cacheField name="ANDA-SOBRE-AGUA" numFmtId="164">
      <sharedItems containsSemiMixedTypes="0" containsString="0" containsNumber="1" containsInteger="1" minValue="0" maxValue="0"/>
    </cacheField>
    <cacheField name="COMBATER-INIMIGOS-SOBRE-AGUA" numFmtId="164">
      <sharedItems containsSemiMixedTypes="0" containsString="0" containsNumber="1" containsInteger="1" minValue="0" maxValue="0"/>
    </cacheField>
    <cacheField name="POTENCIAL-DESTRUIÇÃO-DE-MUROS" numFmtId="164">
      <sharedItems containsSemiMixedTypes="0" containsString="0" containsNumber="1" containsInteger="1" minValue="0" maxValue="0"/>
    </cacheField>
    <cacheField name="POTENCIAL-DESTRUIÇÃO-DE-MOITAS" numFmtId="164">
      <sharedItems containsSemiMixedTypes="0" containsString="0" containsNumber="1" containsInteger="1" minValue="0" maxValue="0"/>
    </cacheField>
    <cacheField name="POTENCIAL-DE-CRIACAO-DE-COVER" numFmtId="164">
      <sharedItems containsSemiMixedTypes="0" containsString="0" containsNumber="1" containsInteger="1" minValue="0" maxValue="0"/>
    </cacheField>
    <cacheField name="VELOCIDADE-MOVIMENTO" numFmtId="164">
      <sharedItems containsSemiMixedTypes="0" containsString="0" containsNumber="1" minValue="0" maxValue="2"/>
    </cacheField>
    <cacheField name="FORÇA-ATK-SURP" numFmtId="164">
      <sharedItems containsSemiMixedTypes="0" containsString="0" containsNumber="1" minValue="0" maxValue="0.5"/>
    </cacheField>
    <cacheField name="Ataque-Surpresa" numFmtId="164">
      <sharedItems containsSemiMixedTypes="0" containsString="0" containsNumber="1" minValue="0" maxValue="0.5"/>
    </cacheField>
    <cacheField name="FREQUÊNCIA-GERAÇÃO-DE-PETS" numFmtId="164">
      <sharedItems containsSemiMixedTypes="0" containsString="0" containsNumber="1" containsInteger="1" minValue="0" maxValue="1"/>
    </cacheField>
    <cacheField name="ACÚMULO-PETS" numFmtId="164">
      <sharedItems containsSemiMixedTypes="0" containsString="0" containsNumber="1" containsInteger="1" minValue="0" maxValue="1"/>
    </cacheField>
    <cacheField name="VIDA-DETERIORÁVEL-PETS" numFmtId="164">
      <sharedItems containsSemiMixedTypes="0" containsString="0" containsNumber="1" containsInteger="1" minValue="0" maxValue="0"/>
    </cacheField>
    <cacheField name="RESISTÊNCIA-PETS" numFmtId="164">
      <sharedItems containsSemiMixedTypes="0" containsString="0" containsNumber="1" containsInteger="1" minValue="0" maxValue="0"/>
    </cacheField>
    <cacheField name="DANO-PETS" numFmtId="164">
      <sharedItems containsSemiMixedTypes="0" containsString="0" containsNumber="1" containsInteger="1" minValue="0" maxValue="0"/>
    </cacheField>
    <cacheField name="ALCANCE-PETS" numFmtId="164">
      <sharedItems containsSemiMixedTypes="0" containsString="0" containsNumber="1" containsInteger="1" minValue="0" maxValue="0"/>
    </cacheField>
    <cacheField name="VELOCIDADE-PETS" numFmtId="164">
      <sharedItems containsSemiMixedTypes="0" containsString="0" containsNumber="1" containsInteger="1" minValue="0" maxValue="0"/>
    </cacheField>
    <cacheField name="PROXIMIDADE-PETS" numFmtId="164">
      <sharedItems containsSemiMixedTypes="0" containsString="0" containsNumber="1" containsInteger="1" minValue="0" maxValue="0"/>
    </cacheField>
    <cacheField name="DANO-AUMENTADO-QUANDO-AGRUPADO" numFmtId="164">
      <sharedItems containsSemiMixedTypes="0" containsString="0" containsNumber="1" containsInteger="1" minValue="0" maxValue="3"/>
    </cacheField>
    <cacheField name="CIRCUNSTANCIABILIDADE" numFmtId="164">
      <sharedItems containsSemiMixedTypes="0" containsString="0" containsNumber="1" containsInteger="1" minValue="0" maxValue="5"/>
    </cacheField>
    <cacheField name="HP-SUPORTE" numFmtId="164">
      <sharedItems containsSemiMixedTypes="0" containsString="0" containsNumber="1" minValue="0" maxValue="4.5"/>
    </cacheField>
    <cacheField name="HP-ENFRAQUECIMENTO" numFmtId="164">
      <sharedItems containsSemiMixedTypes="0" containsString="0" containsNumber="1" containsInteger="1" minValue="0" maxValue="0"/>
    </cacheField>
    <cacheField name="DANO-SUPORTE" numFmtId="164">
      <sharedItems containsSemiMixedTypes="0" containsString="0" containsNumber="1" containsInteger="1" minValue="0" maxValue="0"/>
    </cacheField>
    <cacheField name="DANO-ENFRAQUECIMENTO" numFmtId="164">
      <sharedItems containsSemiMixedTypes="0" containsString="0" containsNumber="1" containsInteger="1" minValue="0" maxValue="0"/>
    </cacheField>
    <cacheField name="SPEED-SUPORTE" numFmtId="164">
      <sharedItems containsSemiMixedTypes="0" containsString="0" containsNumber="1" containsInteger="1" minValue="0" maxValue="0"/>
    </cacheField>
    <cacheField name="INVISIBILIDADE-SUPORTE" numFmtId="164">
      <sharedItems containsSemiMixedTypes="0" containsString="0" containsNumber="1" containsInteger="1" minValue="0" maxValue="0"/>
    </cacheField>
    <cacheField name="ESCUDO-SUPORTE" numFmtId="164">
      <sharedItems containsSemiMixedTypes="0" containsString="0" containsNumber="1" containsInteger="1" minValue="0" maxValue="0"/>
    </cacheField>
    <cacheField name="POSICIONAMENTO-SUPORTE" numFmtId="164">
      <sharedItems containsSemiMixedTypes="0" containsString="0" containsNumber="1" containsInteger="1" minValue="0" maxValue="0"/>
    </cacheField>
    <cacheField name="VENENO-DEBUFF" numFmtId="164">
      <sharedItems containsSemiMixedTypes="0" containsString="0" containsNumber="1" containsInteger="1" minValue="0" maxValue="0"/>
    </cacheField>
    <cacheField name="COUNTER-VENENO-DEBUFF" numFmtId="164">
      <sharedItems containsSemiMixedTypes="0" containsString="0" containsNumber="1" containsInteger="1" minValue="0" maxValue="0"/>
    </cacheField>
    <cacheField name="LENTIDAO-DEBUFF" numFmtId="164">
      <sharedItems containsSemiMixedTypes="0" containsString="0" containsNumber="1" minValue="0" maxValue="5"/>
    </cacheField>
    <cacheField name="COUNTER-LENTIDAO-DEBUFF" numFmtId="164">
      <sharedItems containsSemiMixedTypes="0" containsString="0" containsNumber="1" containsInteger="1" minValue="0" maxValue="0"/>
    </cacheField>
    <cacheField name="STUN-DEBUFF" numFmtId="164">
      <sharedItems containsSemiMixedTypes="0" containsString="0" containsNumber="1" containsInteger="1" minValue="0" maxValue="0"/>
    </cacheField>
    <cacheField name="COUNTER-STUN-DEBUFF" numFmtId="164">
      <sharedItems containsSemiMixedTypes="0" containsString="0" containsNumber="1" containsInteger="1" minValue="0" maxValue="0"/>
    </cacheField>
    <cacheField name="CANCELAMENTO-ATAQUES" numFmtId="164">
      <sharedItems containsSemiMixedTypes="0" containsString="0" containsNumber="1" minValue="0" maxValue="2.5"/>
    </cacheField>
    <cacheField name="COUNTER-CANCELAMENTO-ATAQUES" numFmtId="164">
      <sharedItems containsSemiMixedTypes="0" containsString="0" containsNumber="1" containsInteger="1" minValue="0" maxValue="0"/>
    </cacheField>
    <cacheField name="BLOQUEIO-DE-INIMIGOS" numFmtId="164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4.81609270833" createdVersion="8" refreshedVersion="8" minRefreshableVersion="3" recordCount="18" xr:uid="{6C478417-9BD6-4375-99E3-786CDB8F460E}">
  <cacheSource type="worksheet">
    <worksheetSource ref="B2:BL20" sheet="PRIMEIRO PODER-DE-ESTRELA"/>
  </cacheSource>
  <cacheFields count="60">
    <cacheField name="NOME PODER DE ESTRELA" numFmtId="0">
      <sharedItems count="18">
        <s v="AUTOFOCUS"/>
        <s v="EMPOWER"/>
        <s v="SUPER BOUNCY"/>
        <s v="FERTILIZE"/>
        <s v="SMOKE TRAILS"/>
        <s v="BLUSTERY BLOW"/>
        <s v="SHELL SHOCK"/>
        <s v="DA CAPO"/>
        <s v="FLOOR IS FINE"/>
        <s v="POWER GRAB"/>
        <s v="RUDE SANDS"/>
        <s v="COUNTER CRUSH"/>
        <s v="HEAVY COFFERS"/>
        <s v="CREEPY HARVEST"/>
        <s v="WELL OILED"/>
        <s v="GUARDED GRIS-GRIS"/>
        <s v="UNNATURAL ORDER"/>
        <s v="SUPER CHARGED"/>
      </sharedItems>
    </cacheField>
    <cacheField name="Nome Brawler" numFmtId="0">
      <sharedItems count="18">
        <s v="NANI"/>
        <s v="ANGELO"/>
        <s v="RICO"/>
        <s v="SPIKE"/>
        <s v="LEON"/>
        <s v="GALE"/>
        <s v="SHELLY"/>
        <s v="POCO"/>
        <s v="BERRY"/>
        <s v="FRANK"/>
        <s v="SANDY"/>
        <s v="JACKY"/>
        <s v="PENNY"/>
        <s v="MORTIS"/>
        <s v="TICK"/>
        <s v="JUJU"/>
        <s v="EVE"/>
        <s v="MAX"/>
      </sharedItems>
    </cacheField>
    <cacheField name="PROJETEIS-PARA-SUPER" numFmtId="164">
      <sharedItems containsSemiMixedTypes="0" containsString="0" containsNumber="1" containsInteger="1" minValue="-3" maxValue="0"/>
    </cacheField>
    <cacheField name="SUPERS-PARA-HIPERCARGA" numFmtId="164">
      <sharedItems containsSemiMixedTypes="0" containsString="0" containsNumber="1" containsInteger="1" minValue="0" maxValue="0"/>
    </cacheField>
    <cacheField name="DANO-PROJETIL" numFmtId="164">
      <sharedItems containsSemiMixedTypes="0" containsString="0" containsNumber="1" minValue="0" maxValue="1500"/>
    </cacheField>
    <cacheField name="TIROS-DADOS-EM-5-SEGUNDOS" numFmtId="164">
      <sharedItems containsSemiMixedTypes="0" containsString="0" containsNumber="1" minValue="0" maxValue="0.41250000000000009"/>
    </cacheField>
    <cacheField name="MÉDIA-PROJETEIS-POR-TIRO" numFmtId="164">
      <sharedItems containsSemiMixedTypes="0" containsString="0" containsNumber="1" containsInteger="1" minValue="0" maxValue="0"/>
    </cacheField>
    <cacheField name="CURTO-ALCANCE-QUANT-PROJETIL-MEDIO" numFmtId="164">
      <sharedItems containsSemiMixedTypes="0" containsString="0" containsNumber="1" containsInteger="1" minValue="0" maxValue="0"/>
    </cacheField>
    <cacheField name="MEDIO-ALCANCE-QUANT-PROJETIL-MEDIO" numFmtId="164">
      <sharedItems containsSemiMixedTypes="0" containsString="0" containsNumber="1" containsInteger="1" minValue="0" maxValue="0"/>
    </cacheField>
    <cacheField name="LONGO-ALCANCE-QUANT-PROJETIL-MEDIO" numFmtId="164">
      <sharedItems containsSemiMixedTypes="0" containsString="0" containsNumber="1" containsInteger="1" minValue="0" maxValue="0"/>
    </cacheField>
    <cacheField name="MTLONGO-ALCANCE-QUANT-PROJETIL-MEDIO" numFmtId="164">
      <sharedItems containsSemiMixedTypes="0" containsString="0" containsNumber="1" containsInteger="1" minValue="0" maxValue="0"/>
    </cacheField>
    <cacheField name="CARREGAMENTO-SUPER-AO-ACERTAR-EM-PROJETEIS" numFmtId="164">
      <sharedItems containsSemiMixedTypes="0" containsString="0" containsNumber="1" containsInteger="1" minValue="0" maxValue="0"/>
    </cacheField>
    <cacheField name="CURTO-ALCANCE-DANO-SUPER-MEDIO" numFmtId="164">
      <sharedItems containsSemiMixedTypes="0" containsString="0" containsNumber="1" containsInteger="1" minValue="0" maxValue="1944"/>
    </cacheField>
    <cacheField name="MEDIO-ALCANCE-DANO-SUPER-MEDIO" numFmtId="164">
      <sharedItems containsSemiMixedTypes="0" containsString="0" containsNumber="1" containsInteger="1" minValue="0" maxValue="1944"/>
    </cacheField>
    <cacheField name="LONGO-ALCANCE-DANO-SUPER-MEDIO" numFmtId="164">
      <sharedItems containsSemiMixedTypes="0" containsString="0" containsNumber="1" containsInteger="1" minValue="0" maxValue="1944"/>
    </cacheField>
    <cacheField name="MT-LONGO-ALCANCE-DANO-SUPER-MEDIO" numFmtId="164">
      <sharedItems containsSemiMixedTypes="0" containsString="0" containsNumber="1" containsInteger="1" minValue="0" maxValue="2000"/>
    </cacheField>
    <cacheField name="MÉDIA-DANO-POR-SUPER" numFmtId="164">
      <sharedItems containsSemiMixedTypes="0" containsString="0" containsNumber="1" containsInteger="1" minValue="0" maxValue="500"/>
    </cacheField>
    <cacheField name="DANO-OCASIONAL" numFmtId="164">
      <sharedItems containsSemiMixedTypes="0" containsString="0" containsNumber="1" containsInteger="1" minValue="0" maxValue="1280"/>
    </cacheField>
    <cacheField name="Durability" numFmtId="164">
      <sharedItems containsSemiMixedTypes="0" containsString="0" containsNumber="1" minValue="0" maxValue="1.5999999999999996"/>
    </cacheField>
    <cacheField name="Distância-Ataque" numFmtId="164">
      <sharedItems containsSemiMixedTypes="0" containsString="0" containsNumber="1" containsInteger="1" minValue="0" maxValue="0"/>
    </cacheField>
    <cacheField name="Botão-de-Fuga" numFmtId="164">
      <sharedItems containsSemiMixedTypes="0" containsString="0" containsNumber="1" minValue="0" maxValue="1.333333333333333"/>
    </cacheField>
    <cacheField name="Ataque-amplo" numFmtId="164">
      <sharedItems containsSemiMixedTypes="0" containsString="0" containsNumber="1" containsInteger="1" minValue="0" maxValue="2"/>
    </cacheField>
    <cacheField name="FREQUENCIA-DANO-INDIRETO" numFmtId="164">
      <sharedItems containsSemiMixedTypes="0" containsString="0" containsNumber="1" containsInteger="1" minValue="0" maxValue="2"/>
    </cacheField>
    <cacheField name="NEGACAO-DE-AREA" numFmtId="164">
      <sharedItems containsSemiMixedTypes="0" containsString="0" containsNumber="1" minValue="0" maxValue="1.75"/>
    </cacheField>
    <cacheField name="MANIPULACAO-DA-POSICAO-DE-INIMIGOS" numFmtId="164">
      <sharedItems containsSemiMixedTypes="0" containsString="0" containsNumber="1" containsInteger="1" minValue="0" maxValue="0"/>
    </cacheField>
    <cacheField name="ANDA-SOBRE-AGUA" numFmtId="164">
      <sharedItems containsSemiMixedTypes="0" containsString="0" containsNumber="1" containsInteger="1" minValue="0" maxValue="0"/>
    </cacheField>
    <cacheField name="COMBATER-INIMIGOS-SOBRE-AGUA" numFmtId="164">
      <sharedItems containsSemiMixedTypes="0" containsString="0" containsNumber="1" containsInteger="1" minValue="0" maxValue="0"/>
    </cacheField>
    <cacheField name="POTENCIAL-DESTRUIÇÃO-DE-MUROS" numFmtId="164">
      <sharedItems containsSemiMixedTypes="0" containsString="0" containsNumber="1" containsInteger="1" minValue="0" maxValue="0"/>
    </cacheField>
    <cacheField name="POTENCIAL-DESTRUIÇÃO-DE-MOITAS" numFmtId="164">
      <sharedItems containsSemiMixedTypes="0" containsString="0" containsNumber="1" containsInteger="1" minValue="0" maxValue="0"/>
    </cacheField>
    <cacheField name="POTENCIAL-DE-CRIACAO-DE-COVER" numFmtId="164">
      <sharedItems containsSemiMixedTypes="0" containsString="0" containsNumber="1" containsInteger="1" minValue="0" maxValue="0"/>
    </cacheField>
    <cacheField name="VELOCIDADE-MOVIMENTO" numFmtId="164">
      <sharedItems containsSemiMixedTypes="0" containsString="0" containsNumber="1" containsInteger="1" minValue="0" maxValue="1"/>
    </cacheField>
    <cacheField name="FORÇA-ATK-SURP" numFmtId="164">
      <sharedItems containsSemiMixedTypes="0" containsString="0" containsNumber="1" containsInteger="1" minValue="0" maxValue="2"/>
    </cacheField>
    <cacheField name="Ataque-Surpresa" numFmtId="164">
      <sharedItems containsSemiMixedTypes="0" containsString="0" containsNumber="1" containsInteger="1" minValue="0" maxValue="2"/>
    </cacheField>
    <cacheField name="FREQUÊNCIA-GERAÇÃO-DE-PETS" numFmtId="164">
      <sharedItems containsSemiMixedTypes="0" containsString="0" containsNumber="1" containsInteger="1" minValue="0" maxValue="0"/>
    </cacheField>
    <cacheField name="ACÚMULO-PETS" numFmtId="164">
      <sharedItems containsSemiMixedTypes="0" containsString="0" containsNumber="1" containsInteger="1" minValue="0" maxValue="0"/>
    </cacheField>
    <cacheField name="VIDA-DETERIORÁVEL-PETS" numFmtId="164">
      <sharedItems containsSemiMixedTypes="0" containsString="0" containsNumber="1" containsInteger="1" minValue="0" maxValue="0"/>
    </cacheField>
    <cacheField name="RESISTÊNCIA-PETS" numFmtId="164">
      <sharedItems containsSemiMixedTypes="0" containsString="0" containsNumber="1" minValue="0" maxValue="1.5"/>
    </cacheField>
    <cacheField name="DANO-PETS" numFmtId="164">
      <sharedItems containsSemiMixedTypes="0" containsString="0" containsNumber="1" containsInteger="1" minValue="0" maxValue="0"/>
    </cacheField>
    <cacheField name="ALCANCE-PETS" numFmtId="164">
      <sharedItems containsSemiMixedTypes="0" containsString="0" containsNumber="1" containsInteger="1" minValue="0" maxValue="0"/>
    </cacheField>
    <cacheField name="VELOCIDADE-PETS" numFmtId="164">
      <sharedItems containsSemiMixedTypes="0" containsString="0" containsNumber="1" containsInteger="1" minValue="0" maxValue="0"/>
    </cacheField>
    <cacheField name="PROXIMIDADE-PETS" numFmtId="164">
      <sharedItems containsSemiMixedTypes="0" containsString="0" containsNumber="1" containsInteger="1" minValue="0" maxValue="0"/>
    </cacheField>
    <cacheField name="DANO-AUMENTADO-QUANDO-AGRUPADO" numFmtId="164">
      <sharedItems containsSemiMixedTypes="0" containsString="0" containsNumber="1" containsInteger="1" minValue="0" maxValue="2"/>
    </cacheField>
    <cacheField name="CIRCUNSTANCIABILIDADE" numFmtId="164">
      <sharedItems containsSemiMixedTypes="0" containsString="0" containsNumber="1" minValue="0" maxValue="2.5"/>
    </cacheField>
    <cacheField name="HP-SUPORTE" numFmtId="164">
      <sharedItems containsSemiMixedTypes="0" containsString="0" containsNumber="1" minValue="0" maxValue="6.5"/>
    </cacheField>
    <cacheField name="HP-ENFRAQUECIMENTO" numFmtId="164">
      <sharedItems containsSemiMixedTypes="0" containsString="0" containsNumber="1" containsInteger="1" minValue="0" maxValue="0"/>
    </cacheField>
    <cacheField name="DANO-SUPORTE" numFmtId="164">
      <sharedItems containsSemiMixedTypes="0" containsString="0" containsNumber="1" containsInteger="1" minValue="0" maxValue="0"/>
    </cacheField>
    <cacheField name="DANO-ENFRAQUECIMENTO" numFmtId="164">
      <sharedItems containsSemiMixedTypes="0" containsString="0" containsNumber="1" containsInteger="1" minValue="0" maxValue="0"/>
    </cacheField>
    <cacheField name="SPEED-SUPORTE" numFmtId="164">
      <sharedItems containsSemiMixedTypes="0" containsString="0" containsNumber="1" containsInteger="1" minValue="0" maxValue="0"/>
    </cacheField>
    <cacheField name="INVISIBILIDADE-SUPORTE" numFmtId="164">
      <sharedItems containsSemiMixedTypes="0" containsString="0" containsNumber="1" containsInteger="1" minValue="0" maxValue="1"/>
    </cacheField>
    <cacheField name="ESCUDO-SUPORTE" numFmtId="164">
      <sharedItems containsSemiMixedTypes="0" containsString="0" containsNumber="1" containsInteger="1" minValue="0" maxValue="0"/>
    </cacheField>
    <cacheField name="POSICIONAMENTO-SUPORTE" numFmtId="164">
      <sharedItems containsSemiMixedTypes="0" containsString="0" containsNumber="1" containsInteger="1" minValue="0" maxValue="0"/>
    </cacheField>
    <cacheField name="VENENO-DEBUFF" numFmtId="164">
      <sharedItems containsSemiMixedTypes="0" containsString="0" containsNumber="1" containsInteger="1" minValue="0" maxValue="0"/>
    </cacheField>
    <cacheField name="COUNTER-VENENO-DEBUFF" numFmtId="164">
      <sharedItems containsSemiMixedTypes="0" containsString="0" containsNumber="1" containsInteger="1" minValue="0" maxValue="0"/>
    </cacheField>
    <cacheField name="LENTIDAO-DEBUFF" numFmtId="164">
      <sharedItems containsSemiMixedTypes="0" containsString="0" containsNumber="1" minValue="0" maxValue="4.833333333333333"/>
    </cacheField>
    <cacheField name="COUNTER-LENTIDAO-DEBUFF" numFmtId="164">
      <sharedItems containsSemiMixedTypes="0" containsString="0" containsNumber="1" containsInteger="1" minValue="0" maxValue="0"/>
    </cacheField>
    <cacheField name="STUN-DEBUFF" numFmtId="164">
      <sharedItems containsSemiMixedTypes="0" containsString="0" containsNumber="1" minValue="0" maxValue="4.5"/>
    </cacheField>
    <cacheField name="COUNTER-STUN-DEBUFF" numFmtId="164">
      <sharedItems containsSemiMixedTypes="0" containsString="0" containsNumber="1" containsInteger="1" minValue="0" maxValue="0"/>
    </cacheField>
    <cacheField name="CANCELAMENTO-ATAQUES" numFmtId="164">
      <sharedItems containsSemiMixedTypes="0" containsString="0" containsNumber="1" containsInteger="1" minValue="0" maxValue="0"/>
    </cacheField>
    <cacheField name="COUNTER-CANCELAMENTO-ATAQUES" numFmtId="164">
      <sharedItems containsSemiMixedTypes="0" containsString="0" containsNumber="1" containsInteger="1" minValue="0" maxValue="0"/>
    </cacheField>
    <cacheField name="BLOQUEIO-DE-INIMIGOS" numFmtId="164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4.81609270833" createdVersion="8" refreshedVersion="8" minRefreshableVersion="3" recordCount="18" xr:uid="{02635AC4-5181-4FE4-A986-2E8DCF02723F}">
  <cacheSource type="worksheet">
    <worksheetSource ref="B2:BL20" sheet="SEGUNDO ACESSÓRIO"/>
  </cacheSource>
  <cacheFields count="60">
    <cacheField name="NOME ACESSÓRIO" numFmtId="0">
      <sharedItems count="18">
        <s v="RETURN TO SENDER"/>
        <s v="MASTER FLETCHER"/>
        <s v="BOUNCY CASTLE"/>
        <s v="LIFE PLANT"/>
        <s v="LOLLIPOP DROP"/>
        <s v="TWISTER"/>
        <s v="CLAY PIGEONS"/>
        <s v="PROTECTIVE TUNES"/>
        <s v="HEALTHY ADDITIVES"/>
        <s v="IRRESISTIBLE ATRACTION"/>
        <s v="SWEET DREAMS"/>
        <s v="REBUILD"/>
        <s v="TRUSTY SPYGLASS"/>
        <s v="CREATURE OF THE NIGHT"/>
        <s v="LAST HURRAH"/>
        <s v="ELEMENTALIST"/>
        <s v="MOTHERLY LOVE"/>
        <s v="SNEAKY SNEAKERS"/>
      </sharedItems>
    </cacheField>
    <cacheField name="Nome Brawler" numFmtId="0">
      <sharedItems count="18">
        <s v="NANI"/>
        <s v="ANGELO"/>
        <s v="RICO"/>
        <s v="SPIKE"/>
        <s v="LEON"/>
        <s v="GALE"/>
        <s v="SHELLY"/>
        <s v="POCO"/>
        <s v="BERRY"/>
        <s v="FRANK"/>
        <s v="SANDY"/>
        <s v="JACKY"/>
        <s v="PENNY"/>
        <s v="MORTIS"/>
        <s v="TICK"/>
        <s v="JUJU"/>
        <s v="EVE"/>
        <s v="MAX"/>
      </sharedItems>
    </cacheField>
    <cacheField name="PROJETEIS-PARA-SUPER" numFmtId="164">
      <sharedItems containsSemiMixedTypes="0" containsString="0" containsNumber="1" containsInteger="1" minValue="0" maxValue="0"/>
    </cacheField>
    <cacheField name="SUPERS-PARA-HIPERCARGA" numFmtId="164">
      <sharedItems containsSemiMixedTypes="0" containsString="0" containsNumber="1" containsInteger="1" minValue="0" maxValue="0"/>
    </cacheField>
    <cacheField name="DANO-PROJETIL" numFmtId="164">
      <sharedItems containsSemiMixedTypes="0" containsString="0" containsNumber="1" containsInteger="1" minValue="0" maxValue="0"/>
    </cacheField>
    <cacheField name="TIROS-DADOS-EM-5-SEGUNDOS" numFmtId="164">
      <sharedItems containsSemiMixedTypes="0" containsString="0" containsNumber="1" containsInteger="1" minValue="0" maxValue="0"/>
    </cacheField>
    <cacheField name="MÉDIA-PROJETEIS-POR-TIRO" numFmtId="164">
      <sharedItems containsSemiMixedTypes="0" containsString="0" containsNumber="1" containsInteger="1" minValue="0" maxValue="0"/>
    </cacheField>
    <cacheField name="CURTO-ALCANCE-QUANT-PROJETIL-MEDIO" numFmtId="164">
      <sharedItems containsSemiMixedTypes="0" containsString="0" containsNumber="1" containsInteger="1" minValue="0" maxValue="0"/>
    </cacheField>
    <cacheField name="MEDIO-ALCANCE-QUANT-PROJETIL-MEDIO" numFmtId="164">
      <sharedItems containsSemiMixedTypes="0" containsString="0" containsNumber="1" minValue="0" maxValue="0.125"/>
    </cacheField>
    <cacheField name="LONGO-ALCANCE-QUANT-PROJETIL-MEDIO" numFmtId="164">
      <sharedItems containsSemiMixedTypes="0" containsString="0" containsNumber="1" minValue="0" maxValue="0.25"/>
    </cacheField>
    <cacheField name="MTLONGO-ALCANCE-QUANT-PROJETIL-MEDIO" numFmtId="164">
      <sharedItems containsSemiMixedTypes="0" containsString="0" containsNumber="1" minValue="0" maxValue="0.375"/>
    </cacheField>
    <cacheField name="CARREGAMENTO-SUPER-AO-ACERTAR-EM-PROJETEIS" numFmtId="164">
      <sharedItems containsSemiMixedTypes="0" containsString="0" containsNumber="1" containsInteger="1" minValue="0" maxValue="0"/>
    </cacheField>
    <cacheField name="CURTO-ALCANCE-DANO-SUPER-MEDIO" numFmtId="164">
      <sharedItems containsSemiMixedTypes="0" containsString="0" containsNumber="1" containsInteger="1" minValue="0" maxValue="800"/>
    </cacheField>
    <cacheField name="MEDIO-ALCANCE-DANO-SUPER-MEDIO" numFmtId="164">
      <sharedItems containsSemiMixedTypes="0" containsString="0" containsNumber="1" containsInteger="1" minValue="-100" maxValue="1600"/>
    </cacheField>
    <cacheField name="LONGO-ALCANCE-DANO-SUPER-MEDIO" numFmtId="164">
      <sharedItems containsSemiMixedTypes="0" containsString="0" containsNumber="1" containsInteger="1" minValue="-300" maxValue="3200"/>
    </cacheField>
    <cacheField name="MT-LONGO-ALCANCE-DANO-SUPER-MEDIO" numFmtId="164">
      <sharedItems containsSemiMixedTypes="0" containsString="0" containsNumber="1" containsInteger="1" minValue="-200" maxValue="3200"/>
    </cacheField>
    <cacheField name="MÉDIA-DANO-POR-SUPER" numFmtId="164">
      <sharedItems containsSemiMixedTypes="0" containsString="0" containsNumber="1" containsInteger="1" minValue="-100" maxValue="1600"/>
    </cacheField>
    <cacheField name="DANO-OCASIONAL" numFmtId="164">
      <sharedItems containsSemiMixedTypes="0" containsString="0" containsNumber="1" containsInteger="1" minValue="0" maxValue="15840"/>
    </cacheField>
    <cacheField name="Durability" numFmtId="2">
      <sharedItems containsSemiMixedTypes="0" containsString="0" containsNumber="1" minValue="0" maxValue="1.0714285714285712"/>
    </cacheField>
    <cacheField name="Distância-Ataque" numFmtId="164">
      <sharedItems containsSemiMixedTypes="0" containsString="0" containsNumber="1" minValue="0" maxValue="0.5"/>
    </cacheField>
    <cacheField name="Botão-de-Fuga" numFmtId="164">
      <sharedItems containsSemiMixedTypes="0" containsString="0" containsNumber="1" minValue="0" maxValue="5.3333333333333321"/>
    </cacheField>
    <cacheField name="Ataque-amplo" numFmtId="164">
      <sharedItems containsSemiMixedTypes="0" containsString="0" containsNumber="1" containsInteger="1" minValue="0" maxValue="2"/>
    </cacheField>
    <cacheField name="FREQUENCIA-DANO-INDIRETO" numFmtId="164">
      <sharedItems containsSemiMixedTypes="0" containsString="0" containsNumber="1" minValue="0" maxValue="2.5"/>
    </cacheField>
    <cacheField name="NEGACAO-DE-AREA" numFmtId="164">
      <sharedItems containsSemiMixedTypes="0" containsString="0" containsNumber="1" minValue="0" maxValue="1.125"/>
    </cacheField>
    <cacheField name="MANIPULACAO-DA-POSICAO-DE-INIMIGOS" numFmtId="164">
      <sharedItems containsSemiMixedTypes="0" containsString="0" containsNumber="1" minValue="0" maxValue="2"/>
    </cacheField>
    <cacheField name="ANDA-SOBRE-AGUA" numFmtId="164">
      <sharedItems containsSemiMixedTypes="0" containsString="0" containsNumber="1" containsInteger="1" minValue="0" maxValue="0"/>
    </cacheField>
    <cacheField name="COMBATER-INIMIGOS-SOBRE-AGUA" numFmtId="164">
      <sharedItems containsSemiMixedTypes="0" containsString="0" containsNumber="1" containsInteger="1" minValue="0" maxValue="0"/>
    </cacheField>
    <cacheField name="POTENCIAL-DESTRUIÇÃO-DE-MUROS" numFmtId="164">
      <sharedItems containsSemiMixedTypes="0" containsString="0" containsNumber="1" containsInteger="1" minValue="0" maxValue="0"/>
    </cacheField>
    <cacheField name="POTENCIAL-DESTRUIÇÃO-DE-MOITAS" numFmtId="164">
      <sharedItems containsSemiMixedTypes="0" containsString="0" containsNumber="1" containsInteger="1" minValue="0" maxValue="0"/>
    </cacheField>
    <cacheField name="POTENCIAL-DE-CRIACAO-DE-COVER" numFmtId="164">
      <sharedItems containsSemiMixedTypes="0" containsString="0" containsNumber="1" containsInteger="1" minValue="0" maxValue="2"/>
    </cacheField>
    <cacheField name="VELOCIDADE-MOVIMENTO" numFmtId="164">
      <sharedItems containsSemiMixedTypes="0" containsString="0" containsNumber="1" minValue="0" maxValue="0.40404040404040398"/>
    </cacheField>
    <cacheField name="FORÇA-ATK-SURP" numFmtId="164">
      <sharedItems containsSemiMixedTypes="0" containsString="0" containsNumber="1" minValue="0" maxValue="1"/>
    </cacheField>
    <cacheField name="Ataque-Surpresa" numFmtId="164">
      <sharedItems containsSemiMixedTypes="0" containsString="0" containsNumber="1" minValue="0" maxValue="1"/>
    </cacheField>
    <cacheField name="FREQUÊNCIA-GERAÇÃO-DE-PETS" numFmtId="164">
      <sharedItems containsSemiMixedTypes="0" containsString="0" containsNumber="1" minValue="0" maxValue="5.5"/>
    </cacheField>
    <cacheField name="ACÚMULO-PETS" numFmtId="164">
      <sharedItems containsSemiMixedTypes="0" containsString="0" containsNumber="1" containsInteger="1" minValue="0" maxValue="1"/>
    </cacheField>
    <cacheField name="VIDA-DETERIORÁVEL-PETS" numFmtId="164">
      <sharedItems containsSemiMixedTypes="0" containsString="0" containsNumber="1" containsInteger="1" minValue="0" maxValue="1"/>
    </cacheField>
    <cacheField name="RESISTÊNCIA-PETS" numFmtId="164">
      <sharedItems containsSemiMixedTypes="0" containsString="0" containsNumber="1" minValue="0" maxValue="3.5"/>
    </cacheField>
    <cacheField name="DANO-PETS" numFmtId="164">
      <sharedItems containsSemiMixedTypes="0" containsString="0" containsNumber="1" containsInteger="1" minValue="0" maxValue="0"/>
    </cacheField>
    <cacheField name="ALCANCE-PETS" numFmtId="164">
      <sharedItems containsSemiMixedTypes="0" containsString="0" containsNumber="1" containsInteger="1" minValue="0" maxValue="0"/>
    </cacheField>
    <cacheField name="VELOCIDADE-PETS" numFmtId="164">
      <sharedItems containsSemiMixedTypes="0" containsString="0" containsNumber="1" containsInteger="1" minValue="0" maxValue="0"/>
    </cacheField>
    <cacheField name="PROXIMIDADE-PETS" numFmtId="164">
      <sharedItems containsSemiMixedTypes="0" containsString="0" containsNumber="1" minValue="0" maxValue="7.5"/>
    </cacheField>
    <cacheField name="DANO-AUMENTADO-QUANDO-AGRUPADO" numFmtId="164">
      <sharedItems containsSemiMixedTypes="0" containsString="0" containsNumber="1" containsInteger="1" minValue="0" maxValue="1"/>
    </cacheField>
    <cacheField name="CIRCUSNTANCIABILIDADE" numFmtId="164">
      <sharedItems containsSemiMixedTypes="0" containsString="0" containsNumber="1" minValue="0" maxValue="5"/>
    </cacheField>
    <cacheField name="HP-SUPORTE" numFmtId="164">
      <sharedItems containsSemiMixedTypes="0" containsString="0" containsNumber="1" minValue="0" maxValue="6"/>
    </cacheField>
    <cacheField name="HP-ENFRAQUECIMENTO" numFmtId="164">
      <sharedItems containsSemiMixedTypes="0" containsString="0" containsNumber="1" containsInteger="1" minValue="0" maxValue="0"/>
    </cacheField>
    <cacheField name="DANO-SUPORTE" numFmtId="164">
      <sharedItems containsSemiMixedTypes="0" containsString="0" containsNumber="1" containsInteger="1" minValue="0" maxValue="0"/>
    </cacheField>
    <cacheField name="DANO-ENFRAQUECIMENTO" numFmtId="164">
      <sharedItems containsSemiMixedTypes="0" containsString="0" containsNumber="1" containsInteger="1" minValue="0" maxValue="0"/>
    </cacheField>
    <cacheField name="SPEED-SUPORTE" numFmtId="164">
      <sharedItems containsSemiMixedTypes="0" containsString="0" containsNumber="1" minValue="0" maxValue="5.25"/>
    </cacheField>
    <cacheField name="INVISIBILIDADE-SUPORTE" numFmtId="164">
      <sharedItems containsSemiMixedTypes="0" containsString="0" containsNumber="1" minValue="0" maxValue="5.166666666666667"/>
    </cacheField>
    <cacheField name="ESCUDO-SUPORTE" numFmtId="164">
      <sharedItems containsSemiMixedTypes="0" containsString="0" containsNumber="1" containsInteger="1" minValue="0" maxValue="0"/>
    </cacheField>
    <cacheField name="POSICIONAMENTO-SUPORTE" numFmtId="164">
      <sharedItems containsSemiMixedTypes="0" containsString="0" containsNumber="1" containsInteger="1" minValue="0" maxValue="0"/>
    </cacheField>
    <cacheField name="VENENO-DEBUFF" numFmtId="164">
      <sharedItems containsSemiMixedTypes="0" containsString="0" containsNumber="1" containsInteger="1" minValue="0" maxValue="0"/>
    </cacheField>
    <cacheField name="COUNTER-VENENO-DEBUFF" numFmtId="164">
      <sharedItems containsSemiMixedTypes="0" containsString="0" containsNumber="1" minValue="0" maxValue="7.75"/>
    </cacheField>
    <cacheField name="LENTIDAO-DEBUFF" numFmtId="164">
      <sharedItems containsSemiMixedTypes="0" containsString="0" containsNumber="1" minValue="0" maxValue="1.1666666666666667"/>
    </cacheField>
    <cacheField name="COUNTER-LENTIDAO-DEBUFF" numFmtId="164">
      <sharedItems containsSemiMixedTypes="0" containsString="0" containsNumber="1" minValue="0" maxValue="7.75"/>
    </cacheField>
    <cacheField name="STUN-DEBUFF" numFmtId="164">
      <sharedItems containsSemiMixedTypes="0" containsString="0" containsNumber="1" minValue="0" maxValue="1.125"/>
    </cacheField>
    <cacheField name="COUNTER-STUN-DEBUFF" numFmtId="164">
      <sharedItems containsSemiMixedTypes="0" containsString="0" containsNumber="1" minValue="0" maxValue="7.75"/>
    </cacheField>
    <cacheField name="CANCELAMENTO-ATAQUES" numFmtId="164">
      <sharedItems containsSemiMixedTypes="0" containsString="0" containsNumber="1" minValue="0" maxValue="1.75"/>
    </cacheField>
    <cacheField name="COUNTER-CANCELAMENTO-ATAQUES" numFmtId="164">
      <sharedItems containsSemiMixedTypes="0" containsString="0" containsNumber="1" containsInteger="1" minValue="0" maxValue="0"/>
    </cacheField>
    <cacheField name="BLOQUEIO-DE-INIMIGOS" numFmtId="164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4.81609270833" createdVersion="8" refreshedVersion="8" minRefreshableVersion="3" recordCount="18" xr:uid="{25B19F82-1BB5-48BD-9F77-E037BB8A7B46}">
  <cacheSource type="worksheet">
    <worksheetSource ref="B2:BL20" sheet="PRIMEIRO ACESSÓRIO"/>
  </cacheSource>
  <cacheFields count="60">
    <cacheField name="NOME ACESSÓRIO" numFmtId="0">
      <sharedItems count="18">
        <s v="WARPIN' TIME"/>
        <s v="STINGING FLIGHT"/>
        <s v="MULTIBALL LAUNCHER"/>
        <s v="POPPING PINCUSHION"/>
        <s v="CLONE PROJECTOR"/>
        <s v="SPRING EJECTOR"/>
        <s v="FAST FORWARD"/>
        <s v="TUNING FORK"/>
        <s v="FRIENDSHIP IS GREAT"/>
        <s v="ACTIVE NOISE CANCELING"/>
        <s v="SLEEP STIMULATOR"/>
        <s v="PNEUMATIC BOOSTER"/>
        <s v="SALTY BARREL"/>
        <s v="COMBO SPINNER"/>
        <s v="MINE MANIA"/>
        <s v="VOODOO CHILE"/>
        <s v="GOTTA GO"/>
        <s v="PHASE SHIFTER"/>
      </sharedItems>
    </cacheField>
    <cacheField name="Nome Brawler" numFmtId="0">
      <sharedItems count="18">
        <s v="NANI"/>
        <s v="ANGELO"/>
        <s v="RICO"/>
        <s v="SPIKE"/>
        <s v="LEON"/>
        <s v="GALE"/>
        <s v="SHELLY"/>
        <s v="POCO"/>
        <s v="BERRY"/>
        <s v="FRANK"/>
        <s v="SANDY"/>
        <s v="JACKY"/>
        <s v="PENNY"/>
        <s v="MORTIS"/>
        <s v="TICK"/>
        <s v="JUJU"/>
        <s v="EVE"/>
        <s v="MAX"/>
      </sharedItems>
    </cacheField>
    <cacheField name="PROJETEIS-PARA-SUPER" numFmtId="164">
      <sharedItems containsSemiMixedTypes="0" containsString="0" containsNumber="1" containsInteger="1" minValue="0" maxValue="0"/>
    </cacheField>
    <cacheField name="SUPERS-PARA-HIPERCARGA" numFmtId="164">
      <sharedItems containsSemiMixedTypes="0" containsString="0" containsNumber="1" containsInteger="1" minValue="0" maxValue="0"/>
    </cacheField>
    <cacheField name="DANO-PROJETIL" numFmtId="164">
      <sharedItems containsSemiMixedTypes="0" containsString="0" containsNumber="1" containsInteger="1" minValue="0" maxValue="0"/>
    </cacheField>
    <cacheField name="TIROS-DADOS-EM-5-SEGUNDOS" numFmtId="164">
      <sharedItems containsSemiMixedTypes="0" containsString="0" containsNumber="1" containsInteger="1" minValue="0" maxValue="0"/>
    </cacheField>
    <cacheField name="MÉDIA-PROJETEIS-POR-TIRO" numFmtId="164">
      <sharedItems containsSemiMixedTypes="0" containsString="0" containsNumber="1" minValue="0" maxValue="0.66666666666666652"/>
    </cacheField>
    <cacheField name="CURTO-ALCANCE-QUANT-PROJETIL-MEDIO" numFmtId="164">
      <sharedItems containsSemiMixedTypes="0" containsString="0" containsNumber="1" minValue="0" maxValue="2"/>
    </cacheField>
    <cacheField name="MEDIO-ALCANCE-QUANT-PROJETIL-MEDIO" numFmtId="164">
      <sharedItems containsSemiMixedTypes="0" containsString="0" containsNumber="1" minValue="0" maxValue="1"/>
    </cacheField>
    <cacheField name="LONGO-ALCANCE-QUANT-PROJETIL-MEDIO" numFmtId="164">
      <sharedItems containsSemiMixedTypes="0" containsString="0" containsNumber="1" minValue="0" maxValue="0.5"/>
    </cacheField>
    <cacheField name="MTLONGO-ALCANCE-QUANT-PROJETIL-MEDIO" numFmtId="164">
      <sharedItems containsSemiMixedTypes="0" containsString="0" containsNumber="1" minValue="0" maxValue="0.33333333333333326"/>
    </cacheField>
    <cacheField name="CARREGAMENTO-SUPER-AO-ACERTAR-EM-PROJETEIS" numFmtId="164">
      <sharedItems containsSemiMixedTypes="0" containsString="0" containsNumber="1" containsInteger="1" minValue="0" maxValue="0"/>
    </cacheField>
    <cacheField name="CURTO-ALCANCE-DANO-SUPER-MEDIO" numFmtId="164">
      <sharedItems containsSemiMixedTypes="0" containsString="0" containsNumber="1" containsInteger="1" minValue="0" maxValue="0"/>
    </cacheField>
    <cacheField name="MEDIO-ALCANCE-DANO-SUPER-MEDIO" numFmtId="164">
      <sharedItems containsSemiMixedTypes="0" containsString="0" containsNumber="1" containsInteger="1" minValue="0" maxValue="0"/>
    </cacheField>
    <cacheField name="LONGO-ALCANCE-DANO-SUPER-MEDIO" numFmtId="164">
      <sharedItems containsSemiMixedTypes="0" containsString="0" containsNumber="1" containsInteger="1" minValue="0" maxValue="0"/>
    </cacheField>
    <cacheField name="MT-LONGO-ALCANCE-DANO-SUPER-MEDIO" numFmtId="164">
      <sharedItems containsSemiMixedTypes="0" containsString="0" containsNumber="1" containsInteger="1" minValue="0" maxValue="0"/>
    </cacheField>
    <cacheField name="MÉDIA-DANO-POR-SUPER" numFmtId="164">
      <sharedItems containsSemiMixedTypes="0" containsString="0" containsNumber="1" containsInteger="1" minValue="0" maxValue="0"/>
    </cacheField>
    <cacheField name="DANO-OCASIONAL" numFmtId="164">
      <sharedItems containsSemiMixedTypes="0" containsString="0" containsNumber="1" containsInteger="1" minValue="0" maxValue="4830"/>
    </cacheField>
    <cacheField name="Durability" numFmtId="2">
      <sharedItems containsSemiMixedTypes="0" containsString="0" containsNumber="1" minValue="0" maxValue="1.1714285714285717"/>
    </cacheField>
    <cacheField name="Distância-Ataque" numFmtId="164">
      <sharedItems containsSemiMixedTypes="0" containsString="0" containsNumber="1" containsInteger="1" minValue="0" maxValue="0"/>
    </cacheField>
    <cacheField name="Botão-de-Fuga" numFmtId="164">
      <sharedItems containsSemiMixedTypes="0" containsString="0" containsNumber="1" minValue="0" maxValue="7.5"/>
    </cacheField>
    <cacheField name="Ataque-amplo" numFmtId="164">
      <sharedItems containsSemiMixedTypes="0" containsString="0" containsNumber="1" containsInteger="1" minValue="0" maxValue="3"/>
    </cacheField>
    <cacheField name="FREQUENCIA-DANO-INDIRETO" numFmtId="164">
      <sharedItems containsSemiMixedTypes="0" containsString="0" containsNumber="1" containsInteger="1" minValue="0" maxValue="0"/>
    </cacheField>
    <cacheField name="NEGACAO-DE-AREA" numFmtId="164">
      <sharedItems containsSemiMixedTypes="0" containsString="0" containsNumber="1" containsInteger="1" minValue="0" maxValue="0"/>
    </cacheField>
    <cacheField name="MANIPULACAO-DA-POSICAO-DE-INIMIGOS" numFmtId="164">
      <sharedItems containsSemiMixedTypes="0" containsString="0" containsNumber="1" minValue="0" maxValue="3.5"/>
    </cacheField>
    <cacheField name="ANDA-SOBRE-AGUA" numFmtId="164">
      <sharedItems containsSemiMixedTypes="0" containsString="0" containsNumber="1" containsInteger="1" minValue="0" maxValue="0"/>
    </cacheField>
    <cacheField name="COMBATER-INIMIGOS-SOBRE-AGUA" numFmtId="164">
      <sharedItems containsSemiMixedTypes="0" containsString="0" containsNumber="1" containsInteger="1" minValue="0" maxValue="0"/>
    </cacheField>
    <cacheField name="POTENCIAL-DESTRUIÇÃO-DE-MUROS" numFmtId="164">
      <sharedItems containsSemiMixedTypes="0" containsString="0" containsNumber="1" containsInteger="1" minValue="0" maxValue="0"/>
    </cacheField>
    <cacheField name="POTENCIAL-DESTRUIÇÃO-DE-MOITAS" numFmtId="164">
      <sharedItems containsSemiMixedTypes="0" containsString="0" containsNumber="1" containsInteger="1" minValue="0" maxValue="0"/>
    </cacheField>
    <cacheField name="POTENCIAL-DE-CRIACAO-DE-COVER" numFmtId="164">
      <sharedItems containsSemiMixedTypes="0" containsString="0" containsNumber="1" containsInteger="1" minValue="0" maxValue="0"/>
    </cacheField>
    <cacheField name="VELOCIDADE-MOVIMENTO" numFmtId="164">
      <sharedItems containsSemiMixedTypes="0" containsString="0" containsNumber="1" minValue="0" maxValue="1.333333333333333"/>
    </cacheField>
    <cacheField name="FORÇA-ATK-SURP" numFmtId="164">
      <sharedItems containsSemiMixedTypes="0" containsString="0" containsNumber="1" containsInteger="1" minValue="0" maxValue="5"/>
    </cacheField>
    <cacheField name="Ataque-Surpresa" numFmtId="164">
      <sharedItems containsSemiMixedTypes="0" containsString="0" containsNumber="1" minValue="0" maxValue="7"/>
    </cacheField>
    <cacheField name="FREQUÊNCIA-GERAÇÃO-DE-PETS" numFmtId="164">
      <sharedItems containsSemiMixedTypes="0" containsString="0" containsNumber="1" minValue="0" maxValue="6.5"/>
    </cacheField>
    <cacheField name="ACÚMULO-PETS" numFmtId="164">
      <sharedItems containsSemiMixedTypes="0" containsString="0" containsNumber="1" containsInteger="1" minValue="0" maxValue="1"/>
    </cacheField>
    <cacheField name="VIDA-DETERIORÁVEL-PETS" numFmtId="164">
      <sharedItems containsSemiMixedTypes="0" containsString="0" containsNumber="1" containsInteger="1" minValue="0" maxValue="0"/>
    </cacheField>
    <cacheField name="RESISTÊNCIA-PETS" numFmtId="164">
      <sharedItems containsSemiMixedTypes="0" containsString="0" containsNumber="1" minValue="0" maxValue="1.8149999999999999"/>
    </cacheField>
    <cacheField name="DANO-PETS" numFmtId="164">
      <sharedItems containsSemiMixedTypes="0" containsString="0" containsNumber="1" containsInteger="1" minValue="0" maxValue="1"/>
    </cacheField>
    <cacheField name="ALCANCE-PETS" numFmtId="164">
      <sharedItems containsSemiMixedTypes="0" containsString="0" containsNumber="1" containsInteger="1" minValue="0" maxValue="1"/>
    </cacheField>
    <cacheField name="VELOCIDADE-PETS" numFmtId="164">
      <sharedItems containsSemiMixedTypes="0" containsString="0" containsNumber="1" containsInteger="1" minValue="0" maxValue="9"/>
    </cacheField>
    <cacheField name="PROXIMIDADE-PETS" numFmtId="164">
      <sharedItems containsSemiMixedTypes="0" containsString="0" containsNumber="1" minValue="0" maxValue="2.5"/>
    </cacheField>
    <cacheField name="DANO-AUMENTADO-QUANDO-AGRUPADO" numFmtId="164">
      <sharedItems containsSemiMixedTypes="0" containsString="0" containsNumber="1" minValue="0" maxValue="0.5"/>
    </cacheField>
    <cacheField name="CIRCUNSTANCIABILIDADE" numFmtId="164">
      <sharedItems containsSemiMixedTypes="0" containsString="0" containsNumber="1" containsInteger="1" minValue="0" maxValue="0"/>
    </cacheField>
    <cacheField name="HP-SUPORTE" numFmtId="164">
      <sharedItems containsSemiMixedTypes="0" containsString="0" containsNumber="1" minValue="0" maxValue="4.5"/>
    </cacheField>
    <cacheField name="HP-ENFRAQUECIMENTO" numFmtId="164">
      <sharedItems containsSemiMixedTypes="0" containsString="0" containsNumber="1" containsInteger="1" minValue="0" maxValue="0"/>
    </cacheField>
    <cacheField name="DANO-SUPORTE" numFmtId="164">
      <sharedItems containsSemiMixedTypes="0" containsString="0" containsNumber="1" containsInteger="1" minValue="0" maxValue="0"/>
    </cacheField>
    <cacheField name="DANO-ENFRAQUECIMENTO" numFmtId="164">
      <sharedItems containsSemiMixedTypes="0" containsString="0" containsNumber="1" containsInteger="1" minValue="0" maxValue="0"/>
    </cacheField>
    <cacheField name="SPEED-SUPORTE" numFmtId="164">
      <sharedItems containsSemiMixedTypes="0" containsString="0" containsNumber="1" containsInteger="1" minValue="0" maxValue="0"/>
    </cacheField>
    <cacheField name="INVISIBILIDADE-SUPORTE" numFmtId="164">
      <sharedItems containsSemiMixedTypes="0" containsString="0" containsNumber="1" containsInteger="1" minValue="0" maxValue="0"/>
    </cacheField>
    <cacheField name="ESCUDO-SUPORTE" numFmtId="164">
      <sharedItems containsSemiMixedTypes="0" containsString="0" containsNumber="1" containsInteger="1" minValue="0" maxValue="0"/>
    </cacheField>
    <cacheField name="POSICIONAMENTO-SUPORTE" numFmtId="164">
      <sharedItems containsSemiMixedTypes="0" containsString="0" containsNumber="1" minValue="0" maxValue="2.5"/>
    </cacheField>
    <cacheField name="VENENO-DEBUFF" numFmtId="164">
      <sharedItems containsSemiMixedTypes="0" containsString="0" containsNumber="1" containsInteger="1" minValue="0" maxValue="0"/>
    </cacheField>
    <cacheField name="COUNTER-VENENO-DEBUFF" numFmtId="164">
      <sharedItems containsSemiMixedTypes="0" containsString="0" containsNumber="1" containsInteger="1" minValue="0" maxValue="0"/>
    </cacheField>
    <cacheField name="LENTIDAO-DEBUFF" numFmtId="164">
      <sharedItems containsSemiMixedTypes="0" containsString="0" containsNumber="1" minValue="0" maxValue="1.8888888888888884"/>
    </cacheField>
    <cacheField name="COUNTER-LENTIDAO-DEBUFF" numFmtId="164">
      <sharedItems containsSemiMixedTypes="0" containsString="0" containsNumber="1" containsInteger="1" minValue="0" maxValue="0"/>
    </cacheField>
    <cacheField name="STUN-DEBUFF" numFmtId="164">
      <sharedItems containsSemiMixedTypes="0" containsString="0" containsNumber="1" minValue="0" maxValue="4.5"/>
    </cacheField>
    <cacheField name="COUNTER-STUN-DEBUFF" numFmtId="164">
      <sharedItems containsSemiMixedTypes="0" containsString="0" containsNumber="1" containsInteger="1" minValue="0" maxValue="0"/>
    </cacheField>
    <cacheField name="CANCELAMENTO-ATAQUES" numFmtId="164">
      <sharedItems containsSemiMixedTypes="0" containsString="0" containsNumber="1" containsInteger="1" minValue="0" maxValue="0"/>
    </cacheField>
    <cacheField name="COUNTER-CANCELAMENTO-ATAQUES" numFmtId="164">
      <sharedItems containsSemiMixedTypes="0" containsString="0" containsNumber="1" containsInteger="1" minValue="0" maxValue="3"/>
    </cacheField>
    <cacheField name="BLOQUEIO-DE-INIMIGOS" numFmtId="164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4.81609270833" createdVersion="8" refreshedVersion="8" minRefreshableVersion="3" recordCount="18" xr:uid="{A03729DF-1EAF-460D-A532-699DCA890DED}">
  <cacheSource type="worksheet">
    <worksheetSource ref="B2:CM20" sheet="BRAWLERS OFICIAL"/>
  </cacheSource>
  <cacheFields count="87">
    <cacheField name="ID" numFmtId="0">
      <sharedItems containsSemiMixedTypes="0" containsString="0" containsNumber="1" containsInteger="1" minValue="1" maxValue="89" count="18">
        <n v="28"/>
        <n v="44"/>
        <n v="14"/>
        <n v="86"/>
        <n v="88"/>
        <n v="33"/>
        <n v="1"/>
        <n v="8"/>
        <n v="45"/>
        <n v="25"/>
        <n v="89"/>
        <n v="18"/>
        <n v="16"/>
        <n v="49"/>
        <n v="12"/>
        <n v="76"/>
        <n v="61"/>
        <n v="52"/>
      </sharedItems>
    </cacheField>
    <cacheField name="Nome Brawler" numFmtId="0">
      <sharedItems count="18">
        <s v="NANI"/>
        <s v="ANGELO"/>
        <s v="RICO"/>
        <s v="SPIKE"/>
        <s v="LEON"/>
        <s v="GALE"/>
        <s v="SHELLY"/>
        <s v="POCO"/>
        <s v="BERRY"/>
        <s v="FRANK"/>
        <s v="SANDY"/>
        <s v="JACKY"/>
        <s v="PENNY"/>
        <s v="MORTIS"/>
        <s v="TICK"/>
        <s v="JUJU"/>
        <s v="EVE"/>
        <s v="MAX"/>
      </sharedItems>
    </cacheField>
    <cacheField name="PROJETEIS-PARA-SUPER" numFmtId="164">
      <sharedItems containsSemiMixedTypes="0" containsString="0" containsNumber="1" containsInteger="1" minValue="3" maxValue="16"/>
    </cacheField>
    <cacheField name="SUPERS-PARA-HIPERCARGA" numFmtId="164">
      <sharedItems containsSemiMixedTypes="0" containsString="0" containsNumber="1" minValue="2.2142857142857144" maxValue="4"/>
    </cacheField>
    <cacheField name="DANO-PROJETIL" numFmtId="164">
      <sharedItems containsSemiMixedTypes="0" containsString="0" containsNumber="1" containsInteger="1" minValue="600" maxValue="4000"/>
    </cacheField>
    <cacheField name="TIROS-DADOS-EM-5-SEGUNDOS" numFmtId="164">
      <sharedItems containsSemiMixedTypes="0" containsString="0" containsNumber="1" minValue="1.65" maxValue="3.3"/>
    </cacheField>
    <cacheField name="MÉDIA-PROJETEIS-POR-TIRO" numFmtId="164">
      <sharedItems containsSemiMixedTypes="0" containsString="0" containsNumber="1" minValue="1" maxValue="6"/>
    </cacheField>
    <cacheField name="CURTO-ALCANCE-QUANT-PROJETIL-MEDIO" numFmtId="164">
      <sharedItems containsSemiMixedTypes="0" containsString="0" containsNumber="1" containsInteger="1" minValue="1" maxValue="5"/>
    </cacheField>
    <cacheField name="MEDIO-ALCANCE-QUANT-PROJETIL-MEDIO" numFmtId="164">
      <sharedItems containsSemiMixedTypes="0" containsString="0" containsNumber="1" minValue="0.5" maxValue="4"/>
    </cacheField>
    <cacheField name="LONGO-ALCANCE-QUANT-PROJETIL-MEDIO" numFmtId="164">
      <sharedItems containsSemiMixedTypes="0" containsString="0" containsNumber="1" minValue="0" maxValue="3"/>
    </cacheField>
    <cacheField name="MTLONGO-ALCANCE-QUANT-PROJETIL-MEDIO" numFmtId="164">
      <sharedItems containsSemiMixedTypes="0" containsString="0" containsNumber="1" minValue="0" maxValue="1.6"/>
    </cacheField>
    <cacheField name="CARREGAMENTO-SUPER-AO-ACERTAR-EM-PROJETEIS" numFmtId="164">
      <sharedItems containsSemiMixedTypes="0" containsString="0" containsNumber="1" minValue="0" maxValue="10"/>
    </cacheField>
    <cacheField name="CURTO-ALCANCE-DANO-SUPER-MEDIO" numFmtId="164">
      <sharedItems containsSemiMixedTypes="0" containsString="0" containsNumber="1" containsInteger="1" minValue="0" maxValue="8640"/>
    </cacheField>
    <cacheField name="MEDIO-ALCANCE-DANO-SUPER-MEDIO" numFmtId="164">
      <sharedItems containsSemiMixedTypes="0" containsString="0" containsNumber="1" containsInteger="1" minValue="0" maxValue="9600"/>
    </cacheField>
    <cacheField name="LONGO-ALCANCE-DANO-SUPER-MEDIO" numFmtId="164">
      <sharedItems containsSemiMixedTypes="0" containsString="0" containsNumber="1" containsInteger="1" minValue="0" maxValue="9600"/>
    </cacheField>
    <cacheField name="MT-LONGO-ALCANCE-DANO-SUPER-MEDIO" numFmtId="164">
      <sharedItems containsSemiMixedTypes="0" containsString="0" containsNumber="1" containsInteger="1" minValue="0" maxValue="9600"/>
    </cacheField>
    <cacheField name="MÉDIA-DANO-POR-SUPER" numFmtId="164">
      <sharedItems containsSemiMixedTypes="0" containsString="0" containsNumber="1" containsInteger="1" minValue="0" maxValue="4800"/>
    </cacheField>
    <cacheField name="DANO-OCASIONAL" numFmtId="164">
      <sharedItems containsSemiMixedTypes="0" containsString="0" containsNumber="1" containsInteger="1" minValue="0" maxValue="0"/>
    </cacheField>
    <cacheField name="Durability" numFmtId="164">
      <sharedItems containsSemiMixedTypes="0" containsString="0" containsNumber="1" minValue="3.4285714285714284" maxValue="9.7142857142857135"/>
    </cacheField>
    <cacheField name="Distância-Ataque" numFmtId="164">
      <sharedItems containsSemiMixedTypes="0" containsString="0" containsNumber="1" containsInteger="1" minValue="1" maxValue="10"/>
    </cacheField>
    <cacheField name="Botão-de-Fuga" numFmtId="164">
      <sharedItems containsSemiMixedTypes="0" containsString="0" containsNumber="1" minValue="0" maxValue="6.333333333333333"/>
    </cacheField>
    <cacheField name="Ataque-amplo" numFmtId="164">
      <sharedItems containsSemiMixedTypes="0" containsString="0" containsNumber="1" containsInteger="1" minValue="0" maxValue="9"/>
    </cacheField>
    <cacheField name="FREQUENCIA-DANO-INDIRETO" numFmtId="164">
      <sharedItems containsSemiMixedTypes="0" containsString="0" containsNumber="1" containsInteger="1" minValue="0" maxValue="7"/>
    </cacheField>
    <cacheField name="NEGACAO-DE-AREA" numFmtId="164">
      <sharedItems containsSemiMixedTypes="0" containsString="0" containsNumber="1" minValue="0" maxValue="8.25"/>
    </cacheField>
    <cacheField name="MANIPULACAO-DA-POSICAO-DE-INIMIGOS" numFmtId="164">
      <sharedItems containsSemiMixedTypes="0" containsString="0" containsNumber="1" containsInteger="1" minValue="0" maxValue="10"/>
    </cacheField>
    <cacheField name="ANDA-SOBRE-AGUA" numFmtId="164">
      <sharedItems containsSemiMixedTypes="0" containsString="0" containsNumber="1" containsInteger="1" minValue="0" maxValue="1"/>
    </cacheField>
    <cacheField name="COMBATER-INIMIGOS-SOBRE-AGUA" numFmtId="164">
      <sharedItems containsSemiMixedTypes="0" containsString="0" containsNumber="1" containsInteger="1" minValue="0" maxValue="7"/>
    </cacheField>
    <cacheField name="POTENCIAL-DESTRUIÇÃO-DE-MUROS" numFmtId="164">
      <sharedItems containsSemiMixedTypes="0" containsString="0" containsNumber="1" containsInteger="1" minValue="0" maxValue="9"/>
    </cacheField>
    <cacheField name="POTENCIAL-DESTRUIÇÃO-DE-MOITAS" numFmtId="164">
      <sharedItems containsSemiMixedTypes="0" containsString="0" containsNumber="1" containsInteger="1" minValue="0" maxValue="8"/>
    </cacheField>
    <cacheField name="POTENCIAL-DE-CRIACAO-DE-COVER" numFmtId="164">
      <sharedItems containsSemiMixedTypes="0" containsString="0" containsNumber="1" containsInteger="1" minValue="0" maxValue="0"/>
    </cacheField>
    <cacheField name="VELOCIDADE-MOVIMENTO" numFmtId="164">
      <sharedItems containsSemiMixedTypes="0" containsString="0" containsNumber="1" containsInteger="1" minValue="5" maxValue="9"/>
    </cacheField>
    <cacheField name="FORÇA-ATK-SURP" numFmtId="164">
      <sharedItems containsSemiMixedTypes="0" containsString="0" containsNumber="1" containsInteger="1" minValue="0" maxValue="7"/>
    </cacheField>
    <cacheField name="Ataque-Surpresa" numFmtId="164">
      <sharedItems containsSemiMixedTypes="0" containsString="0" containsNumber="1" containsInteger="1" minValue="0" maxValue="7"/>
    </cacheField>
    <cacheField name="FREQUÊNCIA-GERAÇÃO-DE-PETS" numFmtId="164">
      <sharedItems containsSemiMixedTypes="0" containsString="0" containsNumber="1" containsInteger="1" minValue="0" maxValue="8"/>
    </cacheField>
    <cacheField name="ACÚMULO-PETS" numFmtId="164">
      <sharedItems containsSemiMixedTypes="0" containsString="0" containsNumber="1" containsInteger="1" minValue="0" maxValue="7"/>
    </cacheField>
    <cacheField name="VIDA-DETERIORÁVEL-PETS" numFmtId="164">
      <sharedItems containsSemiMixedTypes="0" containsString="0" containsNumber="1" containsInteger="1" minValue="0" maxValue="1"/>
    </cacheField>
    <cacheField name="RESISTÊNCIA-PETS" numFmtId="164">
      <sharedItems containsSemiMixedTypes="0" containsString="0" containsNumber="1" containsInteger="1" minValue="0" maxValue="7"/>
    </cacheField>
    <cacheField name="DANO-PETS" numFmtId="164">
      <sharedItems containsSemiMixedTypes="0" containsString="0" containsNumber="1" containsInteger="1" minValue="0" maxValue="7"/>
    </cacheField>
    <cacheField name="ALCANCE-PETS" numFmtId="164">
      <sharedItems containsSemiMixedTypes="0" containsString="0" containsNumber="1" containsInteger="1" minValue="0" maxValue="10"/>
    </cacheField>
    <cacheField name="VELOCIDADE-PETS" numFmtId="164">
      <sharedItems containsSemiMixedTypes="0" containsString="0" containsNumber="1" containsInteger="1" minValue="0" maxValue="10"/>
    </cacheField>
    <cacheField name="PROXIMIDADE-PETS" numFmtId="164">
      <sharedItems containsSemiMixedTypes="0" containsString="0" containsNumber="1" minValue="0" maxValue="7.5"/>
    </cacheField>
    <cacheField name="DANO-AUMENTADO-QUANDO-AGRUPADO" numFmtId="164">
      <sharedItems containsSemiMixedTypes="0" containsString="0" containsNumber="1" containsInteger="1" minValue="0" maxValue="9"/>
    </cacheField>
    <cacheField name="CISCUNSTANCIABILIDADE" numFmtId="164">
      <sharedItems containsSemiMixedTypes="0" containsString="0" containsNumber="1" containsInteger="1" minValue="0" maxValue="5"/>
    </cacheField>
    <cacheField name="HP-SUPORTE" numFmtId="164">
      <sharedItems containsSemiMixedTypes="0" containsString="0" containsNumber="1" minValue="0" maxValue="7.5"/>
    </cacheField>
    <cacheField name="HP-ENFRAQUECIMENTO" numFmtId="164">
      <sharedItems containsSemiMixedTypes="0" containsString="0" containsNumber="1" containsInteger="1" minValue="0" maxValue="0"/>
    </cacheField>
    <cacheField name="DANO-SUPORTE" numFmtId="164">
      <sharedItems containsSemiMixedTypes="0" containsString="0" containsNumber="1" containsInteger="1" minValue="0" maxValue="0"/>
    </cacheField>
    <cacheField name="DANO-ENFRAQUECIMENTO" numFmtId="164">
      <sharedItems containsSemiMixedTypes="0" containsString="0" containsNumber="1" containsInteger="1" minValue="0" maxValue="0"/>
    </cacheField>
    <cacheField name="SPEED-SUPORTE" numFmtId="164">
      <sharedItems containsSemiMixedTypes="0" containsString="0" containsNumber="1" minValue="0" maxValue="4.5"/>
    </cacheField>
    <cacheField name="INVISIBILIDADE-SUPORTE" numFmtId="164">
      <sharedItems containsSemiMixedTypes="0" containsString="0" containsNumber="1" containsInteger="1" minValue="0" maxValue="8"/>
    </cacheField>
    <cacheField name="ESCUDO-SUPORTE" numFmtId="164">
      <sharedItems containsSemiMixedTypes="0" containsString="0" containsNumber="1" containsInteger="1" minValue="0" maxValue="0"/>
    </cacheField>
    <cacheField name="POSICIONAMENTO-SUPORTE" numFmtId="164">
      <sharedItems containsSemiMixedTypes="0" containsString="0" containsNumber="1" containsInteger="1" minValue="0" maxValue="0"/>
    </cacheField>
    <cacheField name="VENENO-DEBUFF" numFmtId="164">
      <sharedItems containsSemiMixedTypes="0" containsString="0" containsNumber="1" containsInteger="1" minValue="0" maxValue="4"/>
    </cacheField>
    <cacheField name="COUNTER-VENENO-DEBUFF" numFmtId="164">
      <sharedItems containsSemiMixedTypes="0" containsString="0" containsNumber="1" containsInteger="1" minValue="0" maxValue="0"/>
    </cacheField>
    <cacheField name="LENTIDAO-DEBUFF" numFmtId="164">
      <sharedItems containsSemiMixedTypes="0" containsString="0" containsNumber="1" minValue="0" maxValue="6.666666666666667"/>
    </cacheField>
    <cacheField name="COUNTER-LENTIDAO-DEBUFF" numFmtId="164">
      <sharedItems containsSemiMixedTypes="0" containsString="0" containsNumber="1" containsInteger="1" minValue="0" maxValue="0"/>
    </cacheField>
    <cacheField name="STUN-DEBUFF" numFmtId="164">
      <sharedItems containsSemiMixedTypes="0" containsString="0" containsNumber="1" containsInteger="1" minValue="0" maxValue="5"/>
    </cacheField>
    <cacheField name="COUNTER-STUN-DEBUFF" numFmtId="164">
      <sharedItems containsSemiMixedTypes="0" containsString="0" containsNumber="1" containsInteger="1" minValue="0" maxValue="0"/>
    </cacheField>
    <cacheField name="CANCELAMENTO-ATAQUES" numFmtId="164">
      <sharedItems containsSemiMixedTypes="0" containsString="0" containsNumber="1" minValue="0" maxValue="10"/>
    </cacheField>
    <cacheField name="COUNTER-CANCELAMENTO-ATAQUES" numFmtId="164">
      <sharedItems containsSemiMixedTypes="0" containsString="0" containsNumber="1" containsInteger="1" minValue="0" maxValue="7"/>
    </cacheField>
    <cacheField name="BLOQUEIO-DE-INIMIGOS" numFmtId="164">
      <sharedItems containsSemiMixedTypes="0" containsString="0" containsNumber="1" containsInteger="1" minValue="0" maxValue="0"/>
    </cacheField>
    <cacheField name="CURTO-ALCANCE-5-SEC-DANO-TOTAL-1-SUPER" numFmtId="164">
      <sharedItems containsSemiMixedTypes="0" containsString="0" containsNumber="1" minValue="3800" maxValue="18540"/>
    </cacheField>
    <cacheField name="MEDIO-ALCANCE-5-SEC-DANO-TOTAL-1-SUPER" numFmtId="164">
      <sharedItems containsSemiMixedTypes="0" containsString="0" containsNumber="1" minValue="3800" maxValue="18540"/>
    </cacheField>
    <cacheField name="LONGO-ALCANCE-5-SEC-DANO-TOTAL-1-SUPER" numFmtId="164">
      <sharedItems containsSemiMixedTypes="0" containsString="0" containsNumber="1" minValue="3800" maxValue="18540"/>
    </cacheField>
    <cacheField name="MT-LONGO-ALCANCE-5-SEC-DANO-TOTAL-1-SUPER" numFmtId="164">
      <sharedItems containsSemiMixedTypes="0" containsString="0" containsNumber="1" minValue="3800" maxValue="18540"/>
    </cacheField>
    <cacheField name="CURTO-ALCANCE-5-SEC-DANO-MEDIO" numFmtId="164">
      <sharedItems containsSemiMixedTypes="0" containsString="0" containsNumber="1" minValue="3040" maxValue="19368"/>
    </cacheField>
    <cacheField name="MEDIO-ALCANCE-5-SEC-DANO-MEDIO" numFmtId="164">
      <sharedItems containsSemiMixedTypes="0" containsString="0" containsNumber="1" minValue="1936" maxValue="9456"/>
    </cacheField>
    <cacheField name="LONGO-ALCANCE-5-SEC-DANO-MEDIO" numFmtId="164">
      <sharedItems containsSemiMixedTypes="0" containsString="0" containsNumber="1" minValue="0" maxValue="5268"/>
    </cacheField>
    <cacheField name="MT-LONGO-ALCANCE-5-SEC-DANO-MEDIO" numFmtId="164">
      <sharedItems containsSemiMixedTypes="0" containsString="0" containsNumber="1" minValue="-551.11111111111109" maxValue="3297.1764705882351"/>
    </cacheField>
    <cacheField name="ESPAÇO" numFmtId="164">
      <sharedItems containsNonDate="0" containsString="0" containsBlank="1"/>
    </cacheField>
    <cacheField name="CURTO-ALCANCE-DANO-RESISTENCIA" numFmtId="164">
      <sharedItems containsSemiMixedTypes="0" containsString="0" containsNumber="1" minValue="2672.7619047619046" maxValue="22079.571428571428"/>
    </cacheField>
    <cacheField name="MEDIO-ALCANCE-DANO-RESISTENCIA" numFmtId="164">
      <sharedItems containsSemiMixedTypes="0" containsString="0" containsNumber="1" minValue="1797.7142857142858" maxValue="14874.514285714286"/>
    </cacheField>
    <cacheField name="LONGO-ALCANCE-DANO-RESISTENCIA" numFmtId="164">
      <sharedItems containsSemiMixedTypes="0" containsString="0" containsNumber="1" minValue="0" maxValue="5657.1428571428569"/>
    </cacheField>
    <cacheField name="MT-LONGO-ALCANCE-DANO-RESISTENCIA" numFmtId="164">
      <sharedItems containsSemiMixedTypes="0" containsString="0" containsNumber="1" minValue="-688.88888888888891" maxValue="6594.3529411764703"/>
    </cacheField>
    <cacheField name="ESPAÇO2" numFmtId="164">
      <sharedItems containsNonDate="0" containsString="0" containsBlank="1"/>
    </cacheField>
    <cacheField name="CURTO-ALCANCE-ATK-SURPRESA" numFmtId="164">
      <sharedItems containsSemiMixedTypes="0" containsString="0" containsNumber="1" minValue="0" maxValue="31680.000000000004"/>
    </cacheField>
    <cacheField name="MEDIO-ALCANCE-ATK-SURPRESA" numFmtId="164">
      <sharedItems containsSemiMixedTypes="0" containsString="0" containsNumber="1" minValue="0" maxValue="21848.275862068967"/>
    </cacheField>
    <cacheField name="LONGO-ALCANCE-ATK-SURPRESA" numFmtId="164">
      <sharedItems containsSemiMixedTypes="0" containsString="0" containsNumber="1" minValue="0" maxValue="14399.999999999998"/>
    </cacheField>
    <cacheField name="MT-LONGO-ALCANCE-ATK-SURPRESA" numFmtId="164">
      <sharedItems containsSemiMixedTypes="0" containsString="0" containsNumber="1" minValue="-1376.2626262626263" maxValue="12713.513513513511"/>
    </cacheField>
    <cacheField name="ESPAÇO3" numFmtId="164">
      <sharedItems containsNonDate="0" containsString="0" containsBlank="1"/>
    </cacheField>
    <cacheField name="Aproximação-Fácil" numFmtId="164">
      <sharedItems containsSemiMixedTypes="0" containsString="0" containsNumber="1" minValue="2.8095238095238098" maxValue="9.5476190476190474"/>
    </cacheField>
    <cacheField name="Controle-ativo-de-Área" numFmtId="164">
      <sharedItems containsSemiMixedTypes="0" containsString="0" containsNumber="1" minValue="3.7978529100529101" maxValue="9.6027936507936502"/>
    </cacheField>
    <cacheField name="CONTROLE DE AREA" numFmtId="164">
      <sharedItems containsSemiMixedTypes="0" containsString="0" containsNumber="1" minValue="0.35786435786435788" maxValue="8.5428571428571427"/>
    </cacheField>
    <cacheField name="DANO INDIRETO" numFmtId="164">
      <sharedItems containsSemiMixedTypes="0" containsString="0" containsNumber="1" minValue="0" maxValue="7.0012133333333342"/>
    </cacheField>
    <cacheField name="Geração multiplos pets" numFmtId="164">
      <sharedItems containsSemiMixedTypes="0" containsString="0" containsNumber="1" minValue="0" maxValue="8.2666666666666675"/>
    </cacheField>
    <cacheField name="Geração resistentes pets" numFmtId="164">
      <sharedItems containsSemiMixedTypes="0" containsString="0" containsNumber="1" minValue="0" maxValue="8"/>
    </cacheField>
    <cacheField name="Punição-Agrupamento" numFmtId="164">
      <sharedItems containsSemiMixedTypes="0" containsString="0" containsNumber="1" minValue="0" maxValue="6.4444444444444446"/>
    </cacheField>
    <cacheField name="ESPAÇO4" numFmtId="16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4.81609270833" createdVersion="8" refreshedVersion="8" minRefreshableVersion="3" recordCount="99" xr:uid="{C86ABD1B-0D0F-4BF1-8842-5812D334F99A}">
  <cacheSource type="worksheet">
    <worksheetSource ref="B3:AB102" sheet="Planilha1"/>
  </cacheSource>
  <cacheFields count="27">
    <cacheField name="ID" numFmtId="0">
      <sharedItems containsSemiMixedTypes="0" containsString="0" containsNumber="1" containsInteger="1" minValue="1" maxValue="99"/>
    </cacheField>
    <cacheField name="Nome Brawler" numFmtId="0">
      <sharedItems count="99">
        <s v="SHELLY"/>
        <s v="NITA"/>
        <s v="COLT"/>
        <s v="BULL"/>
        <s v="BROCK"/>
        <s v="EL PRIMO"/>
        <s v="BARLEY"/>
        <s v="POCO"/>
        <s v="ROSA"/>
        <s v="JESSIE"/>
        <s v="DYNAMIKE"/>
        <s v="TICK"/>
        <s v="8-BIT"/>
        <s v="RICO"/>
        <s v="DARRYL"/>
        <s v="PENNY"/>
        <s v="CARL"/>
        <s v="JACKY"/>
        <s v="GUS"/>
        <s v="BO"/>
        <s v="EMZ"/>
        <s v="STU"/>
        <s v="PIPER"/>
        <s v="PAM"/>
        <s v="FRANK"/>
        <s v="BIBI"/>
        <s v="BEA"/>
        <s v="NANI"/>
        <s v="EDGAR"/>
        <s v="GRIFF"/>
        <s v="GROM"/>
        <s v="BONNIE"/>
        <s v="GALE"/>
        <s v="COLLETE"/>
        <s v="BELLE"/>
        <s v="ASH"/>
        <s v="LOLA"/>
        <s v="SAM"/>
        <s v="MANDY"/>
        <s v="MAISIE"/>
        <s v="HANK"/>
        <s v="PEARL"/>
        <s v="LARRIE E LAWRIE"/>
        <s v="ANGELO"/>
        <s v="BERRY"/>
        <s v="SHADE"/>
        <s v="MEEPLE"/>
        <s v="TRUNK"/>
        <s v="MORTIS"/>
        <s v="TARA"/>
        <s v="GENE"/>
        <s v="MAX"/>
        <s v="MISTER P"/>
        <s v="SPROUT"/>
        <s v="BYRON"/>
        <s v="SQUEAK"/>
        <s v="LOU"/>
        <s v="RUFUS"/>
        <s v="BUZZ"/>
        <s v="FANG"/>
        <s v="EVE"/>
        <s v="JANET"/>
        <s v="OTIS"/>
        <s v="BUSTER"/>
        <s v="GRAY"/>
        <s v="R-T"/>
        <s v="WILLOW"/>
        <s v="DOUG"/>
        <s v="CHUCK"/>
        <s v="CHARLIE"/>
        <s v="MICO"/>
        <s v="MELLODIE"/>
        <s v="LILY"/>
        <s v="CLANCY"/>
        <s v="MOE"/>
        <s v="JUJU"/>
        <s v="OLLIE"/>
        <s v="LUMI"/>
        <s v="FINX"/>
        <s v="JAE-YONG"/>
        <s v="ALLI"/>
        <s v="MINA"/>
        <s v="ZIGGY"/>
        <s v="GIGI"/>
        <s v="GLOWBERT"/>
        <s v="SPIKE"/>
        <s v="CROW"/>
        <s v="LEON"/>
        <s v="SANDY"/>
        <s v="AMBER"/>
        <s v="MEG"/>
        <s v="WATTSON"/>
        <s v="CHESTER"/>
        <s v="CORDELIUS"/>
        <s v="KIT"/>
        <s v="DRACO"/>
        <s v="KENJI"/>
        <s v="PIERCE"/>
        <s v="KAZE"/>
      </sharedItems>
    </cacheField>
    <cacheField name="Field3" caption="Campo3" numFmtId="0">
      <sharedItems containsNonDate="0" containsString="0" containsBlank="1"/>
    </cacheField>
    <cacheField name="Field4" caption="Campo4" numFmtId="0">
      <sharedItems containsNonDate="0" containsString="0" containsBlank="1"/>
    </cacheField>
    <cacheField name="Field5" caption="Campo5" numFmtId="0">
      <sharedItems containsNonDate="0" containsString="0" containsBlank="1"/>
    </cacheField>
    <cacheField name="Field6" caption="Campo6" numFmtId="0">
      <sharedItems containsNonDate="0" containsString="0" containsBlank="1"/>
    </cacheField>
    <cacheField name="POT-DAN-CUR-ALC" numFmtId="0">
      <sharedItems containsSemiMixedTypes="0" containsString="0" containsNumber="1" containsInteger="1" minValue="2" maxValue="9"/>
    </cacheField>
    <cacheField name="Field8" caption="Campo8" numFmtId="0">
      <sharedItems containsNonDate="0" containsString="0" containsBlank="1"/>
    </cacheField>
    <cacheField name="PODER-DE-STUN" numFmtId="0">
      <sharedItems containsNonDate="0" containsString="0" containsBlank="1"/>
    </cacheField>
    <cacheField name="Field10" caption="Campo10" numFmtId="0">
      <sharedItems containsNonDate="0" containsString="0" containsBlank="1"/>
    </cacheField>
    <cacheField name="Field11" caption="Campo11" numFmtId="0">
      <sharedItems containsNonDate="0" containsString="0" containsBlank="1"/>
    </cacheField>
    <cacheField name="Field12" caption="Campo12" numFmtId="0">
      <sharedItems containsNonDate="0" containsString="0" containsBlank="1"/>
    </cacheField>
    <cacheField name="Field13" caption="Campo13" numFmtId="0">
      <sharedItems containsNonDate="0" containsString="0" containsBlank="1"/>
    </cacheField>
    <cacheField name="Field14" caption="Campo14" numFmtId="0">
      <sharedItems containsNonDate="0" containsString="0" containsBlank="1"/>
    </cacheField>
    <cacheField name="DANO-PETS" numFmtId="0">
      <sharedItems containsNonDate="0" containsString="0" containsBlank="1"/>
    </cacheField>
    <cacheField name="Field16" caption="Campo16" numFmtId="0">
      <sharedItems containsNonDate="0" containsString="0" containsBlank="1"/>
    </cacheField>
    <cacheField name="Field17" caption="Campo17" numFmtId="0">
      <sharedItems containsNonDate="0" containsString="0" containsBlank="1"/>
    </cacheField>
    <cacheField name="Field18" caption="Campo18" numFmtId="0">
      <sharedItems containsNonDate="0" containsString="0" containsBlank="1"/>
    </cacheField>
    <cacheField name="Field19" caption="Campo19" numFmtId="0">
      <sharedItems containsNonDate="0" containsString="0" containsBlank="1"/>
    </cacheField>
    <cacheField name="Field20" caption="Campo20" numFmtId="0">
      <sharedItems containsNonDate="0" containsString="0" containsBlank="1"/>
    </cacheField>
    <cacheField name="Field21" caption="Campo21" numFmtId="0">
      <sharedItems containsNonDate="0" containsString="0" containsBlank="1"/>
    </cacheField>
    <cacheField name="Durability" numFmtId="0">
      <sharedItems containsSemiMixedTypes="0" containsString="0" containsNumber="1" containsInteger="1" minValue="1" maxValue="10"/>
    </cacheField>
    <cacheField name="Distância-Ataque" numFmtId="0">
      <sharedItems containsSemiMixedTypes="0" containsString="0" containsNumber="1" containsInteger="1" minValue="1" maxValue="10"/>
    </cacheField>
    <cacheField name="C Durability" numFmtId="0">
      <sharedItems containsSemiMixedTypes="0" containsString="0" containsNumber="1" containsInteger="1" minValue="2" maxValue="9"/>
    </cacheField>
    <cacheField name="Ataque-Surpresa" numFmtId="0">
      <sharedItems containsSemiMixedTypes="0" containsString="0" containsNumber="1" containsInteger="1" minValue="0" maxValue="9"/>
    </cacheField>
    <cacheField name="Aproximação-Fácil" numFmtId="2">
      <sharedItems containsSemiMixedTypes="0" containsString="0" containsNumber="1" minValue="1.33" maxValue="9.9966666666666661"/>
    </cacheField>
    <cacheField name="C Distância-ataque" numFmtId="2">
      <sharedItems containsSemiMixedTypes="0" containsString="0" containsNumber="1" minValue="4.9614814814814814" maxValue="10.2207407407407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0"/>
    <n v="0"/>
    <n v="23.529411764705856"/>
    <n v="0"/>
    <n v="0"/>
    <n v="0"/>
    <n v="0"/>
    <n v="0"/>
    <n v="0"/>
    <n v="0"/>
    <n v="52.941176470588289"/>
    <n v="52.941176470588289"/>
    <n v="52.941176470588289"/>
    <n v="52.941176470588289"/>
    <n v="26.470588235294144"/>
    <n v="0"/>
    <n v="5.2521008403361158E-2"/>
    <n v="0"/>
    <n v="0"/>
    <n v="0"/>
    <n v="0"/>
    <n v="0"/>
    <n v="0"/>
    <n v="0"/>
    <n v="0"/>
    <n v="0"/>
    <n v="0"/>
    <n v="0"/>
    <n v="0.294117647058823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n v="0"/>
    <n v="0"/>
    <n v="66.666666666666515"/>
    <n v="0"/>
    <n v="0"/>
    <n v="0"/>
    <n v="0"/>
    <n v="0"/>
    <n v="0"/>
    <n v="0"/>
    <n v="33.333333333333258"/>
    <n v="33.333333333333258"/>
    <n v="33.333333333333258"/>
    <n v="33.333333333333258"/>
    <n v="16.666666666666629"/>
    <n v="0"/>
    <n v="7.3809523809523547E-2"/>
    <n v="0"/>
    <n v="0"/>
    <n v="0"/>
    <n v="0"/>
    <n v="0"/>
    <n v="0"/>
    <n v="0"/>
    <n v="0"/>
    <n v="0"/>
    <n v="0"/>
    <n v="0"/>
    <n v="1.59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66666666666667"/>
    <n v="0"/>
    <n v="0"/>
    <n v="0"/>
    <n v="0"/>
    <n v="0"/>
    <n v="0"/>
    <n v="0"/>
    <n v="0"/>
  </r>
  <r>
    <x v="2"/>
    <x v="2"/>
    <n v="0"/>
    <n v="0"/>
    <n v="13.333333333333371"/>
    <n v="0"/>
    <n v="0"/>
    <n v="0"/>
    <n v="0"/>
    <n v="0"/>
    <n v="0"/>
    <n v="0"/>
    <n v="192"/>
    <n v="192"/>
    <n v="192"/>
    <n v="192"/>
    <n v="1632"/>
    <n v="0"/>
    <n v="9.52380952380949E-2"/>
    <n v="0.88888888888888928"/>
    <n v="0"/>
    <n v="0"/>
    <n v="0.88888888888888884"/>
    <n v="0"/>
    <n v="0"/>
    <n v="0"/>
    <n v="0"/>
    <n v="0"/>
    <n v="0"/>
    <n v="0"/>
    <n v="0.444444444444444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3"/>
    <n v="0"/>
    <n v="0"/>
    <n v="15.076923076923094"/>
    <n v="0"/>
    <n v="0.92307692307692335"/>
    <n v="1.2307692307692308"/>
    <n v="0.61538461538461542"/>
    <n v="0.46153846153846168"/>
    <n v="0.15384615384615385"/>
    <n v="0"/>
    <n v="61.538461538461434"/>
    <n v="61.538461538461434"/>
    <n v="61.538461538461434"/>
    <n v="61.538461538461434"/>
    <n v="338.46153846153857"/>
    <n v="0"/>
    <n v="6.59340659340657E-2"/>
    <n v="0.30769230769230749"/>
    <n v="0"/>
    <n v="0"/>
    <n v="0.30769230769230749"/>
    <n v="1.5641025641025639"/>
    <n v="0"/>
    <n v="0"/>
    <n v="0"/>
    <n v="0"/>
    <n v="0"/>
    <n v="0"/>
    <n v="0.307692307692307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4"/>
    <n v="0"/>
    <n v="0"/>
    <n v="13.935483870967687"/>
    <n v="0"/>
    <n v="0"/>
    <n v="0"/>
    <n v="0"/>
    <n v="0.23225806451612918"/>
    <n v="0.46451612903225792"/>
    <n v="0"/>
    <n v="0"/>
    <n v="0"/>
    <n v="0"/>
    <n v="0"/>
    <n v="0"/>
    <n v="0"/>
    <n v="6.8433179723502491E-2"/>
    <n v="0"/>
    <n v="0"/>
    <n v="0"/>
    <n v="0"/>
    <n v="0"/>
    <n v="0"/>
    <n v="0"/>
    <n v="0"/>
    <n v="0"/>
    <n v="0"/>
    <n v="0"/>
    <n v="0.5225806451612911"/>
    <n v="0.87096774193548399"/>
    <n v="0.870967741935483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5"/>
    <n v="0"/>
    <n v="0"/>
    <n v="7.5"/>
    <n v="0"/>
    <n v="0"/>
    <n v="0"/>
    <n v="0"/>
    <n v="0"/>
    <n v="0"/>
    <n v="0"/>
    <n v="360"/>
    <n v="360"/>
    <n v="360"/>
    <n v="360"/>
    <n v="360"/>
    <n v="0"/>
    <n v="7.1428571428571175E-2"/>
    <n v="0"/>
    <n v="0"/>
    <n v="0.5"/>
    <n v="0"/>
    <n v="0"/>
    <n v="0"/>
    <n v="0"/>
    <n v="0"/>
    <n v="0"/>
    <n v="0"/>
    <n v="0"/>
    <n v="0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6"/>
    <n v="0"/>
    <n v="0"/>
    <n v="8.8235294117647527"/>
    <n v="0"/>
    <n v="0"/>
    <n v="0"/>
    <n v="0"/>
    <n v="0"/>
    <n v="0"/>
    <n v="0"/>
    <n v="84.705882352941444"/>
    <n v="84.705882352941444"/>
    <n v="84.705882352941444"/>
    <n v="0"/>
    <n v="56.470588235294144"/>
    <n v="0"/>
    <n v="8.1932773109243406E-2"/>
    <n v="0.4411764705882355"/>
    <n v="0"/>
    <n v="7.3529411764705621E-2"/>
    <n v="0"/>
    <n v="0"/>
    <n v="0"/>
    <n v="0"/>
    <n v="0"/>
    <n v="0"/>
    <n v="0"/>
    <n v="0"/>
    <n v="0.411764705882353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7"/>
    <n v="0"/>
    <n v="0"/>
    <n v="30.400000000000091"/>
    <n v="0"/>
    <n v="0"/>
    <n v="0"/>
    <n v="0"/>
    <n v="0"/>
    <n v="0"/>
    <n v="0"/>
    <n v="0"/>
    <n v="0"/>
    <n v="0"/>
    <n v="0"/>
    <n v="0"/>
    <n v="0"/>
    <n v="0.11428571428571388"/>
    <n v="0"/>
    <n v="0"/>
    <n v="0"/>
    <n v="0"/>
    <n v="0"/>
    <n v="0"/>
    <n v="0"/>
    <n v="0"/>
    <n v="0"/>
    <n v="0"/>
    <n v="0"/>
    <n v="0.400000000000000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"/>
    <n v="0"/>
    <n v="0"/>
    <n v="0"/>
    <n v="0"/>
    <n v="0"/>
    <n v="0"/>
    <n v="0"/>
    <n v="0"/>
    <n v="0"/>
    <n v="0"/>
  </r>
  <r>
    <x v="8"/>
    <x v="8"/>
    <n v="0"/>
    <n v="0"/>
    <n v="28.285714285714221"/>
    <n v="0"/>
    <n v="0"/>
    <n v="0"/>
    <n v="0"/>
    <n v="0"/>
    <n v="0"/>
    <n v="0"/>
    <n v="93.428571428571558"/>
    <n v="93.428571428571558"/>
    <n v="93.428571428571558"/>
    <n v="0"/>
    <n v="93.428571428571558"/>
    <n v="0"/>
    <n v="7.9591836734693722E-2"/>
    <n v="0"/>
    <n v="0"/>
    <n v="0"/>
    <n v="0"/>
    <n v="0.75"/>
    <n v="0"/>
    <n v="0"/>
    <n v="0"/>
    <n v="0"/>
    <n v="0"/>
    <n v="0"/>
    <n v="0.428571428571428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9"/>
    <n v="0"/>
    <n v="0"/>
    <n v="34.800000000000182"/>
    <n v="0"/>
    <n v="0"/>
    <n v="0"/>
    <n v="0"/>
    <n v="0"/>
    <n v="0"/>
    <n v="0"/>
    <n v="37.199999999999818"/>
    <n v="37.199999999999818"/>
    <n v="37.199999999999818"/>
    <n v="0"/>
    <n v="37.199999999999818"/>
    <n v="0"/>
    <n v="0.14571428571428591"/>
    <n v="0"/>
    <n v="0"/>
    <n v="0.59999999999999964"/>
    <n v="0"/>
    <n v="0"/>
    <n v="0"/>
    <n v="0"/>
    <n v="0"/>
    <n v="0.59999999999999964"/>
    <n v="0.44999999999999929"/>
    <n v="0"/>
    <n v="0.360000000000000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9999999999999991"/>
    <n v="0"/>
  </r>
  <r>
    <x v="10"/>
    <x v="10"/>
    <n v="0"/>
    <n v="0"/>
    <n v="36"/>
    <n v="0"/>
    <n v="0"/>
    <n v="0"/>
    <n v="0"/>
    <n v="0"/>
    <n v="0"/>
    <n v="0"/>
    <n v="0"/>
    <n v="0"/>
    <n v="0"/>
    <n v="0"/>
    <n v="0"/>
    <n v="0"/>
    <n v="0.11714285714285744"/>
    <n v="0"/>
    <n v="1.2000000000000002"/>
    <n v="0"/>
    <n v="0"/>
    <n v="0"/>
    <n v="0"/>
    <n v="0"/>
    <n v="0"/>
    <n v="0"/>
    <n v="0"/>
    <n v="0"/>
    <n v="0.48000000000000043"/>
    <n v="0"/>
    <n v="0"/>
    <n v="0"/>
    <n v="0"/>
    <n v="0"/>
    <n v="0"/>
    <n v="0"/>
    <n v="0"/>
    <n v="0"/>
    <n v="0"/>
    <n v="0"/>
    <n v="0"/>
    <n v="0"/>
    <n v="0"/>
    <n v="0"/>
    <n v="0"/>
    <n v="2.8"/>
    <n v="0"/>
    <n v="0"/>
    <n v="0"/>
    <n v="0"/>
    <n v="0"/>
    <n v="0"/>
    <n v="0"/>
    <n v="0"/>
    <n v="0"/>
    <n v="0"/>
    <n v="0"/>
    <n v="0"/>
  </r>
  <r>
    <x v="11"/>
    <x v="11"/>
    <n v="0"/>
    <n v="0"/>
    <n v="49.599999999999909"/>
    <n v="0"/>
    <n v="0"/>
    <n v="0"/>
    <n v="0"/>
    <n v="0"/>
    <n v="0"/>
    <n v="0"/>
    <n v="0"/>
    <n v="0"/>
    <n v="0"/>
    <n v="0"/>
    <n v="0"/>
    <n v="0"/>
    <n v="0.14285714285714324"/>
    <n v="0"/>
    <n v="0"/>
    <n v="0"/>
    <n v="0"/>
    <n v="0"/>
    <n v="0"/>
    <n v="0"/>
    <n v="0"/>
    <n v="0"/>
    <n v="0"/>
    <n v="0"/>
    <n v="0.480000000000000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666666666666667"/>
    <n v="0"/>
    <n v="0"/>
    <n v="0"/>
    <n v="0"/>
    <n v="0"/>
    <n v="0"/>
  </r>
  <r>
    <x v="12"/>
    <x v="12"/>
    <n v="0"/>
    <n v="0"/>
    <n v="30.625"/>
    <n v="0"/>
    <n v="0"/>
    <n v="0"/>
    <n v="0"/>
    <n v="0"/>
    <n v="0"/>
    <n v="0"/>
    <n v="750"/>
    <n v="1500"/>
    <n v="3000"/>
    <n v="3000"/>
    <n v="1500"/>
    <n v="0"/>
    <n v="7.8125E-2"/>
    <n v="0"/>
    <n v="0"/>
    <n v="0"/>
    <n v="0"/>
    <n v="0"/>
    <n v="0"/>
    <n v="0"/>
    <n v="0"/>
    <n v="0"/>
    <n v="0"/>
    <n v="0"/>
    <n v="0.3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x v="13"/>
    <n v="0"/>
    <n v="0"/>
    <n v="343.75"/>
    <n v="0"/>
    <n v="0"/>
    <n v="0"/>
    <n v="0"/>
    <n v="0"/>
    <n v="0"/>
    <n v="0"/>
    <n v="590.625"/>
    <n v="590.625"/>
    <n v="590.625"/>
    <n v="590.625"/>
    <n v="590.625"/>
    <n v="0"/>
    <n v="0.11941964285714324"/>
    <n v="0"/>
    <n v="0"/>
    <n v="0"/>
    <n v="0"/>
    <n v="0"/>
    <n v="0"/>
    <n v="0"/>
    <n v="0"/>
    <n v="0"/>
    <n v="0"/>
    <n v="0"/>
    <n v="0.5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x v="14"/>
    <n v="0"/>
    <n v="0"/>
    <n v="29.14285714285711"/>
    <n v="0"/>
    <n v="0"/>
    <n v="0"/>
    <n v="0"/>
    <n v="0"/>
    <n v="0"/>
    <n v="0"/>
    <n v="1800"/>
    <n v="1350"/>
    <n v="900"/>
    <n v="450"/>
    <n v="900"/>
    <n v="0"/>
    <n v="7.3469387755102034E-2"/>
    <n v="0"/>
    <n v="0"/>
    <n v="0"/>
    <n v="0"/>
    <n v="0"/>
    <n v="0"/>
    <n v="0"/>
    <n v="0"/>
    <n v="0"/>
    <n v="0"/>
    <n v="0"/>
    <n v="0.42857142857142883"/>
    <n v="0"/>
    <n v="0"/>
    <n v="0"/>
    <n v="0"/>
    <n v="0"/>
    <n v="0"/>
    <n v="0"/>
    <n v="0"/>
    <n v="0.857142857142857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x v="15"/>
    <n v="0"/>
    <n v="0"/>
    <n v="39.375"/>
    <n v="0"/>
    <n v="0"/>
    <n v="0"/>
    <n v="0"/>
    <n v="0"/>
    <n v="0"/>
    <n v="0"/>
    <n v="420"/>
    <n v="840"/>
    <n v="70"/>
    <n v="0"/>
    <n v="280"/>
    <n v="0"/>
    <n v="9.6874999999999822E-2"/>
    <n v="0"/>
    <n v="0"/>
    <n v="0"/>
    <n v="0"/>
    <n v="0"/>
    <n v="0"/>
    <n v="0"/>
    <n v="0"/>
    <n v="0"/>
    <n v="0"/>
    <n v="0"/>
    <n v="0.4375"/>
    <n v="0"/>
    <n v="0"/>
    <n v="0"/>
    <n v="0"/>
    <n v="0"/>
    <n v="0.61249999999999982"/>
    <n v="0.34999999999999964"/>
    <n v="0.4375"/>
    <n v="0.4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x v="16"/>
    <n v="0"/>
    <n v="0"/>
    <n v="22.285714285714221"/>
    <n v="0"/>
    <n v="0"/>
    <n v="0"/>
    <n v="0"/>
    <n v="0"/>
    <n v="0"/>
    <n v="0"/>
    <n v="0"/>
    <n v="25.714285714285722"/>
    <n v="77.14285714285711"/>
    <n v="51.428571428571445"/>
    <n v="25.714285714285722"/>
    <n v="0"/>
    <n v="9.4897959183673386E-2"/>
    <n v="0"/>
    <n v="0"/>
    <n v="0"/>
    <n v="0"/>
    <n v="0"/>
    <n v="0"/>
    <n v="0"/>
    <n v="0"/>
    <n v="0"/>
    <n v="0"/>
    <n v="0"/>
    <n v="0.42857142857142883"/>
    <n v="0"/>
    <n v="0"/>
    <n v="1.7142857142857135"/>
    <n v="1.2857142857142847"/>
    <n v="0"/>
    <n v="0"/>
    <n v="8.5714285714284522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x v="17"/>
    <n v="0"/>
    <n v="0"/>
    <n v="14.45161290322585"/>
    <n v="0"/>
    <n v="0"/>
    <n v="0"/>
    <n v="0"/>
    <n v="0"/>
    <n v="0"/>
    <n v="0"/>
    <n v="0"/>
    <n v="0"/>
    <n v="0"/>
    <n v="0"/>
    <n v="0"/>
    <n v="0"/>
    <n v="0.11290322580645196"/>
    <n v="0"/>
    <n v="0"/>
    <n v="0"/>
    <n v="0"/>
    <n v="0"/>
    <n v="0"/>
    <n v="0"/>
    <n v="0"/>
    <n v="0"/>
    <n v="0"/>
    <n v="0"/>
    <n v="0.81290322580645125"/>
    <n v="0"/>
    <n v="0"/>
    <n v="0"/>
    <n v="0"/>
    <n v="0"/>
    <n v="0"/>
    <n v="0"/>
    <n v="0"/>
    <n v="0"/>
    <n v="0"/>
    <n v="0"/>
    <n v="2.5"/>
    <n v="0"/>
    <n v="0"/>
    <n v="0.45161290322580644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.196428571428571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3"/>
    <n v="0"/>
    <n v="0"/>
    <n v="0"/>
    <n v="0"/>
    <n v="0"/>
    <n v="0"/>
    <n v="0.5"/>
    <n v="0.5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4"/>
    <n v="0"/>
    <n v="0"/>
    <n v="0"/>
    <n v="0"/>
    <n v="0"/>
    <n v="0"/>
    <n v="0"/>
    <n v="0"/>
    <n v="0"/>
    <n v="0"/>
    <n v="0"/>
    <n v="0"/>
    <n v="0"/>
    <n v="0"/>
    <n v="0"/>
    <n v="0"/>
    <n v="0.66000000000000014"/>
    <n v="0"/>
    <n v="0.33333333333333304"/>
    <n v="0"/>
    <n v="0"/>
    <n v="0"/>
    <n v="0"/>
    <n v="0"/>
    <n v="0"/>
    <n v="0"/>
    <n v="0"/>
    <n v="0"/>
    <n v="0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</r>
  <r>
    <x v="6"/>
    <x v="6"/>
    <n v="0"/>
    <n v="0"/>
    <n v="0"/>
    <n v="0"/>
    <n v="0"/>
    <n v="0"/>
    <n v="0"/>
    <n v="0"/>
    <n v="0"/>
    <n v="0"/>
    <n v="0"/>
    <n v="0"/>
    <n v="0"/>
    <n v="0"/>
    <n v="0"/>
    <n v="0"/>
    <n v="0.55714285714285694"/>
    <n v="0"/>
    <n v="0"/>
    <n v="0"/>
    <n v="0"/>
    <n v="0"/>
    <n v="0"/>
    <n v="0"/>
    <n v="0"/>
    <n v="0"/>
    <n v="0"/>
    <n v="0"/>
    <n v="0.333333333333333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7"/>
    <n v="0"/>
    <n v="0"/>
    <n v="0"/>
    <n v="0"/>
    <n v="0"/>
    <n v="0"/>
    <n v="0"/>
    <n v="0"/>
    <n v="0"/>
    <n v="0"/>
    <n v="1520"/>
    <n v="1520"/>
    <n v="1520"/>
    <n v="1520"/>
    <n v="1520"/>
    <n v="0"/>
    <n v="0"/>
    <n v="0"/>
    <n v="0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8"/>
    <n v="0"/>
    <n v="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9"/>
    <n v="0"/>
    <n v="0"/>
    <n v="0"/>
    <n v="0"/>
    <n v="0"/>
    <n v="0"/>
    <n v="0"/>
    <n v="0"/>
    <n v="0"/>
    <n v="0"/>
    <n v="0"/>
    <n v="0"/>
    <n v="0"/>
    <n v="0"/>
    <n v="0"/>
    <n v="0"/>
    <n v="1.1657142857142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"/>
    <n v="0"/>
    <n v="0"/>
    <n v="0"/>
    <n v="0"/>
    <n v="0"/>
    <n v="0"/>
    <n v="0"/>
    <n v="0"/>
    <n v="0"/>
    <n v="0"/>
    <n v="0"/>
    <n v="0"/>
    <n v="0"/>
    <n v="0"/>
    <n v="0"/>
    <n v="0"/>
  </r>
  <r>
    <x v="11"/>
    <x v="11"/>
    <n v="0"/>
    <n v="0"/>
    <n v="0"/>
    <n v="0"/>
    <n v="0"/>
    <n v="0"/>
    <n v="0"/>
    <n v="0"/>
    <n v="0"/>
    <n v="0"/>
    <n v="0"/>
    <n v="0"/>
    <n v="0"/>
    <n v="0"/>
    <n v="0"/>
    <n v="0"/>
    <n v="1.4285714285714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12"/>
    <n v="0"/>
    <n v="0"/>
    <n v="0"/>
    <n v="0"/>
    <n v="0"/>
    <n v="0"/>
    <n v="0"/>
    <n v="0"/>
    <n v="0"/>
    <n v="0"/>
    <n v="13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"/>
    <n v="0"/>
    <n v="0"/>
  </r>
  <r>
    <x v="13"/>
    <x v="13"/>
    <n v="0"/>
    <n v="0"/>
    <n v="0"/>
    <n v="0"/>
    <n v="0"/>
    <n v="0"/>
    <n v="0"/>
    <n v="0"/>
    <n v="0"/>
    <n v="0"/>
    <n v="0"/>
    <n v="0"/>
    <n v="0"/>
    <n v="0"/>
    <n v="0"/>
    <n v="0"/>
    <n v="0.2675000000000000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x v="14"/>
    <n v="0"/>
    <n v="0"/>
    <n v="0"/>
    <n v="0.14850000000000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999999999999991"/>
    <n v="0"/>
    <n v="0"/>
    <n v="0"/>
    <n v="0"/>
    <n v="0"/>
    <n v="0"/>
  </r>
  <r>
    <x v="16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x v="17"/>
    <n v="0"/>
    <n v="0"/>
    <n v="0"/>
    <n v="0.700000000000000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0"/>
    <n v="0"/>
    <n v="0"/>
    <n v="0"/>
    <n v="0"/>
    <n v="0"/>
    <n v="0"/>
    <n v="0"/>
    <n v="0"/>
    <n v="0"/>
    <n v="0"/>
    <n v="500"/>
    <n v="1250"/>
    <n v="2000"/>
    <n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.535714285714285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2"/>
    <n v="0"/>
    <n v="0"/>
    <n v="192"/>
    <n v="0"/>
    <n v="0"/>
    <n v="0"/>
    <n v="0"/>
    <n v="0"/>
    <n v="0"/>
    <n v="0"/>
    <n v="720"/>
    <n v="720"/>
    <n v="720"/>
    <n v="720"/>
    <n v="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3"/>
    <n v="0"/>
    <n v="0"/>
    <n v="0"/>
    <n v="0"/>
    <n v="0"/>
    <n v="0"/>
    <n v="0"/>
    <n v="0"/>
    <n v="0"/>
    <n v="0"/>
    <n v="0"/>
    <n v="0"/>
    <n v="0"/>
    <n v="0"/>
    <n v="500"/>
    <n v="0"/>
    <n v="0.357142857142856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4"/>
    <n v="0"/>
    <n v="0"/>
    <n v="57.600000000000023"/>
    <n v="0"/>
    <n v="0"/>
    <n v="0"/>
    <n v="0"/>
    <n v="0"/>
    <n v="0"/>
    <n v="0"/>
    <n v="0"/>
    <n v="0"/>
    <n v="0"/>
    <n v="0"/>
    <n v="0"/>
    <n v="0"/>
    <n v="0"/>
    <n v="0"/>
    <n v="1.333333333333333"/>
    <n v="0"/>
    <n v="0"/>
    <n v="0"/>
    <n v="0"/>
    <n v="0"/>
    <n v="0"/>
    <n v="0"/>
    <n v="0"/>
    <n v="0"/>
    <n v="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"/>
    <n v="0"/>
    <n v="0"/>
    <n v="0"/>
    <n v="0"/>
  </r>
  <r>
    <x v="6"/>
    <x v="6"/>
    <n v="0"/>
    <n v="0"/>
    <n v="0"/>
    <n v="0"/>
    <n v="0"/>
    <n v="0"/>
    <n v="0"/>
    <n v="0"/>
    <n v="0"/>
    <n v="0"/>
    <n v="0"/>
    <n v="0"/>
    <n v="0"/>
    <n v="0"/>
    <n v="0"/>
    <n v="1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833333333333333"/>
    <n v="0"/>
    <n v="0"/>
    <n v="0"/>
    <n v="0"/>
    <n v="0"/>
    <n v="0"/>
  </r>
  <r>
    <x v="7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8"/>
    <n v="0"/>
    <n v="0"/>
    <n v="0"/>
    <n v="0.41250000000000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9"/>
    <n v="0"/>
    <n v="0"/>
    <n v="174"/>
    <n v="0"/>
    <n v="0"/>
    <n v="0"/>
    <n v="0"/>
    <n v="0"/>
    <n v="0"/>
    <n v="0"/>
    <n v="0"/>
    <n v="0"/>
    <n v="0"/>
    <n v="0"/>
    <n v="0"/>
    <n v="0"/>
    <n v="1.59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10"/>
    <n v="0"/>
    <n v="0"/>
    <n v="0"/>
    <n v="0"/>
    <n v="0"/>
    <n v="0"/>
    <n v="0"/>
    <n v="0"/>
    <n v="0"/>
    <n v="0"/>
    <n v="1944"/>
    <n v="1944"/>
    <n v="1944"/>
    <n v="1944"/>
    <n v="486"/>
    <n v="0"/>
    <n v="0"/>
    <n v="0"/>
    <n v="0"/>
    <n v="2"/>
    <n v="2"/>
    <n v="1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x v="11"/>
    <x v="11"/>
    <n v="0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x v="13"/>
    <n v="0"/>
    <n v="0"/>
    <n v="0"/>
    <n v="0"/>
    <n v="0"/>
    <n v="0"/>
    <n v="0"/>
    <n v="0"/>
    <n v="0"/>
    <n v="0"/>
    <n v="0"/>
    <n v="0"/>
    <n v="0"/>
    <n v="0"/>
    <n v="0"/>
    <n v="0"/>
    <n v="1.47857142857142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x v="14"/>
    <n v="0"/>
    <n v="0"/>
    <n v="0"/>
    <n v="0"/>
    <n v="0"/>
    <n v="0"/>
    <n v="0"/>
    <n v="0"/>
    <n v="0"/>
    <n v="0"/>
    <n v="0"/>
    <n v="0"/>
    <n v="0"/>
    <n v="0"/>
    <n v="0"/>
    <n v="0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x v="16"/>
    <n v="0"/>
    <n v="0"/>
    <n v="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x v="17"/>
    <n v="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0"/>
    <n v="0"/>
    <n v="0"/>
    <n v="0"/>
    <n v="0"/>
    <n v="0"/>
    <n v="0"/>
    <n v="0"/>
    <n v="0"/>
    <n v="0"/>
    <n v="0"/>
    <n v="0"/>
    <n v="0"/>
    <n v="0"/>
    <n v="0"/>
    <n v="1100"/>
    <n v="0.196428571428571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2"/>
    <n v="0"/>
    <n v="0"/>
    <n v="0"/>
    <n v="0"/>
    <n v="0"/>
    <n v="0"/>
    <n v="0"/>
    <n v="0"/>
    <n v="0"/>
    <n v="0"/>
    <n v="0"/>
    <n v="0"/>
    <n v="0"/>
    <n v="0"/>
    <n v="0"/>
    <n v="0"/>
    <n v="0.34285714285714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3"/>
    <n v="0"/>
    <n v="0"/>
    <n v="0"/>
    <n v="0"/>
    <n v="0"/>
    <n v="0"/>
    <n v="0"/>
    <n v="0"/>
    <n v="0"/>
    <n v="0"/>
    <n v="0"/>
    <n v="0"/>
    <n v="0"/>
    <n v="0"/>
    <n v="0"/>
    <n v="1200"/>
    <n v="0.32142857142857117"/>
    <n v="0"/>
    <n v="4"/>
    <n v="2"/>
    <n v="0"/>
    <n v="0"/>
    <n v="2"/>
    <n v="0"/>
    <n v="0"/>
    <n v="0"/>
    <n v="0"/>
    <n v="0"/>
    <n v="0"/>
    <n v="0"/>
    <n v="0"/>
    <n v="5.5"/>
    <n v="1"/>
    <n v="0"/>
    <n v="3.5"/>
    <n v="0"/>
    <n v="0"/>
    <n v="0"/>
    <n v="7.5"/>
    <n v="0"/>
    <n v="2.5"/>
    <n v="4.55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4"/>
    <n v="0"/>
    <n v="0"/>
    <n v="0"/>
    <n v="0"/>
    <n v="0"/>
    <n v="0"/>
    <n v="0"/>
    <n v="0"/>
    <n v="0"/>
    <n v="0"/>
    <n v="0"/>
    <n v="0"/>
    <n v="0"/>
    <n v="0"/>
    <n v="0"/>
    <n v="0"/>
    <n v="0.53571428571428559"/>
    <n v="0"/>
    <n v="5.3333333333333321"/>
    <n v="0"/>
    <n v="0"/>
    <n v="1"/>
    <n v="0"/>
    <n v="0"/>
    <n v="0"/>
    <n v="0"/>
    <n v="0"/>
    <n v="0"/>
    <n v="0"/>
    <n v="1"/>
    <n v="1"/>
    <n v="5.5"/>
    <n v="1"/>
    <n v="1"/>
    <n v="2.25"/>
    <n v="0"/>
    <n v="0"/>
    <n v="0"/>
    <n v="7.5"/>
    <n v="0"/>
    <n v="0"/>
    <n v="0"/>
    <n v="0"/>
    <n v="0"/>
    <n v="0"/>
    <n v="5.25"/>
    <n v="5.166666666666667"/>
    <n v="0"/>
    <n v="0"/>
    <n v="0"/>
    <n v="0"/>
    <n v="0"/>
    <n v="0"/>
    <n v="0"/>
    <n v="0"/>
    <n v="0"/>
    <n v="0"/>
    <n v="0"/>
  </r>
  <r>
    <x v="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6666666666666661"/>
    <n v="0"/>
    <n v="0"/>
    <n v="1.12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6"/>
    <n v="0"/>
    <n v="0"/>
    <n v="0"/>
    <n v="0"/>
    <n v="0"/>
    <n v="0"/>
    <n v="0.125"/>
    <n v="0.25"/>
    <n v="0.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666666666666667"/>
    <n v="0"/>
    <n v="0"/>
    <n v="0"/>
    <n v="0"/>
    <n v="0"/>
    <n v="0"/>
  </r>
  <r>
    <x v="7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75"/>
    <n v="0"/>
    <n v="7.75"/>
    <n v="0"/>
    <n v="7.75"/>
    <n v="0"/>
    <n v="0"/>
    <n v="0"/>
  </r>
  <r>
    <x v="8"/>
    <x v="8"/>
    <n v="0"/>
    <n v="0"/>
    <n v="0"/>
    <n v="0"/>
    <n v="0"/>
    <n v="0"/>
    <n v="0"/>
    <n v="0"/>
    <n v="0"/>
    <n v="0"/>
    <n v="0"/>
    <n v="0"/>
    <n v="0"/>
    <n v="0"/>
    <n v="0"/>
    <n v="15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.5"/>
    <n v="0"/>
    <n v="0"/>
    <n v="0"/>
    <n v="0"/>
    <n v="1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666666666666667"/>
    <n v="0"/>
    <n v="0"/>
    <n v="0"/>
    <n v="1.75"/>
    <n v="0"/>
    <n v="0"/>
  </r>
  <r>
    <x v="10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6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25"/>
    <n v="0"/>
    <n v="0.75"/>
    <n v="0"/>
    <n v="0"/>
  </r>
  <r>
    <x v="11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2.5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12"/>
    <n v="0"/>
    <n v="0"/>
    <n v="0"/>
    <n v="0"/>
    <n v="0"/>
    <n v="0"/>
    <n v="0"/>
    <n v="0"/>
    <n v="0"/>
    <n v="0"/>
    <n v="800"/>
    <n v="1600"/>
    <n v="3200"/>
    <n v="3200"/>
    <n v="1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x v="13"/>
    <n v="0"/>
    <n v="0"/>
    <n v="0"/>
    <n v="0"/>
    <n v="0"/>
    <n v="0"/>
    <n v="0"/>
    <n v="0"/>
    <n v="0"/>
    <n v="0"/>
    <n v="0"/>
    <n v="0"/>
    <n v="0"/>
    <n v="0"/>
    <n v="0"/>
    <n v="760"/>
    <n v="0.10857142857142854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2.5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x v="14"/>
    <n v="0"/>
    <n v="0"/>
    <n v="0"/>
    <n v="0"/>
    <n v="0"/>
    <n v="0"/>
    <n v="0"/>
    <n v="0"/>
    <n v="0"/>
    <n v="0"/>
    <n v="0"/>
    <n v="0"/>
    <n v="0"/>
    <n v="0"/>
    <n v="0"/>
    <n v="1360"/>
    <n v="0.571428571428571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x v="15"/>
    <x v="15"/>
    <n v="0"/>
    <n v="0"/>
    <n v="0"/>
    <n v="0"/>
    <n v="0"/>
    <n v="0"/>
    <n v="0"/>
    <n v="0"/>
    <n v="0"/>
    <n v="0"/>
    <n v="0"/>
    <n v="0"/>
    <n v="0"/>
    <n v="0"/>
    <n v="0"/>
    <n v="0"/>
    <n v="0.13419913419913421"/>
    <n v="0"/>
    <n v="0.10101010101010101"/>
    <n v="0"/>
    <n v="0"/>
    <n v="0"/>
    <n v="0"/>
    <n v="0"/>
    <n v="0"/>
    <n v="0"/>
    <n v="0"/>
    <n v="0"/>
    <n v="0.40404040404040398"/>
    <n v="0.70707070707070707"/>
    <n v="0.70707070707070707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x v="16"/>
    <n v="0"/>
    <n v="0"/>
    <n v="0"/>
    <n v="0"/>
    <n v="0"/>
    <n v="0"/>
    <n v="0"/>
    <n v="0"/>
    <n v="0"/>
    <n v="0"/>
    <n v="0"/>
    <n v="-100"/>
    <n v="-300"/>
    <n v="-200"/>
    <n v="-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"/>
    <n v="0"/>
    <n v="2.5"/>
    <n v="6"/>
    <n v="0"/>
    <n v="0"/>
    <n v="0"/>
    <n v="0"/>
    <n v="0"/>
    <n v="0"/>
    <n v="0"/>
    <n v="0"/>
    <n v="0"/>
    <n v="0"/>
    <n v="0"/>
    <n v="0"/>
    <n v="0"/>
    <n v="0"/>
    <n v="0"/>
    <n v="0"/>
  </r>
  <r>
    <x v="17"/>
    <x v="17"/>
    <n v="0"/>
    <n v="0"/>
    <n v="0"/>
    <n v="0"/>
    <n v="0"/>
    <n v="0"/>
    <n v="0"/>
    <n v="0"/>
    <n v="0"/>
    <n v="0"/>
    <n v="0"/>
    <n v="0"/>
    <n v="0"/>
    <n v="0"/>
    <n v="0"/>
    <n v="0"/>
    <n v="1.07142857142857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6666666666666652"/>
    <n v="0"/>
    <n v="0"/>
    <n v="0"/>
    <n v="0"/>
    <n v="0"/>
    <n v="0"/>
    <n v="0"/>
    <n v="0"/>
    <n v="0"/>
    <n v="0"/>
    <n v="2"/>
    <n v="2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n v="0"/>
    <n v="0"/>
    <n v="0"/>
    <n v="0"/>
    <n v="0"/>
    <n v="0"/>
    <n v="0"/>
    <n v="0"/>
    <n v="0"/>
    <n v="0"/>
    <n v="0"/>
    <n v="0"/>
    <n v="0"/>
    <n v="0"/>
    <n v="0"/>
    <n v="66"/>
    <n v="4.7142857142857153E-2"/>
    <n v="0"/>
    <n v="7.5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2"/>
    <n v="0"/>
    <n v="0"/>
    <n v="0"/>
    <n v="0"/>
    <n v="0"/>
    <n v="0"/>
    <n v="0"/>
    <n v="0"/>
    <n v="0"/>
    <n v="0"/>
    <n v="0"/>
    <n v="0"/>
    <n v="0"/>
    <n v="0"/>
    <n v="0"/>
    <n v="483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3"/>
    <n v="0"/>
    <n v="0"/>
    <n v="0"/>
    <n v="0"/>
    <n v="0"/>
    <n v="0"/>
    <n v="0"/>
    <n v="0"/>
    <n v="0"/>
    <n v="0"/>
    <n v="0"/>
    <n v="0"/>
    <n v="0"/>
    <n v="0"/>
    <n v="0"/>
    <n v="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"/>
    <n v="0"/>
    <n v="0"/>
    <n v="0"/>
    <n v="0"/>
  </r>
  <r>
    <x v="4"/>
    <x v="4"/>
    <n v="0"/>
    <n v="0"/>
    <n v="0"/>
    <n v="0"/>
    <n v="0"/>
    <n v="0"/>
    <n v="0"/>
    <n v="0"/>
    <n v="0"/>
    <n v="0"/>
    <n v="0"/>
    <n v="0"/>
    <n v="0"/>
    <n v="0"/>
    <n v="0"/>
    <n v="0"/>
    <n v="0.628571428571429"/>
    <n v="0"/>
    <n v="2.6666666666666661"/>
    <n v="0"/>
    <n v="0"/>
    <n v="0"/>
    <n v="0"/>
    <n v="0"/>
    <n v="0"/>
    <n v="0"/>
    <n v="0"/>
    <n v="0"/>
    <n v="0"/>
    <n v="1"/>
    <n v="1"/>
    <n v="6.5"/>
    <n v="1"/>
    <n v="0"/>
    <n v="1.8149999999999999"/>
    <n v="1"/>
    <n v="1"/>
    <n v="9"/>
    <n v="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"/>
    <n v="0"/>
    <n v="0"/>
    <n v="0"/>
    <n v="0.5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2.5"/>
    <n v="0"/>
    <n v="0"/>
    <n v="0"/>
    <n v="0"/>
    <n v="0"/>
    <n v="0"/>
    <n v="0"/>
    <n v="0"/>
    <n v="0"/>
  </r>
  <r>
    <x v="6"/>
    <x v="6"/>
    <n v="0"/>
    <n v="0"/>
    <n v="0"/>
    <n v="0"/>
    <n v="0"/>
    <n v="0"/>
    <n v="0"/>
    <n v="0"/>
    <n v="0"/>
    <n v="0"/>
    <n v="0"/>
    <n v="0"/>
    <n v="0"/>
    <n v="0"/>
    <n v="0"/>
    <n v="1200"/>
    <n v="0.53571428571428559"/>
    <n v="0"/>
    <n v="6"/>
    <n v="0"/>
    <n v="0"/>
    <n v="0"/>
    <n v="0"/>
    <n v="0"/>
    <n v="0"/>
    <n v="0"/>
    <n v="0"/>
    <n v="0"/>
    <n v="0"/>
    <n v="5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5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9"/>
    <n v="0"/>
    <n v="0"/>
    <n v="0"/>
    <n v="0"/>
    <n v="0"/>
    <n v="0"/>
    <n v="0"/>
    <n v="0"/>
    <n v="0"/>
    <n v="0"/>
    <n v="0"/>
    <n v="0"/>
    <n v="0"/>
    <n v="0"/>
    <n v="0"/>
    <n v="1200"/>
    <n v="9.9999999999999645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</r>
  <r>
    <x v="10"/>
    <x v="10"/>
    <n v="0"/>
    <n v="0"/>
    <n v="0"/>
    <n v="0"/>
    <n v="0"/>
    <n v="0"/>
    <n v="0"/>
    <n v="0"/>
    <n v="0"/>
    <n v="0"/>
    <n v="0"/>
    <n v="0"/>
    <n v="0"/>
    <n v="0"/>
    <n v="0"/>
    <n v="0"/>
    <n v="1.17142857142857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3333333333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12"/>
    <n v="0"/>
    <n v="0"/>
    <n v="0"/>
    <n v="0"/>
    <n v="0"/>
    <n v="2"/>
    <n v="1"/>
    <n v="0.5"/>
    <n v="0"/>
    <n v="0"/>
    <n v="0"/>
    <n v="0"/>
    <n v="0"/>
    <n v="0"/>
    <n v="0"/>
    <n v="0"/>
    <n v="0.4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x v="13"/>
    <n v="0"/>
    <n v="0"/>
    <n v="0"/>
    <n v="0"/>
    <n v="0"/>
    <n v="0"/>
    <n v="0"/>
    <n v="0"/>
    <n v="0"/>
    <n v="0"/>
    <n v="0"/>
    <n v="0"/>
    <n v="0"/>
    <n v="0"/>
    <n v="0"/>
    <n v="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x v="14"/>
    <n v="0"/>
    <n v="0"/>
    <n v="0"/>
    <n v="0"/>
    <n v="0.66666666666666652"/>
    <n v="0.33333333333333326"/>
    <n v="0.66666666666666652"/>
    <n v="0.33333333333333326"/>
    <n v="0.333333333333333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x v="15"/>
    <n v="0"/>
    <n v="0"/>
    <n v="0"/>
    <n v="0"/>
    <n v="0"/>
    <n v="0"/>
    <n v="0"/>
    <n v="0"/>
    <n v="0"/>
    <n v="0"/>
    <n v="0"/>
    <n v="0"/>
    <n v="0"/>
    <n v="0"/>
    <n v="0"/>
    <n v="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888888888888884"/>
    <n v="0"/>
    <n v="0"/>
    <n v="0"/>
    <n v="0"/>
    <n v="0"/>
    <n v="0"/>
  </r>
  <r>
    <x v="16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x v="17"/>
    <n v="0"/>
    <n v="0"/>
    <n v="0"/>
    <n v="0"/>
    <n v="0"/>
    <n v="0"/>
    <n v="0"/>
    <n v="0"/>
    <n v="0"/>
    <n v="0"/>
    <n v="0"/>
    <n v="0"/>
    <n v="0"/>
    <n v="0"/>
    <n v="0"/>
    <n v="0"/>
    <n v="0.71428571428571441"/>
    <n v="0"/>
    <n v="6.333333333333333"/>
    <n v="0"/>
    <n v="0"/>
    <n v="0"/>
    <n v="0"/>
    <n v="0"/>
    <n v="0"/>
    <n v="0"/>
    <n v="0"/>
    <n v="0"/>
    <n v="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5"/>
    <n v="3.4"/>
    <n v="1600"/>
    <n v="2.5"/>
    <n v="3"/>
    <n v="3"/>
    <n v="2.5"/>
    <n v="1.5"/>
    <n v="0.5"/>
    <n v="1"/>
    <n v="3600"/>
    <n v="3600"/>
    <n v="3600"/>
    <n v="3600"/>
    <n v="1800"/>
    <n v="0"/>
    <n v="3.5714285714285716"/>
    <n v="10"/>
    <n v="3.3333333333333335"/>
    <n v="2"/>
    <n v="1"/>
    <n v="0"/>
    <n v="1"/>
    <n v="0"/>
    <n v="6"/>
    <n v="1"/>
    <n v="1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3"/>
    <n v="0"/>
    <n v="15600"/>
    <n v="15600"/>
    <n v="15600"/>
    <n v="15600"/>
    <n v="14496"/>
    <n v="9170.9090909090901"/>
    <n v="4744.6153846153848"/>
    <n v="1498.6666666666667"/>
    <m/>
    <n v="12942.857142857143"/>
    <n v="8188.3116883116882"/>
    <n v="4236.2637362637361"/>
    <n v="3746.666666666667"/>
    <m/>
    <n v="0"/>
    <n v="0"/>
    <n v="0"/>
    <n v="0"/>
    <m/>
    <n v="2.8571428571428572"/>
    <n v="5.8091341991341983"/>
    <n v="0.80872497872497873"/>
    <n v="1.8"/>
    <n v="0"/>
    <n v="0"/>
    <n v="1.1111111111111112"/>
    <m/>
  </r>
  <r>
    <x v="1"/>
    <x v="1"/>
    <n v="3"/>
    <n v="3"/>
    <n v="4000"/>
    <n v="1.65"/>
    <n v="1"/>
    <n v="1"/>
    <n v="0.7"/>
    <n v="0.4"/>
    <n v="0.2"/>
    <n v="0"/>
    <n v="2000"/>
    <n v="2000"/>
    <n v="2000"/>
    <n v="2000"/>
    <n v="1000"/>
    <n v="0"/>
    <n v="4.4285714285714288"/>
    <n v="9"/>
    <n v="0"/>
    <n v="0"/>
    <n v="0"/>
    <n v="3.25"/>
    <n v="0"/>
    <n v="1"/>
    <n v="7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5"/>
    <n v="0"/>
    <n v="8600"/>
    <n v="8600"/>
    <n v="8600"/>
    <n v="8600"/>
    <n v="6160"/>
    <n v="3777.3584905660373"/>
    <n v="2042.8571428571429"/>
    <n v="986.20689655172418"/>
    <m/>
    <n v="6820"/>
    <n v="4182.0754716981128"/>
    <n v="2261.7346938775513"/>
    <n v="2218.9655172413795"/>
    <m/>
    <n v="0"/>
    <n v="0"/>
    <n v="0"/>
    <n v="0"/>
    <m/>
    <n v="4.4761904761904763"/>
    <n v="5.1286406109613658"/>
    <n v="3.6800771023004732"/>
    <n v="0"/>
    <n v="0"/>
    <n v="0"/>
    <n v="0"/>
    <m/>
  </r>
  <r>
    <x v="2"/>
    <x v="2"/>
    <n v="16"/>
    <n v="2.25"/>
    <n v="600"/>
    <n v="3.3"/>
    <n v="5"/>
    <n v="5"/>
    <n v="4"/>
    <n v="2.5"/>
    <n v="1.5"/>
    <n v="10"/>
    <n v="8640"/>
    <n v="8640"/>
    <n v="8640"/>
    <n v="8640"/>
    <n v="4320"/>
    <n v="0"/>
    <n v="4.2857142857142856"/>
    <n v="8"/>
    <n v="0"/>
    <n v="3"/>
    <n v="0"/>
    <n v="0"/>
    <n v="0"/>
    <n v="0"/>
    <n v="6"/>
    <n v="0"/>
    <n v="0"/>
    <n v="0"/>
    <n v="5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18540"/>
    <n v="18540"/>
    <n v="18540"/>
    <n v="18540"/>
    <n v="19368"/>
    <n v="9456"/>
    <n v="5268"/>
    <n v="3297.1764705882351"/>
    <m/>
    <n v="20751.428571428572"/>
    <n v="10131.428571428571"/>
    <n v="5644.2857142857147"/>
    <n v="6594.3529411764703"/>
    <m/>
    <n v="0"/>
    <n v="0"/>
    <n v="0"/>
    <n v="0"/>
    <m/>
    <n v="3.0952380952380949"/>
    <n v="6.2484761904761914"/>
    <n v="1.1978193277310925"/>
    <n v="0"/>
    <n v="0"/>
    <n v="0"/>
    <n v="3.3333333333333335"/>
    <m/>
  </r>
  <r>
    <x v="3"/>
    <x v="3"/>
    <n v="8"/>
    <n v="3.25"/>
    <n v="980"/>
    <n v="2.15"/>
    <n v="3"/>
    <n v="4"/>
    <n v="2"/>
    <n v="1.5"/>
    <n v="0.5"/>
    <n v="2.5"/>
    <n v="4000"/>
    <n v="4000"/>
    <n v="4000"/>
    <n v="4000"/>
    <n v="2000"/>
    <n v="0"/>
    <n v="4.2857142857142856"/>
    <n v="7"/>
    <n v="0"/>
    <n v="4"/>
    <n v="3"/>
    <n v="6.25"/>
    <n v="0"/>
    <n v="0"/>
    <n v="6"/>
    <n v="0"/>
    <n v="0"/>
    <n v="0"/>
    <n v="5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6.666666666666667"/>
    <n v="0"/>
    <n v="0"/>
    <n v="0"/>
    <n v="0"/>
    <n v="7"/>
    <n v="0"/>
    <n v="10321"/>
    <n v="10321"/>
    <n v="10321"/>
    <n v="10321"/>
    <n v="13978"/>
    <n v="3942.6666666666665"/>
    <n v="2825.6923076923076"/>
    <n v="1038.5333333333333"/>
    <m/>
    <n v="14976.428571428571"/>
    <n v="4224.2857142857138"/>
    <n v="3027.5274725274721"/>
    <n v="1817.4333333333334"/>
    <m/>
    <n v="0"/>
    <n v="0"/>
    <n v="0"/>
    <n v="0"/>
    <m/>
    <n v="3.0952380952380949"/>
    <n v="5.8590714285714283"/>
    <n v="6.9179354192104192"/>
    <n v="2.4"/>
    <n v="0"/>
    <n v="0"/>
    <n v="4.4444444444444446"/>
    <m/>
  </r>
  <r>
    <x v="4"/>
    <x v="4"/>
    <n v="9"/>
    <n v="3.4444444444444446"/>
    <n v="960"/>
    <n v="2.5"/>
    <n v="4"/>
    <n v="4"/>
    <n v="3.2"/>
    <n v="2.4"/>
    <n v="1.6"/>
    <n v="0"/>
    <n v="0"/>
    <n v="0"/>
    <n v="0"/>
    <n v="0"/>
    <n v="0"/>
    <n v="0"/>
    <n v="4.7142857142857144"/>
    <n v="7"/>
    <n v="6"/>
    <n v="3"/>
    <n v="0"/>
    <n v="0"/>
    <n v="0"/>
    <n v="0"/>
    <n v="6"/>
    <n v="0"/>
    <n v="0"/>
    <n v="0"/>
    <n v="9"/>
    <n v="7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9600"/>
    <n v="9600"/>
    <n v="9600"/>
    <n v="9600"/>
    <n v="7680"/>
    <n v="5296.5517241379312"/>
    <n v="3490.909090909091"/>
    <n v="2075.6756756756754"/>
    <m/>
    <n v="9051.4285714285725"/>
    <n v="6242.3645320197047"/>
    <n v="4114.2857142857138"/>
    <n v="3632.4324324324321"/>
    <m/>
    <n v="31680.000000000004"/>
    <n v="21848.275862068967"/>
    <n v="14399.999999999998"/>
    <n v="12713.513513513511"/>
    <m/>
    <n v="9.238095238095239"/>
    <n v="5.6907454844006562"/>
    <n v="0.64001420139351184"/>
    <n v="0"/>
    <n v="0"/>
    <n v="0"/>
    <n v="1.3333333333333333"/>
    <m/>
  </r>
  <r>
    <x v="5"/>
    <x v="5"/>
    <n v="15"/>
    <n v="4"/>
    <n v="600"/>
    <n v="3.3"/>
    <n v="4"/>
    <n v="5"/>
    <n v="4"/>
    <n v="3"/>
    <n v="0"/>
    <n v="3"/>
    <n v="1200"/>
    <n v="1200"/>
    <n v="1200"/>
    <n v="1200"/>
    <n v="1200"/>
    <n v="0"/>
    <n v="5.7142857142857144"/>
    <n v="7"/>
    <n v="5"/>
    <n v="5"/>
    <n v="3"/>
    <n v="0"/>
    <n v="10"/>
    <n v="0"/>
    <n v="6"/>
    <n v="0"/>
    <n v="0"/>
    <n v="0"/>
    <n v="5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10"/>
    <n v="7"/>
    <n v="0"/>
    <n v="9120"/>
    <n v="9120"/>
    <n v="9120"/>
    <n v="9120"/>
    <n v="11460"/>
    <n v="6336"/>
    <n v="3959.9999999999995"/>
    <n v="0"/>
    <m/>
    <n v="16371.428571428572"/>
    <n v="9051.4285714285725"/>
    <n v="5657.1428571428569"/>
    <n v="0"/>
    <m/>
    <n v="0"/>
    <n v="0"/>
    <n v="0"/>
    <n v="0"/>
    <m/>
    <n v="3.5714285714285716"/>
    <n v="7.0950476190476195"/>
    <n v="0.86333333333333329"/>
    <n v="1.44"/>
    <n v="0"/>
    <n v="0"/>
    <n v="3.1111111111111112"/>
    <m/>
  </r>
  <r>
    <x v="6"/>
    <x v="6"/>
    <n v="10"/>
    <n v="3.4"/>
    <n v="600"/>
    <n v="2.5"/>
    <n v="4"/>
    <n v="5"/>
    <n v="4"/>
    <n v="2"/>
    <n v="0"/>
    <n v="2"/>
    <n v="5760"/>
    <n v="5760"/>
    <n v="5760"/>
    <n v="0"/>
    <n v="3840"/>
    <n v="0"/>
    <n v="5.5714285714285712"/>
    <n v="6"/>
    <n v="0"/>
    <n v="4"/>
    <n v="0"/>
    <n v="0"/>
    <n v="3"/>
    <n v="0"/>
    <n v="5"/>
    <n v="5"/>
    <n v="5"/>
    <n v="0"/>
    <n v="7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2"/>
    <n v="0"/>
    <n v="3"/>
    <n v="7"/>
    <n v="0"/>
    <n v="11760"/>
    <n v="11760"/>
    <n v="11760"/>
    <n v="6000"/>
    <n v="15852"/>
    <n v="6643.2"/>
    <n v="2482.2857142857142"/>
    <n v="-341.33333333333331"/>
    <m/>
    <n v="22079.571428571428"/>
    <n v="9253.028571428571"/>
    <n v="3457.4693877551017"/>
    <n v="-512"/>
    <m/>
    <n v="0"/>
    <n v="0"/>
    <n v="0"/>
    <n v="0"/>
    <m/>
    <n v="4.1904761904761907"/>
    <n v="6.6825152380952373"/>
    <n v="0.95216859410430832"/>
    <n v="0"/>
    <n v="0"/>
    <n v="0"/>
    <n v="3.5555555555555554"/>
    <m/>
  </r>
  <r>
    <x v="7"/>
    <x v="7"/>
    <n v="4"/>
    <n v="2.5"/>
    <n v="1520"/>
    <n v="2.5"/>
    <n v="1"/>
    <n v="1"/>
    <n v="1"/>
    <n v="1"/>
    <n v="0"/>
    <n v="0"/>
    <n v="0"/>
    <n v="0"/>
    <n v="0"/>
    <n v="0"/>
    <n v="0"/>
    <n v="0"/>
    <n v="5.7142857142857144"/>
    <n v="6"/>
    <n v="0"/>
    <n v="7"/>
    <n v="0"/>
    <n v="0"/>
    <n v="0"/>
    <n v="0"/>
    <n v="6"/>
    <n v="0"/>
    <n v="0"/>
    <n v="0"/>
    <n v="5"/>
    <n v="0"/>
    <n v="0"/>
    <n v="0"/>
    <n v="0"/>
    <n v="0"/>
    <n v="0"/>
    <n v="0"/>
    <n v="0"/>
    <n v="0"/>
    <n v="0"/>
    <n v="0"/>
    <n v="0"/>
    <n v="7.5"/>
    <n v="0"/>
    <n v="0"/>
    <n v="0"/>
    <n v="0"/>
    <n v="0"/>
    <n v="0"/>
    <n v="0"/>
    <n v="0"/>
    <n v="0"/>
    <n v="0"/>
    <n v="0"/>
    <n v="0"/>
    <n v="0"/>
    <n v="0"/>
    <n v="7"/>
    <n v="0"/>
    <n v="3800"/>
    <n v="3800"/>
    <n v="3800"/>
    <n v="3800"/>
    <n v="3040"/>
    <n v="3040"/>
    <n v="3040"/>
    <n v="0"/>
    <m/>
    <n v="4342.8571428571431"/>
    <n v="4342.8571428571431"/>
    <n v="4342.8571428571431"/>
    <n v="0"/>
    <m/>
    <n v="0"/>
    <n v="0"/>
    <n v="0"/>
    <n v="0"/>
    <m/>
    <n v="3.5714285714285716"/>
    <n v="6.8038095238095231"/>
    <n v="0.36190476190476195"/>
    <n v="0"/>
    <n v="0"/>
    <n v="0"/>
    <n v="3.1111111111111112"/>
    <m/>
  </r>
  <r>
    <x v="8"/>
    <x v="8"/>
    <n v="9"/>
    <n v="2.3333333333333335"/>
    <n v="1320"/>
    <n v="1.65"/>
    <n v="6"/>
    <n v="3"/>
    <n v="2"/>
    <n v="1"/>
    <n v="0"/>
    <n v="2.5"/>
    <n v="4360"/>
    <n v="4360"/>
    <n v="4360"/>
    <n v="0"/>
    <n v="4360"/>
    <n v="0"/>
    <n v="3.7142857142857144"/>
    <n v="5"/>
    <n v="6.333333333333333"/>
    <n v="1"/>
    <n v="6"/>
    <n v="4.5"/>
    <n v="0"/>
    <n v="0"/>
    <n v="6"/>
    <n v="0"/>
    <n v="0"/>
    <n v="0"/>
    <n v="5"/>
    <n v="5"/>
    <n v="5"/>
    <n v="0"/>
    <n v="0"/>
    <n v="0"/>
    <n v="0"/>
    <n v="0"/>
    <n v="0"/>
    <n v="0"/>
    <n v="0"/>
    <n v="1"/>
    <n v="0"/>
    <n v="6.5"/>
    <n v="0"/>
    <n v="0"/>
    <n v="0"/>
    <n v="0"/>
    <n v="0"/>
    <n v="0"/>
    <n v="0"/>
    <n v="0"/>
    <n v="0"/>
    <n v="0"/>
    <n v="0"/>
    <n v="0"/>
    <n v="0"/>
    <n v="0"/>
    <n v="7"/>
    <n v="0"/>
    <n v="17428"/>
    <n v="17428"/>
    <n v="17428"/>
    <n v="13067.999999999998"/>
    <n v="5071.5555555555547"/>
    <n v="1936"/>
    <n v="871.2"/>
    <n v="-440.40404040404042"/>
    <m/>
    <n v="4709.3015873015866"/>
    <n v="1797.7142857142858"/>
    <n v="808.97142857142876"/>
    <n v="-550.50505050505058"/>
    <m/>
    <n v="11773.253968253966"/>
    <n v="4494.2857142857147"/>
    <n v="2022.428571428572"/>
    <n v="-1376.2626262626263"/>
    <m/>
    <n v="6.2380952380952381"/>
    <n v="3.7978529100529101"/>
    <n v="4.6879300625300626"/>
    <n v="3.1878649350649346"/>
    <n v="0"/>
    <n v="0"/>
    <n v="1.1111111111111112"/>
    <m/>
  </r>
  <r>
    <x v="9"/>
    <x v="9"/>
    <n v="3"/>
    <n v="3.3333333333333335"/>
    <n v="2320"/>
    <n v="3.3"/>
    <n v="1"/>
    <n v="1"/>
    <n v="1"/>
    <n v="0"/>
    <n v="0"/>
    <n v="1"/>
    <n v="2480"/>
    <n v="2480"/>
    <n v="2480"/>
    <n v="0"/>
    <n v="2480"/>
    <n v="0"/>
    <n v="9.7142857142857135"/>
    <n v="5"/>
    <n v="0"/>
    <n v="7"/>
    <n v="0"/>
    <n v="0"/>
    <n v="0"/>
    <n v="0"/>
    <n v="6"/>
    <n v="9"/>
    <n v="8"/>
    <n v="0"/>
    <n v="6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5"/>
    <n v="0"/>
    <n v="0"/>
    <n v="1"/>
    <n v="0"/>
    <n v="10136"/>
    <n v="10136"/>
    <n v="10136"/>
    <n v="7656"/>
    <n v="8968.5333333333328"/>
    <n v="6124.8"/>
    <n v="0"/>
    <n v="-551.11111111111109"/>
    <m/>
    <n v="21780.723809523806"/>
    <n v="14874.514285714286"/>
    <n v="0"/>
    <n v="-688.88888888888891"/>
    <m/>
    <n v="0"/>
    <n v="0"/>
    <n v="0"/>
    <n v="0"/>
    <m/>
    <n v="5.2380952380952381"/>
    <n v="9.6027936507936502"/>
    <n v="0.99906525573192229"/>
    <n v="0"/>
    <n v="0"/>
    <n v="0"/>
    <n v="5.5555555555555554"/>
    <m/>
  </r>
  <r>
    <x v="10"/>
    <x v="10"/>
    <n v="6"/>
    <n v="2.5"/>
    <n v="1800"/>
    <n v="2.5"/>
    <n v="1"/>
    <n v="1"/>
    <n v="1"/>
    <n v="0"/>
    <n v="0"/>
    <n v="0"/>
    <n v="0"/>
    <n v="0"/>
    <n v="0"/>
    <n v="0"/>
    <n v="0"/>
    <n v="0"/>
    <n v="5.8571428571428568"/>
    <n v="4"/>
    <n v="2"/>
    <n v="5"/>
    <n v="0"/>
    <n v="8.25"/>
    <n v="0"/>
    <n v="0"/>
    <n v="6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4500"/>
    <n v="4500"/>
    <n v="4500"/>
    <n v="4500"/>
    <n v="3600"/>
    <n v="3600"/>
    <n v="0"/>
    <n v="0"/>
    <m/>
    <n v="5271.4285714285706"/>
    <n v="5271.4285714285706"/>
    <n v="0"/>
    <n v="0"/>
    <m/>
    <n v="0"/>
    <n v="0"/>
    <n v="0"/>
    <n v="0"/>
    <m/>
    <n v="3.9523809523809526"/>
    <n v="5.8752380952380951"/>
    <n v="8.5428571428571427"/>
    <n v="0"/>
    <n v="0"/>
    <n v="0"/>
    <n v="2.2222222222222223"/>
    <m/>
  </r>
  <r>
    <x v="11"/>
    <x v="11"/>
    <n v="4"/>
    <n v="2.5"/>
    <n v="2480"/>
    <n v="2.5"/>
    <n v="1"/>
    <n v="1"/>
    <n v="0.5"/>
    <n v="0"/>
    <n v="0"/>
    <n v="0"/>
    <n v="0"/>
    <n v="0"/>
    <n v="0"/>
    <n v="0"/>
    <n v="0"/>
    <n v="0"/>
    <n v="7.1428571428571432"/>
    <n v="3"/>
    <n v="0"/>
    <n v="9"/>
    <n v="6"/>
    <n v="0"/>
    <n v="4"/>
    <n v="0"/>
    <n v="3"/>
    <n v="0"/>
    <n v="0"/>
    <n v="0"/>
    <n v="6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1"/>
    <n v="0"/>
    <n v="3"/>
    <n v="7"/>
    <n v="0"/>
    <n v="6200"/>
    <n v="6200"/>
    <n v="6200"/>
    <n v="6200"/>
    <n v="4960"/>
    <n v="2254.5454545454545"/>
    <n v="0"/>
    <n v="0"/>
    <m/>
    <n v="8857.1428571428569"/>
    <n v="4025.9740259740261"/>
    <n v="0"/>
    <n v="0"/>
    <m/>
    <n v="0"/>
    <n v="0"/>
    <n v="0"/>
    <n v="0"/>
    <m/>
    <n v="4.3809523809523805"/>
    <n v="7.4389610389610388"/>
    <n v="0.35786435786435788"/>
    <n v="2.4048484848484843"/>
    <n v="0"/>
    <n v="0"/>
    <n v="5.5555555555555554"/>
    <m/>
  </r>
  <r>
    <x v="12"/>
    <x v="12"/>
    <n v="5"/>
    <n v="3.2"/>
    <n v="1960"/>
    <n v="2.15"/>
    <n v="1"/>
    <n v="1"/>
    <n v="1"/>
    <n v="0.5"/>
    <n v="0"/>
    <n v="2.5"/>
    <n v="2400"/>
    <n v="4800"/>
    <n v="9600"/>
    <n v="9600"/>
    <n v="4800"/>
    <n v="0"/>
    <n v="5"/>
    <n v="6"/>
    <n v="0"/>
    <n v="1"/>
    <n v="2"/>
    <n v="4.25"/>
    <n v="0"/>
    <n v="0"/>
    <n v="6"/>
    <n v="0"/>
    <n v="0"/>
    <n v="0"/>
    <n v="5"/>
    <n v="0"/>
    <n v="0"/>
    <n v="4"/>
    <n v="1"/>
    <n v="0"/>
    <n v="6"/>
    <n v="7"/>
    <n v="10"/>
    <n v="0"/>
    <n v="2.5"/>
    <n v="9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6614"/>
    <n v="9014"/>
    <n v="13814"/>
    <n v="13814"/>
    <n v="5156.8"/>
    <n v="3371.2"/>
    <n v="4028.3636363636365"/>
    <n v="1600"/>
    <m/>
    <n v="6446"/>
    <n v="4214"/>
    <n v="5035.454545454546"/>
    <n v="2400"/>
    <m/>
    <n v="0"/>
    <n v="0"/>
    <n v="0"/>
    <n v="0"/>
    <m/>
    <n v="3.3333333333333335"/>
    <n v="4.8886666666666665"/>
    <n v="4.7526515151515154"/>
    <n v="3.1999999999999997"/>
    <n v="4.2666666666666666"/>
    <n v="8"/>
    <n v="6.4444444444444446"/>
    <m/>
  </r>
  <r>
    <x v="13"/>
    <x v="13"/>
    <n v="5"/>
    <n v="3.2"/>
    <n v="2000"/>
    <n v="1.65"/>
    <n v="1"/>
    <n v="1"/>
    <n v="1"/>
    <n v="0.5"/>
    <n v="0"/>
    <n v="1"/>
    <n v="1800"/>
    <n v="1800"/>
    <n v="1800"/>
    <n v="1800"/>
    <n v="1800"/>
    <n v="0"/>
    <n v="7.6428571428571432"/>
    <n v="1"/>
    <n v="6"/>
    <n v="1"/>
    <n v="3"/>
    <n v="0"/>
    <n v="0"/>
    <n v="0"/>
    <n v="0"/>
    <n v="0"/>
    <n v="0"/>
    <n v="0"/>
    <n v="9"/>
    <n v="6"/>
    <n v="6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5100"/>
    <n v="5100"/>
    <n v="5100"/>
    <n v="5100"/>
    <n v="3403.2"/>
    <n v="2640"/>
    <n v="1200"/>
    <n v="0"/>
    <m/>
    <n v="6502.5428571428574"/>
    <n v="5044.2857142857147"/>
    <n v="2292.8571428571431"/>
    <n v="0"/>
    <m/>
    <n v="19507.628571428573"/>
    <n v="15132.857142857145"/>
    <n v="6878.5714285714294"/>
    <n v="0"/>
    <m/>
    <n v="9.5476190476190474"/>
    <n v="4.9944180952380952"/>
    <n v="0.38443571428571427"/>
    <n v="0.98181818181818192"/>
    <n v="0"/>
    <n v="0"/>
    <n v="5.1111111111111107"/>
    <m/>
  </r>
  <r>
    <x v="14"/>
    <x v="14"/>
    <n v="6"/>
    <n v="2.3333333333333335"/>
    <n v="1360"/>
    <n v="1.65"/>
    <n v="2"/>
    <n v="1"/>
    <n v="2"/>
    <n v="1"/>
    <n v="1"/>
    <n v="2"/>
    <n v="4000"/>
    <n v="3000"/>
    <n v="2000"/>
    <n v="1000"/>
    <n v="2000"/>
    <n v="0"/>
    <n v="3.4285714285714284"/>
    <n v="7"/>
    <n v="0"/>
    <n v="1"/>
    <n v="7"/>
    <n v="4.75"/>
    <n v="1"/>
    <n v="0"/>
    <n v="6"/>
    <n v="0"/>
    <n v="0"/>
    <n v="0"/>
    <n v="5"/>
    <n v="0"/>
    <n v="0"/>
    <n v="4"/>
    <n v="1"/>
    <n v="0"/>
    <n v="2"/>
    <n v="6"/>
    <n v="1"/>
    <n v="10"/>
    <n v="5"/>
    <n v="1"/>
    <n v="0"/>
    <n v="0"/>
    <n v="0"/>
    <n v="0"/>
    <n v="0"/>
    <n v="0"/>
    <n v="0"/>
    <n v="0"/>
    <n v="0"/>
    <n v="0"/>
    <n v="0"/>
    <n v="0"/>
    <n v="0"/>
    <n v="0"/>
    <n v="0"/>
    <n v="0.5"/>
    <n v="7"/>
    <n v="0"/>
    <n v="8488"/>
    <n v="7488"/>
    <n v="6488"/>
    <n v="5488"/>
    <n v="3118.2222222222222"/>
    <n v="4297.0666666666666"/>
    <n v="1496"/>
    <n v="1090.4444444444446"/>
    <m/>
    <n v="2672.7619047619046"/>
    <n v="3683.2"/>
    <n v="1282.2857142857142"/>
    <n v="1908.2777777777781"/>
    <m/>
    <n v="0"/>
    <n v="0"/>
    <n v="0"/>
    <n v="0"/>
    <m/>
    <n v="2.8095238095238098"/>
    <n v="4.173770158730159"/>
    <n v="5.0151812610229278"/>
    <n v="7.0012133333333342"/>
    <n v="3.2"/>
    <n v="6.5"/>
    <n v="1.1111111111111112"/>
    <m/>
  </r>
  <r>
    <x v="15"/>
    <x v="15"/>
    <n v="7"/>
    <n v="2.2857142857142856"/>
    <n v="1800"/>
    <n v="2.5"/>
    <n v="1"/>
    <n v="1"/>
    <n v="1"/>
    <n v="0.5"/>
    <n v="0.5"/>
    <n v="2.5"/>
    <n v="4800"/>
    <n v="9600"/>
    <n v="800"/>
    <n v="0"/>
    <n v="3200"/>
    <n v="0"/>
    <n v="4.4285714285714288"/>
    <n v="7"/>
    <n v="0"/>
    <n v="1"/>
    <n v="1"/>
    <n v="0"/>
    <n v="0"/>
    <n v="1"/>
    <n v="7"/>
    <n v="0"/>
    <n v="0"/>
    <n v="0"/>
    <n v="5"/>
    <n v="0"/>
    <n v="0"/>
    <n v="4"/>
    <n v="1"/>
    <n v="0"/>
    <n v="7"/>
    <n v="4"/>
    <n v="4"/>
    <n v="4"/>
    <n v="7.5"/>
    <n v="0"/>
    <n v="5"/>
    <n v="0"/>
    <n v="0"/>
    <n v="0"/>
    <n v="0"/>
    <n v="0"/>
    <n v="0"/>
    <n v="0"/>
    <n v="0"/>
    <n v="0"/>
    <n v="0"/>
    <n v="6.333333333333333"/>
    <n v="0"/>
    <n v="0"/>
    <n v="0"/>
    <n v="0"/>
    <n v="7"/>
    <n v="0"/>
    <n v="9300"/>
    <n v="14100"/>
    <n v="5300"/>
    <n v="4500"/>
    <n v="6342.8571428571431"/>
    <n v="7257.1428571428578"/>
    <n v="701.2987012987013"/>
    <n v="389.61038961038963"/>
    <m/>
    <n v="7022.4489795918371"/>
    <n v="8034.6938775510216"/>
    <n v="776.43784786641925"/>
    <n v="681.81818181818187"/>
    <m/>
    <n v="0"/>
    <n v="0"/>
    <n v="0"/>
    <n v="0"/>
    <m/>
    <n v="3.1428571428571428"/>
    <n v="4.9971428571428573"/>
    <n v="0.45876108018965156"/>
    <n v="1.28"/>
    <n v="4.5333333333333332"/>
    <n v="7.125"/>
    <n v="0.44444444444444442"/>
    <m/>
  </r>
  <r>
    <x v="16"/>
    <x v="16"/>
    <n v="9"/>
    <n v="2.3333333333333335"/>
    <n v="1040"/>
    <n v="2.5"/>
    <n v="1.5"/>
    <n v="3"/>
    <n v="2.5"/>
    <n v="1.5"/>
    <n v="0.5"/>
    <n v="1.5"/>
    <n v="0"/>
    <n v="400"/>
    <n v="1200"/>
    <n v="800"/>
    <n v="400"/>
    <n v="0"/>
    <n v="4.4285714285714288"/>
    <n v="8"/>
    <n v="0"/>
    <n v="2"/>
    <n v="1"/>
    <n v="0"/>
    <n v="0"/>
    <n v="1"/>
    <n v="7"/>
    <n v="0"/>
    <n v="0"/>
    <n v="0"/>
    <n v="5"/>
    <n v="0"/>
    <n v="0"/>
    <n v="8"/>
    <n v="7"/>
    <n v="1"/>
    <n v="2"/>
    <n v="2"/>
    <n v="1"/>
    <n v="8"/>
    <n v="7.5"/>
    <n v="0"/>
    <n v="0"/>
    <n v="0"/>
    <n v="0"/>
    <n v="0"/>
    <n v="0"/>
    <n v="0"/>
    <n v="0"/>
    <n v="0"/>
    <n v="0"/>
    <n v="4"/>
    <n v="0"/>
    <n v="0"/>
    <n v="0"/>
    <n v="0"/>
    <n v="0"/>
    <n v="0"/>
    <n v="6"/>
    <n v="0"/>
    <n v="3900"/>
    <n v="4300"/>
    <n v="5100"/>
    <n v="4700"/>
    <n v="8914.2857142857138"/>
    <n v="6500"/>
    <n v="3493.3333333333335"/>
    <n v="948.14814814814815"/>
    <m/>
    <n v="9869.3877551020414"/>
    <n v="7196.4285714285716"/>
    <n v="3867.6190476190477"/>
    <n v="1896.2962962962963"/>
    <m/>
    <n v="0"/>
    <n v="0"/>
    <n v="0"/>
    <n v="0"/>
    <m/>
    <n v="3.1428571428571428"/>
    <n v="5.5974319727891153"/>
    <n v="0.63415921306794321"/>
    <n v="0.2"/>
    <n v="8.2666666666666675"/>
    <n v="6.5"/>
    <n v="0.88888888888888884"/>
    <m/>
  </r>
  <r>
    <x v="17"/>
    <x v="17"/>
    <n v="14"/>
    <n v="2.2142857142857144"/>
    <n v="640"/>
    <n v="3.3"/>
    <n v="3"/>
    <n v="4"/>
    <n v="3.5"/>
    <n v="2.5"/>
    <n v="0"/>
    <n v="0"/>
    <n v="0"/>
    <n v="0"/>
    <n v="0"/>
    <n v="0"/>
    <n v="0"/>
    <n v="0"/>
    <n v="5"/>
    <n v="7"/>
    <n v="5.666666666666667"/>
    <n v="3"/>
    <n v="0"/>
    <n v="0"/>
    <n v="0"/>
    <n v="0"/>
    <n v="6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4.5"/>
    <n v="0"/>
    <n v="0"/>
    <n v="0"/>
    <n v="0"/>
    <n v="0"/>
    <n v="0"/>
    <n v="0"/>
    <n v="0"/>
    <n v="0"/>
    <n v="0"/>
    <n v="6"/>
    <n v="0"/>
    <n v="6335.9999999999991"/>
    <n v="6335.9999999999991"/>
    <n v="6335.9999999999991"/>
    <n v="6335.9999999999991"/>
    <n v="8448"/>
    <n v="6570.6666666666661"/>
    <n v="3840"/>
    <n v="0"/>
    <m/>
    <n v="10560"/>
    <n v="8213.3333333333321"/>
    <n v="4800"/>
    <n v="0"/>
    <m/>
    <n v="0"/>
    <n v="0"/>
    <n v="0"/>
    <n v="0"/>
    <m/>
    <n v="4.666666666666667"/>
    <n v="5.9591111111111115"/>
    <n v="0.65481481481481485"/>
    <n v="0"/>
    <n v="0"/>
    <n v="0"/>
    <n v="1.3333333333333333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n v="1"/>
    <x v="0"/>
    <m/>
    <m/>
    <m/>
    <m/>
    <n v="7"/>
    <m/>
    <m/>
    <m/>
    <m/>
    <m/>
    <m/>
    <m/>
    <m/>
    <m/>
    <m/>
    <m/>
    <m/>
    <m/>
    <m/>
    <n v="4"/>
    <n v="6"/>
    <n v="8"/>
    <n v="0"/>
    <n v="2.9966666666666666"/>
    <n v="6.6651851851851847"/>
  </r>
  <r>
    <n v="2"/>
    <x v="1"/>
    <m/>
    <m/>
    <m/>
    <m/>
    <n v="9"/>
    <m/>
    <m/>
    <m/>
    <m/>
    <m/>
    <m/>
    <m/>
    <m/>
    <m/>
    <m/>
    <m/>
    <m/>
    <m/>
    <m/>
    <n v="5"/>
    <n v="5"/>
    <n v="6"/>
    <n v="0"/>
    <n v="2.6633333333333336"/>
    <n v="5.8503703703703707"/>
  </r>
  <r>
    <n v="3"/>
    <x v="2"/>
    <m/>
    <m/>
    <m/>
    <m/>
    <n v="6"/>
    <m/>
    <m/>
    <m/>
    <m/>
    <m/>
    <m/>
    <m/>
    <m/>
    <m/>
    <m/>
    <m/>
    <m/>
    <m/>
    <m/>
    <n v="3"/>
    <n v="8"/>
    <n v="9"/>
    <n v="0"/>
    <n v="1.9966666666666666"/>
    <n v="7.1096296296296293"/>
  </r>
  <r>
    <n v="4"/>
    <x v="3"/>
    <m/>
    <m/>
    <m/>
    <m/>
    <n v="7"/>
    <m/>
    <m/>
    <m/>
    <m/>
    <m/>
    <m/>
    <m/>
    <m/>
    <m/>
    <m/>
    <m/>
    <m/>
    <m/>
    <m/>
    <n v="7"/>
    <n v="2"/>
    <n v="8"/>
    <n v="4"/>
    <n v="6.6633333333333331"/>
    <n v="7.1837037037037037"/>
  </r>
  <r>
    <n v="5"/>
    <x v="4"/>
    <m/>
    <m/>
    <m/>
    <m/>
    <n v="7"/>
    <m/>
    <m/>
    <m/>
    <m/>
    <m/>
    <m/>
    <m/>
    <m/>
    <m/>
    <m/>
    <m/>
    <m/>
    <m/>
    <m/>
    <n v="3"/>
    <n v="7"/>
    <n v="6"/>
    <n v="0"/>
    <n v="1.9966666666666666"/>
    <n v="5.9985185185185186"/>
  </r>
  <r>
    <n v="6"/>
    <x v="5"/>
    <m/>
    <m/>
    <m/>
    <m/>
    <n v="7"/>
    <m/>
    <m/>
    <m/>
    <m/>
    <m/>
    <m/>
    <m/>
    <m/>
    <m/>
    <m/>
    <m/>
    <m/>
    <m/>
    <m/>
    <n v="10"/>
    <n v="1"/>
    <n v="5"/>
    <n v="3"/>
    <n v="6.996666666666667"/>
    <n v="6.887407407407407"/>
  </r>
  <r>
    <n v="7"/>
    <x v="6"/>
    <m/>
    <m/>
    <m/>
    <m/>
    <n v="5"/>
    <m/>
    <m/>
    <m/>
    <m/>
    <m/>
    <m/>
    <m/>
    <m/>
    <m/>
    <m/>
    <m/>
    <m/>
    <m/>
    <m/>
    <n v="2"/>
    <n v="6"/>
    <n v="5"/>
    <n v="0"/>
    <n v="1.6633333333333336"/>
    <n v="4.9614814814814814"/>
  </r>
  <r>
    <n v="8"/>
    <x v="7"/>
    <m/>
    <m/>
    <m/>
    <m/>
    <n v="9"/>
    <m/>
    <m/>
    <m/>
    <m/>
    <m/>
    <m/>
    <m/>
    <m/>
    <m/>
    <m/>
    <m/>
    <m/>
    <m/>
    <m/>
    <n v="5"/>
    <n v="6"/>
    <n v="2"/>
    <n v="0"/>
    <n v="2.6633333333333336"/>
    <n v="5.405925925925926"/>
  </r>
  <r>
    <n v="9"/>
    <x v="8"/>
    <m/>
    <m/>
    <m/>
    <m/>
    <n v="8"/>
    <m/>
    <m/>
    <m/>
    <m/>
    <m/>
    <m/>
    <m/>
    <m/>
    <m/>
    <m/>
    <m/>
    <m/>
    <m/>
    <m/>
    <n v="7"/>
    <n v="3"/>
    <n v="4"/>
    <n v="0"/>
    <n v="3.996666666666667"/>
    <n v="5.5540740740740739"/>
  </r>
  <r>
    <n v="10"/>
    <x v="9"/>
    <m/>
    <m/>
    <m/>
    <m/>
    <n v="8"/>
    <m/>
    <m/>
    <m/>
    <m/>
    <m/>
    <m/>
    <m/>
    <m/>
    <m/>
    <m/>
    <m/>
    <m/>
    <m/>
    <m/>
    <n v="3"/>
    <n v="7"/>
    <n v="6"/>
    <n v="0"/>
    <n v="1.9966666666666666"/>
    <n v="5.9985185185185186"/>
  </r>
  <r>
    <n v="11"/>
    <x v="10"/>
    <m/>
    <m/>
    <m/>
    <m/>
    <n v="3"/>
    <m/>
    <m/>
    <m/>
    <m/>
    <m/>
    <m/>
    <m/>
    <m/>
    <m/>
    <m/>
    <m/>
    <m/>
    <m/>
    <m/>
    <n v="3"/>
    <n v="6"/>
    <n v="8"/>
    <n v="0"/>
    <n v="2.6633333333333336"/>
    <n v="6.2948148148148153"/>
  </r>
  <r>
    <n v="12"/>
    <x v="11"/>
    <m/>
    <m/>
    <m/>
    <m/>
    <n v="4"/>
    <m/>
    <m/>
    <m/>
    <m/>
    <m/>
    <m/>
    <m/>
    <m/>
    <m/>
    <m/>
    <m/>
    <m/>
    <m/>
    <m/>
    <n v="1"/>
    <n v="7"/>
    <n v="5"/>
    <n v="0"/>
    <n v="1.33"/>
    <n v="5.0355555555555558"/>
  </r>
  <r>
    <n v="13"/>
    <x v="12"/>
    <m/>
    <m/>
    <m/>
    <m/>
    <n v="5"/>
    <m/>
    <m/>
    <m/>
    <m/>
    <m/>
    <m/>
    <m/>
    <m/>
    <m/>
    <m/>
    <m/>
    <m/>
    <m/>
    <m/>
    <n v="7"/>
    <n v="8"/>
    <n v="6"/>
    <n v="0"/>
    <n v="1.9966666666666666"/>
    <n v="7.3318518518518516"/>
  </r>
  <r>
    <n v="14"/>
    <x v="13"/>
    <m/>
    <m/>
    <m/>
    <m/>
    <n v="6"/>
    <m/>
    <m/>
    <m/>
    <m/>
    <m/>
    <m/>
    <m/>
    <m/>
    <m/>
    <m/>
    <m/>
    <m/>
    <m/>
    <m/>
    <n v="3"/>
    <n v="8"/>
    <n v="9"/>
    <n v="0"/>
    <n v="1.9966666666666666"/>
    <n v="7.1096296296296293"/>
  </r>
  <r>
    <n v="15"/>
    <x v="14"/>
    <m/>
    <m/>
    <m/>
    <m/>
    <n v="7"/>
    <m/>
    <m/>
    <m/>
    <m/>
    <m/>
    <m/>
    <m/>
    <m/>
    <m/>
    <m/>
    <m/>
    <m/>
    <m/>
    <m/>
    <n v="8"/>
    <n v="4"/>
    <n v="5"/>
    <n v="6"/>
    <n v="8.33"/>
    <n v="8.3688888888888879"/>
  </r>
  <r>
    <n v="16"/>
    <x v="15"/>
    <m/>
    <m/>
    <m/>
    <m/>
    <n v="8"/>
    <m/>
    <m/>
    <m/>
    <m/>
    <m/>
    <m/>
    <m/>
    <m/>
    <m/>
    <m/>
    <m/>
    <m/>
    <m/>
    <m/>
    <n v="4"/>
    <n v="6"/>
    <n v="5"/>
    <n v="0"/>
    <n v="2.33"/>
    <n v="5.7022222222222219"/>
  </r>
  <r>
    <n v="17"/>
    <x v="16"/>
    <m/>
    <m/>
    <m/>
    <m/>
    <n v="6"/>
    <m/>
    <m/>
    <m/>
    <m/>
    <m/>
    <m/>
    <m/>
    <m/>
    <m/>
    <m/>
    <m/>
    <m/>
    <m/>
    <m/>
    <n v="5"/>
    <n v="7"/>
    <n v="6"/>
    <n v="0"/>
    <n v="2.6633333333333336"/>
    <n v="6.7392592592592599"/>
  </r>
  <r>
    <n v="18"/>
    <x v="17"/>
    <m/>
    <m/>
    <m/>
    <m/>
    <n v="8"/>
    <m/>
    <m/>
    <m/>
    <m/>
    <m/>
    <m/>
    <m/>
    <m/>
    <m/>
    <m/>
    <m/>
    <m/>
    <m/>
    <m/>
    <n v="7"/>
    <n v="3"/>
    <n v="4"/>
    <n v="0"/>
    <n v="3.996666666666667"/>
    <n v="5.5540740740740739"/>
  </r>
  <r>
    <n v="19"/>
    <x v="18"/>
    <m/>
    <m/>
    <m/>
    <m/>
    <n v="8"/>
    <m/>
    <m/>
    <m/>
    <m/>
    <m/>
    <m/>
    <m/>
    <m/>
    <m/>
    <m/>
    <m/>
    <m/>
    <m/>
    <m/>
    <n v="3"/>
    <n v="8"/>
    <n v="4"/>
    <n v="0"/>
    <n v="1.9966666666666666"/>
    <n v="5.9985185185185186"/>
  </r>
  <r>
    <n v="20"/>
    <x v="19"/>
    <m/>
    <m/>
    <m/>
    <m/>
    <n v="8"/>
    <m/>
    <m/>
    <m/>
    <m/>
    <m/>
    <m/>
    <m/>
    <m/>
    <m/>
    <m/>
    <m/>
    <m/>
    <m/>
    <m/>
    <n v="4"/>
    <n v="7"/>
    <n v="5"/>
    <n v="0"/>
    <n v="2.33"/>
    <n v="6.1466666666666665"/>
  </r>
  <r>
    <n v="21"/>
    <x v="20"/>
    <m/>
    <m/>
    <m/>
    <m/>
    <n v="6"/>
    <m/>
    <m/>
    <m/>
    <m/>
    <m/>
    <m/>
    <m/>
    <m/>
    <m/>
    <m/>
    <m/>
    <m/>
    <m/>
    <m/>
    <n v="4"/>
    <n v="5"/>
    <n v="6"/>
    <n v="0"/>
    <n v="2.33"/>
    <n v="5.48"/>
  </r>
  <r>
    <n v="22"/>
    <x v="21"/>
    <m/>
    <m/>
    <m/>
    <m/>
    <n v="8"/>
    <m/>
    <m/>
    <m/>
    <m/>
    <m/>
    <m/>
    <m/>
    <m/>
    <m/>
    <m/>
    <m/>
    <m/>
    <m/>
    <m/>
    <n v="4"/>
    <n v="6"/>
    <n v="4"/>
    <n v="3"/>
    <n v="4.33"/>
    <n v="6.3688888888888888"/>
  </r>
  <r>
    <n v="23"/>
    <x v="22"/>
    <m/>
    <m/>
    <m/>
    <m/>
    <n v="4"/>
    <m/>
    <m/>
    <m/>
    <m/>
    <m/>
    <m/>
    <m/>
    <m/>
    <m/>
    <m/>
    <m/>
    <m/>
    <m/>
    <m/>
    <n v="2"/>
    <n v="9"/>
    <n v="6"/>
    <n v="1"/>
    <n v="2.33"/>
    <n v="6.8133333333333335"/>
  </r>
  <r>
    <n v="24"/>
    <x v="23"/>
    <m/>
    <m/>
    <m/>
    <m/>
    <n v="6"/>
    <m/>
    <m/>
    <m/>
    <m/>
    <m/>
    <m/>
    <m/>
    <m/>
    <m/>
    <m/>
    <m/>
    <m/>
    <m/>
    <m/>
    <n v="7"/>
    <n v="7"/>
    <n v="5"/>
    <n v="0"/>
    <n v="3.33"/>
    <n v="7.2577777777777772"/>
  </r>
  <r>
    <n v="25"/>
    <x v="24"/>
    <m/>
    <m/>
    <m/>
    <m/>
    <n v="8"/>
    <m/>
    <m/>
    <m/>
    <m/>
    <m/>
    <m/>
    <m/>
    <m/>
    <m/>
    <m/>
    <m/>
    <m/>
    <m/>
    <m/>
    <n v="10"/>
    <n v="5"/>
    <n v="5"/>
    <n v="0"/>
    <n v="4.996666666666667"/>
    <n v="7.7762962962962963"/>
  </r>
  <r>
    <n v="26"/>
    <x v="25"/>
    <m/>
    <m/>
    <m/>
    <m/>
    <n v="8"/>
    <m/>
    <m/>
    <m/>
    <m/>
    <m/>
    <m/>
    <m/>
    <m/>
    <m/>
    <m/>
    <m/>
    <m/>
    <m/>
    <m/>
    <n v="7"/>
    <n v="2"/>
    <n v="5"/>
    <n v="0"/>
    <n v="4.6633333333333331"/>
    <n v="5.6281481481481483"/>
  </r>
  <r>
    <n v="27"/>
    <x v="26"/>
    <m/>
    <m/>
    <m/>
    <m/>
    <n v="8"/>
    <m/>
    <m/>
    <m/>
    <m/>
    <m/>
    <m/>
    <m/>
    <m/>
    <m/>
    <m/>
    <m/>
    <m/>
    <m/>
    <m/>
    <n v="3"/>
    <n v="8"/>
    <n v="6"/>
    <n v="0"/>
    <n v="1.9966666666666666"/>
    <n v="6.4429629629629623"/>
  </r>
  <r>
    <n v="28"/>
    <x v="27"/>
    <m/>
    <m/>
    <m/>
    <m/>
    <n v="8"/>
    <m/>
    <m/>
    <m/>
    <m/>
    <m/>
    <m/>
    <m/>
    <m/>
    <m/>
    <m/>
    <m/>
    <m/>
    <m/>
    <m/>
    <n v="2"/>
    <n v="10"/>
    <n v="7"/>
    <n v="0"/>
    <n v="1.6633333333333336"/>
    <n v="7.1837037037037037"/>
  </r>
  <r>
    <n v="29"/>
    <x v="28"/>
    <m/>
    <m/>
    <m/>
    <m/>
    <n v="7"/>
    <m/>
    <m/>
    <m/>
    <m/>
    <m/>
    <m/>
    <m/>
    <m/>
    <m/>
    <m/>
    <m/>
    <m/>
    <m/>
    <m/>
    <n v="4"/>
    <n v="1"/>
    <n v="5"/>
    <n v="6"/>
    <n v="7.663333333333334"/>
    <n v="5.8503703703703707"/>
  </r>
  <r>
    <n v="30"/>
    <x v="29"/>
    <m/>
    <m/>
    <m/>
    <m/>
    <n v="8"/>
    <m/>
    <m/>
    <m/>
    <m/>
    <m/>
    <m/>
    <m/>
    <m/>
    <m/>
    <m/>
    <m/>
    <m/>
    <m/>
    <m/>
    <n v="4"/>
    <n v="7"/>
    <n v="9"/>
    <n v="0"/>
    <n v="2.33"/>
    <n v="7.0355555555555558"/>
  </r>
  <r>
    <n v="31"/>
    <x v="30"/>
    <m/>
    <m/>
    <m/>
    <m/>
    <n v="4"/>
    <m/>
    <m/>
    <m/>
    <m/>
    <m/>
    <m/>
    <m/>
    <m/>
    <m/>
    <m/>
    <m/>
    <m/>
    <m/>
    <m/>
    <n v="3"/>
    <n v="7"/>
    <n v="4"/>
    <n v="0"/>
    <n v="1.9966666666666666"/>
    <n v="5.5540740740740739"/>
  </r>
  <r>
    <n v="32"/>
    <x v="31"/>
    <m/>
    <m/>
    <m/>
    <m/>
    <n v="9"/>
    <m/>
    <m/>
    <m/>
    <m/>
    <m/>
    <m/>
    <m/>
    <m/>
    <m/>
    <m/>
    <m/>
    <m/>
    <m/>
    <m/>
    <n v="6"/>
    <n v="8"/>
    <n v="5"/>
    <n v="7"/>
    <n v="6.996666666666667"/>
    <n v="9.1096296296296302"/>
  </r>
  <r>
    <n v="33"/>
    <x v="32"/>
    <m/>
    <m/>
    <m/>
    <m/>
    <n v="6"/>
    <m/>
    <m/>
    <m/>
    <m/>
    <m/>
    <m/>
    <m/>
    <m/>
    <m/>
    <m/>
    <m/>
    <m/>
    <m/>
    <m/>
    <n v="5"/>
    <n v="7"/>
    <n v="5"/>
    <n v="0"/>
    <n v="2.6633333333333336"/>
    <n v="6.5170370370370376"/>
  </r>
  <r>
    <n v="34"/>
    <x v="33"/>
    <m/>
    <m/>
    <m/>
    <m/>
    <n v="9"/>
    <m/>
    <m/>
    <m/>
    <m/>
    <m/>
    <m/>
    <m/>
    <m/>
    <m/>
    <m/>
    <m/>
    <m/>
    <m/>
    <m/>
    <n v="4"/>
    <n v="8"/>
    <n v="4"/>
    <n v="0"/>
    <n v="2.33"/>
    <n v="6.3688888888888888"/>
  </r>
  <r>
    <n v="35"/>
    <x v="34"/>
    <m/>
    <m/>
    <m/>
    <m/>
    <n v="8"/>
    <m/>
    <m/>
    <m/>
    <m/>
    <m/>
    <m/>
    <m/>
    <m/>
    <m/>
    <m/>
    <m/>
    <m/>
    <m/>
    <m/>
    <n v="2"/>
    <n v="8"/>
    <n v="4"/>
    <n v="0"/>
    <n v="1.6633333333333336"/>
    <n v="5.6281481481481483"/>
  </r>
  <r>
    <n v="36"/>
    <x v="35"/>
    <m/>
    <m/>
    <m/>
    <m/>
    <n v="8"/>
    <m/>
    <m/>
    <m/>
    <m/>
    <m/>
    <m/>
    <m/>
    <m/>
    <m/>
    <m/>
    <m/>
    <m/>
    <m/>
    <m/>
    <n v="9"/>
    <n v="4"/>
    <n v="5"/>
    <n v="0"/>
    <n v="3.996666666666667"/>
    <n v="6.6651851851851847"/>
  </r>
  <r>
    <n v="37"/>
    <x v="36"/>
    <m/>
    <m/>
    <m/>
    <m/>
    <n v="7"/>
    <m/>
    <m/>
    <m/>
    <m/>
    <m/>
    <m/>
    <m/>
    <m/>
    <m/>
    <m/>
    <m/>
    <m/>
    <m/>
    <m/>
    <n v="5"/>
    <n v="7"/>
    <n v="6"/>
    <n v="0"/>
    <n v="2.6633333333333336"/>
    <n v="6.7392592592592599"/>
  </r>
  <r>
    <n v="38"/>
    <x v="37"/>
    <m/>
    <m/>
    <m/>
    <m/>
    <n v="8"/>
    <m/>
    <m/>
    <m/>
    <m/>
    <m/>
    <m/>
    <m/>
    <m/>
    <m/>
    <m/>
    <m/>
    <m/>
    <m/>
    <m/>
    <n v="8"/>
    <n v="3"/>
    <n v="4"/>
    <n v="0"/>
    <n v="4.33"/>
    <n v="5.9244444444444442"/>
  </r>
  <r>
    <n v="39"/>
    <x v="38"/>
    <m/>
    <m/>
    <m/>
    <m/>
    <n v="9"/>
    <m/>
    <m/>
    <m/>
    <m/>
    <m/>
    <m/>
    <m/>
    <m/>
    <m/>
    <m/>
    <m/>
    <m/>
    <m/>
    <m/>
    <n v="3"/>
    <n v="10"/>
    <n v="6"/>
    <n v="0"/>
    <n v="1.9966666666666666"/>
    <n v="7.3318518518518516"/>
  </r>
  <r>
    <n v="40"/>
    <x v="39"/>
    <m/>
    <m/>
    <m/>
    <m/>
    <n v="7"/>
    <m/>
    <m/>
    <m/>
    <m/>
    <m/>
    <m/>
    <m/>
    <m/>
    <m/>
    <m/>
    <m/>
    <m/>
    <m/>
    <m/>
    <n v="5"/>
    <n v="7"/>
    <n v="5"/>
    <n v="0"/>
    <n v="2.6633333333333336"/>
    <n v="6.5170370370370376"/>
  </r>
  <r>
    <n v="41"/>
    <x v="40"/>
    <m/>
    <m/>
    <m/>
    <m/>
    <n v="9"/>
    <m/>
    <m/>
    <m/>
    <m/>
    <m/>
    <m/>
    <m/>
    <m/>
    <m/>
    <m/>
    <m/>
    <m/>
    <m/>
    <m/>
    <n v="7"/>
    <n v="4"/>
    <n v="5"/>
    <n v="0"/>
    <n v="3.33"/>
    <n v="5.9244444444444442"/>
  </r>
  <r>
    <n v="42"/>
    <x v="41"/>
    <m/>
    <m/>
    <m/>
    <m/>
    <n v="7"/>
    <m/>
    <m/>
    <m/>
    <m/>
    <m/>
    <m/>
    <m/>
    <m/>
    <m/>
    <m/>
    <m/>
    <m/>
    <m/>
    <m/>
    <n v="5"/>
    <n v="7"/>
    <n v="6"/>
    <n v="0"/>
    <n v="2.6633333333333336"/>
    <n v="6.7392592592592599"/>
  </r>
  <r>
    <n v="43"/>
    <x v="42"/>
    <m/>
    <m/>
    <m/>
    <m/>
    <n v="5"/>
    <m/>
    <m/>
    <m/>
    <m/>
    <m/>
    <m/>
    <m/>
    <m/>
    <m/>
    <m/>
    <m/>
    <m/>
    <m/>
    <m/>
    <n v="3"/>
    <n v="5"/>
    <n v="5"/>
    <n v="0"/>
    <n v="2.6633333333333336"/>
    <n v="5.1837037037037037"/>
  </r>
  <r>
    <n v="44"/>
    <x v="43"/>
    <m/>
    <m/>
    <m/>
    <m/>
    <n v="9"/>
    <m/>
    <m/>
    <m/>
    <m/>
    <m/>
    <m/>
    <m/>
    <m/>
    <m/>
    <m/>
    <m/>
    <m/>
    <m/>
    <m/>
    <n v="3"/>
    <n v="9"/>
    <n v="6"/>
    <n v="0"/>
    <n v="3.33"/>
    <n v="7.4799999999999995"/>
  </r>
  <r>
    <n v="45"/>
    <x v="44"/>
    <m/>
    <m/>
    <m/>
    <m/>
    <n v="5"/>
    <m/>
    <m/>
    <m/>
    <m/>
    <m/>
    <m/>
    <m/>
    <m/>
    <m/>
    <m/>
    <m/>
    <m/>
    <m/>
    <m/>
    <n v="2"/>
    <n v="5"/>
    <n v="5"/>
    <n v="7"/>
    <n v="6.33"/>
    <n v="6.5911111111111111"/>
  </r>
  <r>
    <n v="46"/>
    <x v="45"/>
    <m/>
    <m/>
    <m/>
    <m/>
    <n v="8"/>
    <m/>
    <m/>
    <m/>
    <m/>
    <m/>
    <m/>
    <m/>
    <m/>
    <m/>
    <m/>
    <m/>
    <m/>
    <m/>
    <m/>
    <n v="4"/>
    <n v="2"/>
    <n v="4"/>
    <n v="5"/>
    <n v="6.996666666666667"/>
    <n v="5.7762962962962963"/>
  </r>
  <r>
    <n v="47"/>
    <x v="46"/>
    <m/>
    <m/>
    <m/>
    <m/>
    <n v="9"/>
    <m/>
    <m/>
    <m/>
    <m/>
    <m/>
    <m/>
    <m/>
    <m/>
    <m/>
    <m/>
    <m/>
    <m/>
    <m/>
    <m/>
    <n v="3"/>
    <n v="7"/>
    <n v="4"/>
    <n v="0"/>
    <n v="1.9966666666666666"/>
    <n v="5.5540740740740739"/>
  </r>
  <r>
    <n v="48"/>
    <x v="47"/>
    <m/>
    <m/>
    <m/>
    <m/>
    <n v="8"/>
    <m/>
    <m/>
    <m/>
    <m/>
    <m/>
    <m/>
    <m/>
    <m/>
    <m/>
    <m/>
    <m/>
    <m/>
    <m/>
    <m/>
    <n v="7"/>
    <n v="3"/>
    <n v="6"/>
    <n v="6"/>
    <n v="7.9966666666666661"/>
    <n v="7.7762962962962963"/>
  </r>
  <r>
    <n v="49"/>
    <x v="48"/>
    <m/>
    <m/>
    <m/>
    <m/>
    <n v="7"/>
    <m/>
    <m/>
    <m/>
    <m/>
    <m/>
    <m/>
    <m/>
    <m/>
    <m/>
    <m/>
    <m/>
    <m/>
    <m/>
    <m/>
    <n v="5"/>
    <n v="1"/>
    <n v="4"/>
    <n v="4"/>
    <n v="6.6633333333333331"/>
    <n v="5.405925925925926"/>
  </r>
  <r>
    <n v="50"/>
    <x v="49"/>
    <m/>
    <m/>
    <m/>
    <m/>
    <n v="7"/>
    <m/>
    <m/>
    <m/>
    <m/>
    <m/>
    <m/>
    <m/>
    <m/>
    <m/>
    <m/>
    <m/>
    <m/>
    <m/>
    <m/>
    <n v="3"/>
    <n v="6"/>
    <n v="4"/>
    <n v="0"/>
    <n v="1.9966666666666666"/>
    <n v="5.1096296296296293"/>
  </r>
  <r>
    <n v="51"/>
    <x v="50"/>
    <m/>
    <m/>
    <m/>
    <m/>
    <n v="9"/>
    <m/>
    <m/>
    <m/>
    <m/>
    <m/>
    <m/>
    <m/>
    <m/>
    <m/>
    <m/>
    <m/>
    <m/>
    <m/>
    <m/>
    <n v="4"/>
    <n v="9"/>
    <n v="3"/>
    <n v="0"/>
    <n v="2.33"/>
    <n v="6.5911111111111111"/>
  </r>
  <r>
    <n v="52"/>
    <x v="51"/>
    <m/>
    <m/>
    <m/>
    <m/>
    <n v="8"/>
    <m/>
    <m/>
    <m/>
    <m/>
    <m/>
    <m/>
    <m/>
    <m/>
    <m/>
    <m/>
    <m/>
    <m/>
    <m/>
    <m/>
    <n v="4"/>
    <n v="7"/>
    <n v="5"/>
    <n v="0"/>
    <n v="3.6633333333333331"/>
    <n v="6.7392592592592599"/>
  </r>
  <r>
    <n v="53"/>
    <x v="52"/>
    <m/>
    <m/>
    <m/>
    <m/>
    <n v="9"/>
    <m/>
    <m/>
    <m/>
    <m/>
    <m/>
    <m/>
    <m/>
    <m/>
    <m/>
    <m/>
    <m/>
    <m/>
    <m/>
    <m/>
    <n v="4"/>
    <n v="7"/>
    <n v="5"/>
    <n v="0"/>
    <n v="2.33"/>
    <n v="6.1466666666666665"/>
  </r>
  <r>
    <n v="54"/>
    <x v="53"/>
    <m/>
    <m/>
    <m/>
    <m/>
    <n v="2"/>
    <m/>
    <m/>
    <m/>
    <m/>
    <m/>
    <m/>
    <m/>
    <m/>
    <m/>
    <m/>
    <m/>
    <m/>
    <m/>
    <m/>
    <n v="3"/>
    <n v="6"/>
    <n v="4"/>
    <n v="0"/>
    <n v="1.9966666666666666"/>
    <n v="5.1096296296296293"/>
  </r>
  <r>
    <n v="55"/>
    <x v="54"/>
    <m/>
    <m/>
    <m/>
    <m/>
    <n v="8"/>
    <m/>
    <m/>
    <m/>
    <m/>
    <m/>
    <m/>
    <m/>
    <m/>
    <m/>
    <m/>
    <m/>
    <m/>
    <m/>
    <m/>
    <n v="2"/>
    <n v="8"/>
    <n v="4"/>
    <n v="0"/>
    <n v="1.6633333333333336"/>
    <n v="5.6281481481481483"/>
  </r>
  <r>
    <n v="56"/>
    <x v="55"/>
    <m/>
    <m/>
    <m/>
    <m/>
    <n v="8"/>
    <m/>
    <m/>
    <m/>
    <m/>
    <m/>
    <m/>
    <m/>
    <m/>
    <m/>
    <m/>
    <m/>
    <m/>
    <m/>
    <m/>
    <n v="4"/>
    <n v="7"/>
    <n v="6"/>
    <n v="0"/>
    <n v="2.33"/>
    <n v="6.3688888888888888"/>
  </r>
  <r>
    <n v="57"/>
    <x v="56"/>
    <m/>
    <m/>
    <m/>
    <m/>
    <n v="8"/>
    <m/>
    <m/>
    <m/>
    <m/>
    <m/>
    <m/>
    <m/>
    <m/>
    <m/>
    <m/>
    <m/>
    <m/>
    <m/>
    <m/>
    <n v="4"/>
    <n v="8"/>
    <n v="5"/>
    <n v="0"/>
    <n v="2.33"/>
    <n v="6.5911111111111111"/>
  </r>
  <r>
    <n v="58"/>
    <x v="57"/>
    <m/>
    <m/>
    <m/>
    <m/>
    <n v="8"/>
    <m/>
    <m/>
    <m/>
    <m/>
    <m/>
    <m/>
    <m/>
    <m/>
    <m/>
    <m/>
    <m/>
    <m/>
    <m/>
    <m/>
    <n v="3"/>
    <n v="7"/>
    <n v="5"/>
    <n v="0"/>
    <n v="1.9966666666666666"/>
    <n v="5.7762962962962963"/>
  </r>
  <r>
    <n v="59"/>
    <x v="58"/>
    <m/>
    <m/>
    <m/>
    <m/>
    <n v="7"/>
    <m/>
    <m/>
    <m/>
    <m/>
    <m/>
    <m/>
    <m/>
    <m/>
    <m/>
    <m/>
    <m/>
    <m/>
    <m/>
    <m/>
    <n v="7"/>
    <n v="1"/>
    <n v="6"/>
    <n v="7"/>
    <n v="8.663333333333334"/>
    <n v="7.1837037037037037"/>
  </r>
  <r>
    <n v="60"/>
    <x v="59"/>
    <m/>
    <m/>
    <m/>
    <m/>
    <n v="7"/>
    <m/>
    <m/>
    <m/>
    <m/>
    <m/>
    <m/>
    <m/>
    <m/>
    <m/>
    <m/>
    <m/>
    <m/>
    <m/>
    <m/>
    <n v="6"/>
    <n v="8"/>
    <n v="6"/>
    <n v="8"/>
    <n v="8.9966666666666661"/>
    <n v="10.220740740740741"/>
  </r>
  <r>
    <n v="61"/>
    <x v="60"/>
    <m/>
    <m/>
    <m/>
    <m/>
    <n v="6"/>
    <m/>
    <m/>
    <m/>
    <m/>
    <m/>
    <m/>
    <m/>
    <m/>
    <m/>
    <m/>
    <m/>
    <m/>
    <m/>
    <m/>
    <n v="3"/>
    <n v="8"/>
    <n v="4"/>
    <n v="0"/>
    <n v="1.9966666666666666"/>
    <n v="5.9985185185185186"/>
  </r>
  <r>
    <n v="62"/>
    <x v="61"/>
    <m/>
    <m/>
    <m/>
    <m/>
    <n v="9"/>
    <m/>
    <m/>
    <m/>
    <m/>
    <m/>
    <m/>
    <m/>
    <m/>
    <m/>
    <m/>
    <m/>
    <m/>
    <m/>
    <m/>
    <n v="3"/>
    <n v="5"/>
    <n v="4"/>
    <n v="2"/>
    <n v="3.33"/>
    <n v="5.2577777777777781"/>
  </r>
  <r>
    <n v="63"/>
    <x v="62"/>
    <m/>
    <m/>
    <m/>
    <m/>
    <n v="8"/>
    <m/>
    <m/>
    <m/>
    <m/>
    <m/>
    <m/>
    <m/>
    <m/>
    <m/>
    <m/>
    <m/>
    <m/>
    <m/>
    <m/>
    <n v="4"/>
    <n v="7"/>
    <n v="5"/>
    <n v="0"/>
    <n v="2.33"/>
    <n v="6.1466666666666665"/>
  </r>
  <r>
    <n v="64"/>
    <x v="63"/>
    <m/>
    <m/>
    <m/>
    <m/>
    <n v="8"/>
    <m/>
    <m/>
    <m/>
    <m/>
    <m/>
    <m/>
    <m/>
    <m/>
    <m/>
    <m/>
    <m/>
    <m/>
    <m/>
    <m/>
    <n v="7"/>
    <n v="4"/>
    <n v="4"/>
    <n v="0"/>
    <n v="3.996666666666667"/>
    <n v="5.9985185185185186"/>
  </r>
  <r>
    <n v="65"/>
    <x v="64"/>
    <m/>
    <m/>
    <m/>
    <m/>
    <n v="8"/>
    <m/>
    <m/>
    <m/>
    <m/>
    <m/>
    <m/>
    <m/>
    <m/>
    <m/>
    <m/>
    <m/>
    <m/>
    <m/>
    <m/>
    <n v="4"/>
    <n v="7"/>
    <n v="4"/>
    <n v="7"/>
    <n v="6.996666666666667"/>
    <n v="7.9985185185185186"/>
  </r>
  <r>
    <n v="66"/>
    <x v="65"/>
    <m/>
    <m/>
    <m/>
    <m/>
    <n v="8"/>
    <m/>
    <m/>
    <m/>
    <m/>
    <m/>
    <m/>
    <m/>
    <m/>
    <m/>
    <m/>
    <m/>
    <m/>
    <m/>
    <m/>
    <n v="5"/>
    <n v="8"/>
    <n v="7"/>
    <n v="0"/>
    <n v="2.6633333333333336"/>
    <n v="7.405925925925926"/>
  </r>
  <r>
    <n v="67"/>
    <x v="66"/>
    <m/>
    <m/>
    <m/>
    <m/>
    <n v="8"/>
    <m/>
    <m/>
    <m/>
    <m/>
    <m/>
    <m/>
    <m/>
    <m/>
    <m/>
    <m/>
    <m/>
    <m/>
    <m/>
    <m/>
    <n v="3"/>
    <n v="6"/>
    <n v="4"/>
    <n v="0"/>
    <n v="1.9966666666666666"/>
    <n v="5.1096296296296293"/>
  </r>
  <r>
    <n v="68"/>
    <x v="67"/>
    <m/>
    <m/>
    <m/>
    <m/>
    <n v="8"/>
    <m/>
    <m/>
    <m/>
    <m/>
    <m/>
    <m/>
    <m/>
    <m/>
    <m/>
    <m/>
    <m/>
    <m/>
    <m/>
    <m/>
    <n v="7"/>
    <n v="3"/>
    <n v="5"/>
    <n v="0"/>
    <n v="3.996666666666667"/>
    <n v="5.7762962962962963"/>
  </r>
  <r>
    <n v="69"/>
    <x v="68"/>
    <m/>
    <m/>
    <m/>
    <m/>
    <n v="7"/>
    <m/>
    <m/>
    <m/>
    <m/>
    <m/>
    <m/>
    <m/>
    <m/>
    <m/>
    <m/>
    <m/>
    <m/>
    <m/>
    <m/>
    <n v="6"/>
    <n v="4"/>
    <n v="5"/>
    <n v="5"/>
    <n v="6.996666666666667"/>
    <n v="7.3318518518518516"/>
  </r>
  <r>
    <n v="70"/>
    <x v="69"/>
    <m/>
    <m/>
    <m/>
    <m/>
    <n v="8"/>
    <m/>
    <m/>
    <m/>
    <m/>
    <m/>
    <m/>
    <m/>
    <m/>
    <m/>
    <m/>
    <m/>
    <m/>
    <m/>
    <m/>
    <n v="4"/>
    <n v="7"/>
    <n v="5"/>
    <n v="0"/>
    <n v="2.33"/>
    <n v="6.1466666666666665"/>
  </r>
  <r>
    <n v="71"/>
    <x v="70"/>
    <m/>
    <m/>
    <m/>
    <m/>
    <n v="7"/>
    <m/>
    <m/>
    <m/>
    <m/>
    <m/>
    <m/>
    <m/>
    <m/>
    <m/>
    <m/>
    <m/>
    <m/>
    <m/>
    <m/>
    <n v="4"/>
    <n v="2"/>
    <n v="4"/>
    <n v="5"/>
    <n v="6.996666666666667"/>
    <n v="5.7762962962962963"/>
  </r>
  <r>
    <n v="72"/>
    <x v="71"/>
    <m/>
    <m/>
    <m/>
    <m/>
    <n v="8"/>
    <m/>
    <m/>
    <m/>
    <m/>
    <m/>
    <m/>
    <m/>
    <m/>
    <m/>
    <m/>
    <m/>
    <m/>
    <m/>
    <m/>
    <n v="4"/>
    <n v="6"/>
    <n v="5"/>
    <n v="4"/>
    <n v="4.996666666666667"/>
    <n v="6.887407407407407"/>
  </r>
  <r>
    <n v="73"/>
    <x v="72"/>
    <m/>
    <m/>
    <m/>
    <m/>
    <n v="7"/>
    <m/>
    <m/>
    <m/>
    <m/>
    <m/>
    <m/>
    <m/>
    <m/>
    <m/>
    <m/>
    <m/>
    <m/>
    <m/>
    <m/>
    <n v="5"/>
    <n v="1"/>
    <n v="6"/>
    <n v="9"/>
    <n v="9.9966666666666661"/>
    <n v="7.3318518518518516"/>
  </r>
  <r>
    <n v="74"/>
    <x v="73"/>
    <m/>
    <m/>
    <m/>
    <m/>
    <n v="8"/>
    <m/>
    <m/>
    <m/>
    <m/>
    <m/>
    <m/>
    <m/>
    <m/>
    <m/>
    <m/>
    <m/>
    <m/>
    <m/>
    <m/>
    <n v="4"/>
    <n v="7"/>
    <n v="7"/>
    <n v="0"/>
    <n v="2.33"/>
    <n v="6.5911111111111111"/>
  </r>
  <r>
    <n v="75"/>
    <x v="74"/>
    <m/>
    <m/>
    <m/>
    <m/>
    <n v="3"/>
    <m/>
    <m/>
    <m/>
    <m/>
    <m/>
    <m/>
    <m/>
    <m/>
    <m/>
    <m/>
    <m/>
    <m/>
    <m/>
    <m/>
    <n v="4"/>
    <n v="6"/>
    <n v="5"/>
    <n v="6"/>
    <n v="6.996666666666667"/>
    <n v="7.7762962962962963"/>
  </r>
  <r>
    <n v="76"/>
    <x v="75"/>
    <m/>
    <m/>
    <m/>
    <m/>
    <n v="8"/>
    <m/>
    <m/>
    <m/>
    <m/>
    <m/>
    <m/>
    <m/>
    <m/>
    <m/>
    <m/>
    <m/>
    <m/>
    <m/>
    <m/>
    <n v="3"/>
    <n v="7"/>
    <n v="5"/>
    <n v="0"/>
    <n v="1.9966666666666666"/>
    <n v="5.7762962962962963"/>
  </r>
  <r>
    <n v="77"/>
    <x v="76"/>
    <m/>
    <m/>
    <m/>
    <m/>
    <n v="8"/>
    <m/>
    <m/>
    <m/>
    <m/>
    <m/>
    <m/>
    <m/>
    <m/>
    <m/>
    <m/>
    <m/>
    <m/>
    <m/>
    <m/>
    <n v="7"/>
    <n v="4"/>
    <n v="2"/>
    <n v="4"/>
    <n v="6.6633333333333331"/>
    <n v="6.7392592592592599"/>
  </r>
  <r>
    <n v="78"/>
    <x v="77"/>
    <m/>
    <m/>
    <m/>
    <m/>
    <n v="8"/>
    <m/>
    <m/>
    <m/>
    <m/>
    <m/>
    <m/>
    <m/>
    <m/>
    <m/>
    <m/>
    <m/>
    <m/>
    <m/>
    <m/>
    <n v="3"/>
    <n v="7"/>
    <n v="5"/>
    <n v="0"/>
    <n v="1.9966666666666666"/>
    <n v="5.7762962962962963"/>
  </r>
  <r>
    <n v="79"/>
    <x v="78"/>
    <m/>
    <m/>
    <m/>
    <m/>
    <n v="6"/>
    <m/>
    <m/>
    <m/>
    <m/>
    <m/>
    <m/>
    <m/>
    <m/>
    <m/>
    <m/>
    <m/>
    <m/>
    <m/>
    <m/>
    <n v="4"/>
    <n v="6"/>
    <n v="5"/>
    <n v="0"/>
    <n v="2.9966666666666666"/>
    <n v="5.9985185185185186"/>
  </r>
  <r>
    <n v="80"/>
    <x v="79"/>
    <m/>
    <m/>
    <m/>
    <m/>
    <n v="8"/>
    <m/>
    <m/>
    <m/>
    <m/>
    <m/>
    <m/>
    <m/>
    <m/>
    <m/>
    <m/>
    <m/>
    <m/>
    <m/>
    <m/>
    <n v="4"/>
    <n v="7"/>
    <n v="3"/>
    <n v="0"/>
    <n v="2.9966666666666666"/>
    <n v="5.9985185185185186"/>
  </r>
  <r>
    <n v="81"/>
    <x v="80"/>
    <m/>
    <m/>
    <m/>
    <m/>
    <n v="7"/>
    <m/>
    <m/>
    <m/>
    <m/>
    <m/>
    <m/>
    <m/>
    <m/>
    <m/>
    <m/>
    <m/>
    <m/>
    <m/>
    <m/>
    <n v="4"/>
    <n v="1"/>
    <n v="5"/>
    <n v="6"/>
    <n v="6.996666666666667"/>
    <n v="5.5540740740740739"/>
  </r>
  <r>
    <n v="82"/>
    <x v="81"/>
    <m/>
    <m/>
    <m/>
    <m/>
    <n v="8"/>
    <m/>
    <m/>
    <m/>
    <m/>
    <m/>
    <m/>
    <m/>
    <m/>
    <m/>
    <m/>
    <m/>
    <m/>
    <m/>
    <m/>
    <n v="4"/>
    <n v="6"/>
    <n v="5"/>
    <n v="4"/>
    <n v="5.6633333333333331"/>
    <n v="7.1837037037037037"/>
  </r>
  <r>
    <n v="83"/>
    <x v="82"/>
    <m/>
    <m/>
    <m/>
    <m/>
    <n v="3"/>
    <m/>
    <m/>
    <m/>
    <m/>
    <m/>
    <m/>
    <m/>
    <m/>
    <m/>
    <m/>
    <m/>
    <m/>
    <m/>
    <m/>
    <n v="3"/>
    <n v="7"/>
    <n v="5"/>
    <n v="0"/>
    <n v="2.6633333333333336"/>
    <n v="6.072592592592593"/>
  </r>
  <r>
    <n v="84"/>
    <x v="83"/>
    <m/>
    <m/>
    <m/>
    <m/>
    <n v="7"/>
    <m/>
    <m/>
    <m/>
    <m/>
    <m/>
    <m/>
    <m/>
    <m/>
    <m/>
    <m/>
    <m/>
    <m/>
    <m/>
    <m/>
    <n v="5"/>
    <n v="1"/>
    <n v="5"/>
    <n v="6"/>
    <n v="7.9966666666666661"/>
    <n v="6.2207407407407409"/>
  </r>
  <r>
    <n v="85"/>
    <x v="84"/>
    <m/>
    <m/>
    <m/>
    <m/>
    <n v="8"/>
    <m/>
    <m/>
    <m/>
    <m/>
    <m/>
    <m/>
    <m/>
    <m/>
    <m/>
    <m/>
    <m/>
    <m/>
    <m/>
    <m/>
    <n v="4"/>
    <n v="6"/>
    <n v="3"/>
    <n v="0"/>
    <n v="2.9966666666666666"/>
    <n v="5.5540740740740739"/>
  </r>
  <r>
    <n v="86"/>
    <x v="85"/>
    <m/>
    <m/>
    <m/>
    <m/>
    <n v="8"/>
    <m/>
    <m/>
    <m/>
    <m/>
    <m/>
    <m/>
    <m/>
    <m/>
    <m/>
    <m/>
    <m/>
    <m/>
    <m/>
    <m/>
    <n v="3"/>
    <n v="7"/>
    <n v="7"/>
    <n v="0"/>
    <n v="1.9966666666666666"/>
    <n v="6.2207407407407409"/>
  </r>
  <r>
    <n v="87"/>
    <x v="86"/>
    <m/>
    <m/>
    <m/>
    <m/>
    <n v="7"/>
    <m/>
    <m/>
    <m/>
    <m/>
    <m/>
    <m/>
    <m/>
    <m/>
    <m/>
    <m/>
    <m/>
    <m/>
    <m/>
    <m/>
    <n v="3"/>
    <n v="6"/>
    <n v="6"/>
    <n v="7"/>
    <n v="7.9966666666666661"/>
    <n v="8.2207407407407409"/>
  </r>
  <r>
    <n v="88"/>
    <x v="87"/>
    <m/>
    <m/>
    <m/>
    <m/>
    <n v="8"/>
    <m/>
    <m/>
    <m/>
    <m/>
    <m/>
    <m/>
    <m/>
    <m/>
    <m/>
    <m/>
    <m/>
    <m/>
    <m/>
    <m/>
    <n v="4"/>
    <n v="7"/>
    <n v="4"/>
    <n v="9"/>
    <n v="9.663333333333334"/>
    <n v="9.1837037037037046"/>
  </r>
  <r>
    <n v="89"/>
    <x v="88"/>
    <m/>
    <m/>
    <m/>
    <m/>
    <n v="9"/>
    <m/>
    <m/>
    <m/>
    <m/>
    <m/>
    <m/>
    <m/>
    <m/>
    <m/>
    <m/>
    <m/>
    <m/>
    <m/>
    <m/>
    <n v="5"/>
    <n v="4"/>
    <n v="3"/>
    <n v="0"/>
    <n v="3.33"/>
    <n v="5.0355555555555558"/>
  </r>
  <r>
    <n v="90"/>
    <x v="89"/>
    <m/>
    <m/>
    <m/>
    <m/>
    <n v="7"/>
    <m/>
    <m/>
    <m/>
    <m/>
    <m/>
    <m/>
    <m/>
    <m/>
    <m/>
    <m/>
    <m/>
    <m/>
    <m/>
    <m/>
    <n v="3"/>
    <n v="7"/>
    <n v="6"/>
    <n v="0"/>
    <n v="1.9966666666666666"/>
    <n v="5.9985185185185186"/>
  </r>
  <r>
    <n v="91"/>
    <x v="90"/>
    <m/>
    <m/>
    <m/>
    <m/>
    <n v="6"/>
    <m/>
    <m/>
    <m/>
    <m/>
    <m/>
    <m/>
    <m/>
    <m/>
    <m/>
    <m/>
    <m/>
    <m/>
    <m/>
    <m/>
    <n v="7"/>
    <n v="6"/>
    <n v="7"/>
    <n v="0"/>
    <n v="3.996666666666667"/>
    <n v="7.5540740740740739"/>
  </r>
  <r>
    <n v="92"/>
    <x v="91"/>
    <m/>
    <m/>
    <m/>
    <m/>
    <n v="8"/>
    <m/>
    <m/>
    <m/>
    <m/>
    <m/>
    <m/>
    <m/>
    <m/>
    <m/>
    <m/>
    <m/>
    <m/>
    <m/>
    <m/>
    <n v="3"/>
    <n v="7"/>
    <n v="5"/>
    <n v="2"/>
    <n v="2.9966666666666666"/>
    <n v="6.2207407407407409"/>
  </r>
  <r>
    <n v="93"/>
    <x v="92"/>
    <m/>
    <m/>
    <m/>
    <m/>
    <n v="7"/>
    <m/>
    <m/>
    <m/>
    <m/>
    <m/>
    <m/>
    <m/>
    <m/>
    <m/>
    <m/>
    <m/>
    <m/>
    <m/>
    <m/>
    <n v="4"/>
    <n v="6"/>
    <n v="7"/>
    <n v="0"/>
    <n v="2.9966666666666666"/>
    <n v="6.4429629629629623"/>
  </r>
  <r>
    <n v="94"/>
    <x v="93"/>
    <m/>
    <m/>
    <m/>
    <m/>
    <n v="8"/>
    <m/>
    <m/>
    <m/>
    <m/>
    <m/>
    <m/>
    <m/>
    <m/>
    <m/>
    <m/>
    <m/>
    <m/>
    <m/>
    <m/>
    <n v="4"/>
    <n v="4"/>
    <n v="6"/>
    <n v="8"/>
    <n v="8.9966666666666661"/>
    <n v="7.9985185185185186"/>
  </r>
  <r>
    <n v="95"/>
    <x v="94"/>
    <m/>
    <m/>
    <m/>
    <m/>
    <n v="8"/>
    <m/>
    <m/>
    <m/>
    <m/>
    <m/>
    <m/>
    <m/>
    <m/>
    <m/>
    <m/>
    <m/>
    <m/>
    <m/>
    <m/>
    <n v="3"/>
    <n v="4"/>
    <n v="5"/>
    <n v="7"/>
    <n v="7.9966666666666661"/>
    <n v="7.1096296296296293"/>
  </r>
  <r>
    <n v="96"/>
    <x v="95"/>
    <m/>
    <m/>
    <m/>
    <m/>
    <n v="5"/>
    <m/>
    <m/>
    <m/>
    <m/>
    <m/>
    <m/>
    <m/>
    <m/>
    <m/>
    <m/>
    <m/>
    <m/>
    <m/>
    <m/>
    <n v="8"/>
    <n v="3"/>
    <n v="5"/>
    <n v="0"/>
    <n v="3.6633333333333331"/>
    <n v="5.8503703703703707"/>
  </r>
  <r>
    <n v="97"/>
    <x v="96"/>
    <m/>
    <m/>
    <m/>
    <m/>
    <n v="7"/>
    <m/>
    <m/>
    <m/>
    <m/>
    <m/>
    <m/>
    <m/>
    <m/>
    <m/>
    <m/>
    <m/>
    <m/>
    <m/>
    <m/>
    <n v="5"/>
    <n v="2"/>
    <n v="4"/>
    <n v="3"/>
    <n v="5.996666666666667"/>
    <n v="5.5540740740740739"/>
  </r>
  <r>
    <n v="98"/>
    <x v="97"/>
    <m/>
    <m/>
    <m/>
    <m/>
    <n v="9"/>
    <m/>
    <m/>
    <m/>
    <m/>
    <m/>
    <m/>
    <m/>
    <m/>
    <m/>
    <m/>
    <m/>
    <m/>
    <m/>
    <m/>
    <n v="3"/>
    <n v="9"/>
    <n v="6"/>
    <n v="0"/>
    <n v="1.9966666666666666"/>
    <n v="6.887407407407407"/>
  </r>
  <r>
    <n v="99"/>
    <x v="98"/>
    <m/>
    <m/>
    <m/>
    <m/>
    <n v="8"/>
    <m/>
    <m/>
    <m/>
    <m/>
    <m/>
    <m/>
    <m/>
    <m/>
    <m/>
    <m/>
    <m/>
    <m/>
    <m/>
    <m/>
    <n v="5"/>
    <n v="4"/>
    <n v="6"/>
    <n v="8"/>
    <n v="9.33"/>
    <n v="8.36888888888888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15797-9D3A-4DD6-8170-51DC2950370D}" name="Tabela dinâmica1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9:G109" firstHeaderRow="0" firstDataRow="1" firstDataCol="1"/>
  <pivotFields count="27">
    <pivotField compact="0" outline="0" showAll="0"/>
    <pivotField axis="axisRow" compact="0" outline="0" showAll="0">
      <items count="100">
        <item x="12"/>
        <item x="80"/>
        <item x="89"/>
        <item x="43"/>
        <item x="35"/>
        <item x="6"/>
        <item x="26"/>
        <item x="34"/>
        <item x="44"/>
        <item x="25"/>
        <item x="19"/>
        <item x="31"/>
        <item x="4"/>
        <item x="3"/>
        <item x="63"/>
        <item x="58"/>
        <item x="54"/>
        <item x="16"/>
        <item x="69"/>
        <item x="92"/>
        <item x="68"/>
        <item x="73"/>
        <item x="33"/>
        <item x="2"/>
        <item x="93"/>
        <item x="86"/>
        <item x="14"/>
        <item x="67"/>
        <item x="95"/>
        <item x="10"/>
        <item x="28"/>
        <item x="5"/>
        <item x="20"/>
        <item x="60"/>
        <item x="59"/>
        <item x="78"/>
        <item x="24"/>
        <item x="32"/>
        <item x="50"/>
        <item x="83"/>
        <item x="84"/>
        <item x="64"/>
        <item x="29"/>
        <item x="30"/>
        <item x="18"/>
        <item x="40"/>
        <item x="17"/>
        <item x="79"/>
        <item x="61"/>
        <item x="9"/>
        <item x="75"/>
        <item x="98"/>
        <item x="96"/>
        <item x="94"/>
        <item x="42"/>
        <item x="87"/>
        <item x="72"/>
        <item x="36"/>
        <item x="56"/>
        <item x="77"/>
        <item x="39"/>
        <item x="38"/>
        <item x="51"/>
        <item x="46"/>
        <item x="90"/>
        <item x="71"/>
        <item x="70"/>
        <item x="81"/>
        <item x="52"/>
        <item x="74"/>
        <item x="48"/>
        <item x="27"/>
        <item x="1"/>
        <item x="76"/>
        <item x="62"/>
        <item x="23"/>
        <item x="41"/>
        <item x="15"/>
        <item x="97"/>
        <item x="22"/>
        <item x="7"/>
        <item x="13"/>
        <item x="8"/>
        <item x="65"/>
        <item x="57"/>
        <item x="37"/>
        <item x="88"/>
        <item x="45"/>
        <item x="0"/>
        <item x="85"/>
        <item x="53"/>
        <item x="55"/>
        <item x="21"/>
        <item x="49"/>
        <item x="11"/>
        <item x="47"/>
        <item x="91"/>
        <item x="66"/>
        <item x="8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numFmtId="2" outline="0" showAll="0"/>
    <pivotField dataField="1" compact="0" numFmtId="2" outline="0" showAll="0"/>
  </pivotFields>
  <rowFields count="1">
    <field x="1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urability" fld="21" baseField="0" baseItem="0"/>
    <dataField name="Soma de Distância-Ataque" fld="22" baseField="0" baseItem="0"/>
    <dataField name="Soma de C Durability" fld="23" baseField="0" baseItem="0"/>
    <dataField name="Soma de Ataque-Surpresa" fld="24" baseField="0" baseItem="0"/>
    <dataField name="Soma de Aproximação-Fácil" fld="25" baseField="0" baseItem="0" numFmtId="2"/>
    <dataField name="Soma de C Distância-ataque" fld="26" baseField="0" baseItem="0" numFmtId="2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78ECF-330C-4DD4-9CAA-AE9E6A8F30D0}" name="Tabela dinâmica1" cacheId="36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C90" firstHeaderRow="1" firstDataRow="2" firstDataCol="1" rowPageCount="1" colPageCount="1"/>
  <pivotFields count="87">
    <pivotField axis="axisPage" compact="0" outline="0" showAll="0">
      <items count="19">
        <item x="6"/>
        <item x="7"/>
        <item x="14"/>
        <item x="2"/>
        <item x="12"/>
        <item x="11"/>
        <item x="9"/>
        <item x="0"/>
        <item x="5"/>
        <item x="1"/>
        <item x="8"/>
        <item x="13"/>
        <item x="17"/>
        <item x="16"/>
        <item x="15"/>
        <item x="3"/>
        <item x="4"/>
        <item x="10"/>
        <item t="default"/>
      </items>
    </pivotField>
    <pivotField axis="axisCol" compact="0" outline="0" showAll="0">
      <items count="19">
        <item h="1" x="1"/>
        <item h="1" x="8"/>
        <item h="1" x="16"/>
        <item h="1" x="9"/>
        <item h="1" x="5"/>
        <item h="1" x="11"/>
        <item h="1" x="15"/>
        <item h="1" x="4"/>
        <item h="1" x="17"/>
        <item h="1" x="13"/>
        <item h="1" x="0"/>
        <item h="1" x="12"/>
        <item h="1" x="7"/>
        <item h="1" x="2"/>
        <item h="1" x="10"/>
        <item h="1" x="6"/>
        <item h="1" x="3"/>
        <item x="14"/>
        <item t="default"/>
      </items>
    </pivotField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outline="0" showAll="0"/>
  </pivotFields>
  <rowFields count="1">
    <field x="-2"/>
  </rowFields>
  <rowItems count="8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  <i i="49">
      <x v="49"/>
    </i>
    <i i="50">
      <x v="50"/>
    </i>
    <i i="51">
      <x v="51"/>
    </i>
    <i i="52">
      <x v="52"/>
    </i>
    <i i="53">
      <x v="53"/>
    </i>
    <i i="54">
      <x v="54"/>
    </i>
    <i i="55">
      <x v="55"/>
    </i>
    <i i="56">
      <x v="56"/>
    </i>
    <i i="57">
      <x v="57"/>
    </i>
    <i i="58">
      <x v="58"/>
    </i>
    <i i="59">
      <x v="59"/>
    </i>
    <i i="60">
      <x v="60"/>
    </i>
    <i i="61">
      <x v="61"/>
    </i>
    <i i="62">
      <x v="62"/>
    </i>
    <i i="63">
      <x v="63"/>
    </i>
    <i i="64">
      <x v="64"/>
    </i>
    <i i="65">
      <x v="65"/>
    </i>
    <i i="66">
      <x v="66"/>
    </i>
    <i i="67">
      <x v="67"/>
    </i>
    <i i="68">
      <x v="68"/>
    </i>
    <i i="69">
      <x v="69"/>
    </i>
    <i i="70">
      <x v="70"/>
    </i>
    <i i="71">
      <x v="71"/>
    </i>
    <i i="72">
      <x v="72"/>
    </i>
    <i i="73">
      <x v="73"/>
    </i>
    <i i="74">
      <x v="74"/>
    </i>
    <i i="75">
      <x v="75"/>
    </i>
    <i i="76">
      <x v="76"/>
    </i>
    <i i="77">
      <x v="77"/>
    </i>
    <i i="78">
      <x v="78"/>
    </i>
    <i i="79">
      <x v="79"/>
    </i>
    <i i="80">
      <x v="80"/>
    </i>
    <i i="81">
      <x v="81"/>
    </i>
    <i i="82">
      <x v="82"/>
    </i>
    <i i="83">
      <x v="83"/>
    </i>
    <i i="84">
      <x v="84"/>
    </i>
  </rowItems>
  <colFields count="1">
    <field x="1"/>
  </colFields>
  <colItems count="2">
    <i>
      <x v="17"/>
    </i>
    <i t="grand">
      <x/>
    </i>
  </colItems>
  <pageFields count="1">
    <pageField fld="0" hier="-1"/>
  </pageFields>
  <dataFields count="85">
    <dataField name="Soma de PROJETEIS-PARA-SUPER" fld="2" baseField="0" baseItem="0" numFmtId="164"/>
    <dataField name="Soma de SUPERS-PARA-HIPERCARGA" fld="3" baseField="0" baseItem="0" numFmtId="164"/>
    <dataField name="Soma de DANO-PROJETIL" fld="4" baseField="0" baseItem="0" numFmtId="164"/>
    <dataField name="Soma de TIROS-DADOS-EM-5-SEGUNDOS" fld="5" baseField="0" baseItem="0" numFmtId="164"/>
    <dataField name="Soma de MÉDIA-PROJETEIS-POR-TIRO" fld="6" baseField="0" baseItem="0" numFmtId="164"/>
    <dataField name="Soma de CURTO-ALCANCE-QUANT-PROJETIL-MEDIO" fld="7" baseField="0" baseItem="0" numFmtId="164"/>
    <dataField name="Soma de MEDIO-ALCANCE-QUANT-PROJETIL-MEDIO" fld="8" baseField="0" baseItem="0" numFmtId="164"/>
    <dataField name="Soma de LONGO-ALCANCE-QUANT-PROJETIL-MEDIO" fld="9" baseField="0" baseItem="0" numFmtId="164"/>
    <dataField name="Soma de MTLONGO-ALCANCE-QUANT-PROJETIL-MEDIO" fld="10" baseField="0" baseItem="0" numFmtId="164"/>
    <dataField name="Soma de CARREGAMENTO-SUPER-AO-ACERTAR-EM-PROJETEIS" fld="11" baseField="0" baseItem="0" numFmtId="164"/>
    <dataField name="Soma de CURTO-ALCANCE-DANO-SUPER-MEDIO" fld="12" baseField="0" baseItem="0" numFmtId="164"/>
    <dataField name="Soma de MEDIO-ALCANCE-DANO-SUPER-MEDIO" fld="13" baseField="0" baseItem="0" numFmtId="164"/>
    <dataField name="Soma de LONGO-ALCANCE-DANO-SUPER-MEDIO" fld="14" baseField="0" baseItem="0" numFmtId="164"/>
    <dataField name="Soma de MT-LONGO-ALCANCE-DANO-SUPER-MEDIO" fld="15" baseField="0" baseItem="0" numFmtId="164"/>
    <dataField name="Soma de MÉDIA-DANO-POR-SUPER" fld="16" baseField="0" baseItem="0" numFmtId="164"/>
    <dataField name="Soma de DANO-OCASIONAL" fld="17" baseField="0" baseItem="0" numFmtId="164"/>
    <dataField name="Soma de Durability" fld="18" baseField="0" baseItem="0" numFmtId="164"/>
    <dataField name="Soma de Distância-Ataque" fld="19" baseField="0" baseItem="0" numFmtId="164"/>
    <dataField name="Soma de Botão-de-Fuga" fld="20" baseField="0" baseItem="0" numFmtId="164"/>
    <dataField name="Soma de Ataque-amplo" fld="21" baseField="0" baseItem="0" numFmtId="164"/>
    <dataField name="Soma de FREQUENCIA-DANO-INDIRETO" fld="22" baseField="0" baseItem="0" numFmtId="164"/>
    <dataField name="Soma de NEGACAO-DE-AREA" fld="23" baseField="0" baseItem="0" numFmtId="164"/>
    <dataField name="Soma de MANIPULACAO-DA-POSICAO-DE-INIMIGOS" fld="24" baseField="0" baseItem="0" numFmtId="164"/>
    <dataField name="Soma de ANDA-SOBRE-AGUA" fld="25" baseField="0" baseItem="0" numFmtId="164"/>
    <dataField name="Soma de COMBATER-INIMIGOS-SOBRE-AGUA" fld="26" baseField="0" baseItem="0" numFmtId="164"/>
    <dataField name="Soma de POTENCIAL-DESTRUIÇÃO-DE-MUROS" fld="27" baseField="0" baseItem="0" numFmtId="164"/>
    <dataField name="Soma de POTENCIAL-DESTRUIÇÃO-DE-MOITAS" fld="28" baseField="0" baseItem="0" numFmtId="164"/>
    <dataField name="Soma de POTENCIAL-DE-CRIACAO-DE-COVER" fld="29" baseField="0" baseItem="0" numFmtId="164"/>
    <dataField name="Soma de VELOCIDADE-MOVIMENTO" fld="30" baseField="0" baseItem="0" numFmtId="164"/>
    <dataField name="Soma de FORÇA-ATK-SURP" fld="31" baseField="0" baseItem="0" numFmtId="164"/>
    <dataField name="Soma de Ataque-Surpresa" fld="32" baseField="0" baseItem="0" numFmtId="164"/>
    <dataField name="Soma de FREQUÊNCIA-GERAÇÃO-DE-PETS" fld="33" baseField="0" baseItem="0" numFmtId="164"/>
    <dataField name="Soma de ACÚMULO-PETS" fld="34" baseField="0" baseItem="0" numFmtId="164"/>
    <dataField name="Soma de VIDA-DETERIORÁVEL-PETS" fld="35" baseField="0" baseItem="0" numFmtId="164"/>
    <dataField name="Soma de RESISTÊNCIA-PETS" fld="36" baseField="0" baseItem="0" numFmtId="164"/>
    <dataField name="Soma de DANO-PETS" fld="37" baseField="0" baseItem="0" numFmtId="164"/>
    <dataField name="Soma de ALCANCE-PETS" fld="38" baseField="0" baseItem="0" numFmtId="164"/>
    <dataField name="Soma de VELOCIDADE-PETS" fld="39" baseField="0" baseItem="0" numFmtId="164"/>
    <dataField name="Soma de PROXIMIDADE-PETS" fld="40" baseField="0" baseItem="0" numFmtId="164"/>
    <dataField name="Soma de DANO-AUMENTADO-QUANDO-AGRUPADO" fld="41" baseField="0" baseItem="0" numFmtId="164"/>
    <dataField name="Soma de CISCUNSTANCIABILIDADE" fld="42" baseField="0" baseItem="0" numFmtId="164"/>
    <dataField name="Soma de HP-SUPORTE" fld="43" baseField="0" baseItem="0" numFmtId="164"/>
    <dataField name="Soma de HP-ENFRAQUECIMENTO" fld="44" baseField="0" baseItem="0" numFmtId="164"/>
    <dataField name="Soma de ESCUDO-SUPORTE" fld="49" baseField="0" baseItem="0" numFmtId="164"/>
    <dataField name="Soma de DANO-SUPORTE" fld="45" baseField="0" baseItem="0" numFmtId="164"/>
    <dataField name="Soma de DANO-ENFRAQUECIMENTO" fld="46" baseField="0" baseItem="0" numFmtId="164"/>
    <dataField name="Soma de SPEED-SUPORTE" fld="47" baseField="0" baseItem="0" numFmtId="164"/>
    <dataField name="Soma de INVISIBILIDADE-SUPORTE" fld="48" baseField="0" baseItem="0" numFmtId="164"/>
    <dataField name="Soma de POSICIONAMENTO-SUPORTE" fld="50" baseField="0" baseItem="0" numFmtId="164"/>
    <dataField name="Soma de VENENO-DEBUFF" fld="51" baseField="0" baseItem="0" numFmtId="164"/>
    <dataField name="Soma de COUNTER-VENENO-DEBUFF" fld="52" baseField="0" baseItem="0" numFmtId="164"/>
    <dataField name="Soma de STUN-DEBUFF" fld="55" baseField="0" baseItem="0" numFmtId="164"/>
    <dataField name="Soma de COUNTER-STUN-DEBUFF" fld="56" baseField="0" baseItem="0" numFmtId="164"/>
    <dataField name="Soma de LENTIDAO-DEBUFF" fld="53" baseField="0" baseItem="0" numFmtId="164"/>
    <dataField name="Soma de COUNTER-LENTIDAO-DEBUFF" fld="54" baseField="0" baseItem="0" numFmtId="164"/>
    <dataField name="Soma de BLOQUEIO-DE-INIMIGOS" fld="59" baseField="0" baseItem="0" numFmtId="164"/>
    <dataField name="Soma de CANCELAMENTO-ATAQUES" fld="57" baseField="0" baseItem="0" numFmtId="164"/>
    <dataField name="Soma de COUNTER-CANCELAMENTO-ATAQUES" fld="58" baseField="0" baseItem="0" numFmtId="164"/>
    <dataField name="Contagem de ESPAÇO" fld="68" subtotal="count" baseField="0" baseItem="0"/>
    <dataField name="Contagem de ESPAÇO2" fld="73" subtotal="count" baseField="0" baseItem="0"/>
    <dataField name="Contagem de ESPAÇO3" fld="78" subtotal="count" baseField="0" baseItem="0"/>
    <dataField name="Contagem de ESPAÇO4" fld="86" subtotal="count" baseField="0" baseItem="0"/>
    <dataField name="Soma de CURTO-ALCANCE-5-SEC-DANO-TOTAL-1-SUPER" fld="60" baseField="0" baseItem="0" numFmtId="164"/>
    <dataField name="Soma de MEDIO-ALCANCE-5-SEC-DANO-TOTAL-1-SUPER" fld="61" baseField="0" baseItem="0" numFmtId="164"/>
    <dataField name="Soma de LONGO-ALCANCE-5-SEC-DANO-TOTAL-1-SUPER" fld="62" baseField="0" baseItem="0" numFmtId="164"/>
    <dataField name="Soma de MT-LONGO-ALCANCE-5-SEC-DANO-TOTAL-1-SUPER" fld="63" baseField="0" baseItem="0" numFmtId="164"/>
    <dataField name="Soma de CURTO-ALCANCE-5-SEC-DANO-MEDIO" fld="64" baseField="0" baseItem="0" numFmtId="164"/>
    <dataField name="Soma de MEDIO-ALCANCE-5-SEC-DANO-MEDIO" fld="65" baseField="0" baseItem="0" numFmtId="164"/>
    <dataField name="Soma de LONGO-ALCANCE-5-SEC-DANO-MEDIO" fld="66" baseField="0" baseItem="0" numFmtId="164"/>
    <dataField name="Soma de MT-LONGO-ALCANCE-5-SEC-DANO-MEDIO" fld="67" baseField="0" baseItem="0" numFmtId="164"/>
    <dataField name="Soma de CURTO-ALCANCE-DANO-RESISTENCIA" fld="69" baseField="0" baseItem="0" numFmtId="164"/>
    <dataField name="Soma de MEDIO-ALCANCE-DANO-RESISTENCIA" fld="70" baseField="0" baseItem="0" numFmtId="164"/>
    <dataField name="Soma de LONGO-ALCANCE-DANO-RESISTENCIA" fld="71" baseField="0" baseItem="0" numFmtId="164"/>
    <dataField name="Soma de MT-LONGO-ALCANCE-DANO-RESISTENCIA" fld="72" baseField="0" baseItem="0" numFmtId="164"/>
    <dataField name="Soma de CURTO-ALCANCE-ATK-SURPRESA" fld="74" baseField="0" baseItem="0" numFmtId="164"/>
    <dataField name="Soma de MEDIO-ALCANCE-ATK-SURPRESA" fld="75" baseField="0" baseItem="0" numFmtId="164"/>
    <dataField name="Soma de LONGO-ALCANCE-ATK-SURPRESA" fld="76" baseField="0" baseItem="0" numFmtId="164"/>
    <dataField name="Soma de MT-LONGO-ALCANCE-ATK-SURPRESA" fld="77" baseField="0" baseItem="0" numFmtId="164"/>
    <dataField name="Soma de Aproximação-Fácil" fld="79" baseField="0" baseItem="0" numFmtId="164"/>
    <dataField name="Soma de Controle-ativo-de-Área" fld="80" baseField="0" baseItem="0" numFmtId="164"/>
    <dataField name="Soma de CONTROLE DE AREA" fld="81" baseField="0" baseItem="0" numFmtId="164"/>
    <dataField name="Soma de DANO INDIRETO" fld="82" baseField="0" baseItem="0" numFmtId="164"/>
    <dataField name="Soma de Geração multiplos pets" fld="83" baseField="0" baseItem="0" numFmtId="164"/>
    <dataField name="Soma de Geração resistentes pets" fld="84" baseField="0" baseItem="0" numFmtId="164"/>
    <dataField name="Soma de Punição-Agrupamento" fld="85" baseField="0" baseItem="0" numFmtId="164"/>
  </dataFields>
  <formats count="69">
    <format dxfId="449">
      <pivotArea outline="0" fieldPosition="0">
        <references count="2">
          <reference field="4294967294" count="1" selected="0">
            <x v="0"/>
          </reference>
          <reference field="1" count="0" selected="0"/>
        </references>
      </pivotArea>
    </format>
    <format dxfId="450">
      <pivotArea outline="0" fieldPosition="0">
        <references count="2">
          <reference field="4294967294" count="1" selected="0">
            <x v="0"/>
          </reference>
          <reference field="1" count="0" selected="0"/>
        </references>
      </pivotArea>
    </format>
    <format dxfId="451">
      <pivotArea outline="0" fieldPosition="0">
        <references count="2">
          <reference field="4294967294" count="1" selected="0">
            <x v="0"/>
          </reference>
          <reference field="1" count="0" selected="0"/>
        </references>
      </pivotArea>
    </format>
    <format dxfId="452">
      <pivotArea outline="0" fieldPosition="0">
        <references count="2">
          <reference field="4294967294" count="1" selected="0">
            <x v="0"/>
          </reference>
          <reference field="1" count="0" selected="0"/>
        </references>
      </pivotArea>
    </format>
    <format dxfId="453">
      <pivotArea outline="0" fieldPosition="0">
        <references count="2">
          <reference field="4294967294" count="1" selected="0">
            <x v="0"/>
          </reference>
          <reference field="1" count="0" selected="0"/>
        </references>
      </pivotArea>
    </format>
    <format dxfId="454">
      <pivotArea outline="0" fieldPosition="0">
        <references count="2">
          <reference field="4294967294" count="1" selected="0">
            <x v="0"/>
          </reference>
          <reference field="1" count="0" selected="0"/>
        </references>
      </pivotArea>
    </format>
    <format dxfId="455">
      <pivotArea outline="0" fieldPosition="0">
        <references count="2">
          <reference field="4294967294" count="1" selected="0">
            <x v="0"/>
          </reference>
          <reference field="1" count="0" selected="0"/>
        </references>
      </pivotArea>
    </format>
    <format dxfId="456">
      <pivotArea outline="0" collapsedLevelsAreSubtotals="1" fieldPosition="0"/>
    </format>
    <format dxfId="457">
      <pivotArea dataOnly="0" labelOnly="1" outline="0" fieldPosition="0">
        <references count="1">
          <reference field="0" count="0"/>
        </references>
      </pivotArea>
    </format>
    <format dxfId="458">
      <pivotArea field="1" type="button" dataOnly="0" labelOnly="1" outline="0" axis="axisCol" fieldPosition="0"/>
    </format>
    <format dxfId="459">
      <pivotArea type="topRight" dataOnly="0" labelOnly="1" outline="0" fieldPosition="0"/>
    </format>
    <format dxfId="460">
      <pivotArea dataOnly="0" labelOnly="1" outline="0" fieldPosition="0">
        <references count="1">
          <reference field="1" count="0"/>
        </references>
      </pivotArea>
    </format>
    <format dxfId="461">
      <pivotArea dataOnly="0" labelOnly="1" grandCol="1" outline="0" fieldPosition="0"/>
    </format>
    <format dxfId="462">
      <pivotArea outline="0" collapsedLevelsAreSubtotals="1" fieldPosition="0"/>
    </format>
    <format dxfId="463">
      <pivotArea dataOnly="0" labelOnly="1" outline="0" fieldPosition="0">
        <references count="1">
          <reference field="0" count="0"/>
        </references>
      </pivotArea>
    </format>
    <format dxfId="464">
      <pivotArea field="1" type="button" dataOnly="0" labelOnly="1" outline="0" axis="axisCol" fieldPosition="0"/>
    </format>
    <format dxfId="465">
      <pivotArea type="topRight" dataOnly="0" labelOnly="1" outline="0" fieldPosition="0"/>
    </format>
    <format dxfId="466">
      <pivotArea dataOnly="0" labelOnly="1" outline="0" fieldPosition="0">
        <references count="1">
          <reference field="1" count="0"/>
        </references>
      </pivotArea>
    </format>
    <format dxfId="467">
      <pivotArea dataOnly="0" labelOnly="1" grandCol="1" outline="0" fieldPosition="0"/>
    </format>
    <format dxfId="468">
      <pivotArea outline="0" collapsedLevelsAreSubtotals="1" fieldPosition="0"/>
    </format>
    <format dxfId="469">
      <pivotArea dataOnly="0" labelOnly="1" outline="0" fieldPosition="0">
        <references count="1">
          <reference field="0" count="0"/>
        </references>
      </pivotArea>
    </format>
    <format dxfId="470">
      <pivotArea field="1" type="button" dataOnly="0" labelOnly="1" outline="0" axis="axisCol" fieldPosition="0"/>
    </format>
    <format dxfId="471">
      <pivotArea type="topRight" dataOnly="0" labelOnly="1" outline="0" fieldPosition="0"/>
    </format>
    <format dxfId="472">
      <pivotArea dataOnly="0" labelOnly="1" outline="0" fieldPosition="0">
        <references count="1">
          <reference field="1" count="0"/>
        </references>
      </pivotArea>
    </format>
    <format dxfId="473">
      <pivotArea dataOnly="0" labelOnly="1" grandCol="1" outline="0" fieldPosition="0"/>
    </format>
    <format dxfId="474">
      <pivotArea outline="0" collapsedLevelsAreSubtotals="1" fieldPosition="0"/>
    </format>
    <format dxfId="475">
      <pivotArea dataOnly="0" labelOnly="1" outline="0" fieldPosition="0">
        <references count="1">
          <reference field="0" count="0"/>
        </references>
      </pivotArea>
    </format>
    <format dxfId="476">
      <pivotArea field="1" type="button" dataOnly="0" labelOnly="1" outline="0" axis="axisCol" fieldPosition="0"/>
    </format>
    <format dxfId="477">
      <pivotArea type="topRight" dataOnly="0" labelOnly="1" outline="0" fieldPosition="0"/>
    </format>
    <format dxfId="478">
      <pivotArea dataOnly="0" labelOnly="1" outline="0" fieldPosition="0">
        <references count="1">
          <reference field="1" count="0"/>
        </references>
      </pivotArea>
    </format>
    <format dxfId="479">
      <pivotArea dataOnly="0" labelOnly="1" grandCol="1" outline="0" fieldPosition="0"/>
    </format>
    <format dxfId="480">
      <pivotArea outline="0" collapsedLevelsAreSubtotals="1" fieldPosition="0"/>
    </format>
    <format dxfId="481">
      <pivotArea dataOnly="0" labelOnly="1" outline="0" fieldPosition="0">
        <references count="1">
          <reference field="0" count="0"/>
        </references>
      </pivotArea>
    </format>
    <format dxfId="482">
      <pivotArea field="1" type="button" dataOnly="0" labelOnly="1" outline="0" axis="axisCol" fieldPosition="0"/>
    </format>
    <format dxfId="483">
      <pivotArea type="topRight" dataOnly="0" labelOnly="1" outline="0" fieldPosition="0"/>
    </format>
    <format dxfId="484">
      <pivotArea dataOnly="0" labelOnly="1" outline="0" fieldPosition="0">
        <references count="1">
          <reference field="1" count="0"/>
        </references>
      </pivotArea>
    </format>
    <format dxfId="485">
      <pivotArea dataOnly="0" labelOnly="1" grandCol="1" outline="0" fieldPosition="0"/>
    </format>
    <format dxfId="486">
      <pivotArea outline="0" collapsedLevelsAreSubtotals="1" fieldPosition="0"/>
    </format>
    <format dxfId="487">
      <pivotArea dataOnly="0" labelOnly="1" outline="0" fieldPosition="0">
        <references count="1">
          <reference field="0" count="0"/>
        </references>
      </pivotArea>
    </format>
    <format dxfId="488">
      <pivotArea field="1" type="button" dataOnly="0" labelOnly="1" outline="0" axis="axisCol" fieldPosition="0"/>
    </format>
    <format dxfId="489">
      <pivotArea type="topRight" dataOnly="0" labelOnly="1" outline="0" fieldPosition="0"/>
    </format>
    <format dxfId="490">
      <pivotArea dataOnly="0" labelOnly="1" outline="0" fieldPosition="0">
        <references count="1">
          <reference field="1" count="0"/>
        </references>
      </pivotArea>
    </format>
    <format dxfId="491">
      <pivotArea dataOnly="0" labelOnly="1" grandCol="1" outline="0" fieldPosition="0"/>
    </format>
    <format dxfId="492">
      <pivotArea outline="0" collapsedLevelsAreSubtotals="1" fieldPosition="0"/>
    </format>
    <format dxfId="493">
      <pivotArea dataOnly="0" labelOnly="1" outline="0" fieldPosition="0">
        <references count="1">
          <reference field="0" count="0"/>
        </references>
      </pivotArea>
    </format>
    <format dxfId="494">
      <pivotArea field="1" type="button" dataOnly="0" labelOnly="1" outline="0" axis="axisCol" fieldPosition="0"/>
    </format>
    <format dxfId="495">
      <pivotArea type="topRight" dataOnly="0" labelOnly="1" outline="0" fieldPosition="0"/>
    </format>
    <format dxfId="496">
      <pivotArea dataOnly="0" labelOnly="1" outline="0" fieldPosition="0">
        <references count="1">
          <reference field="1" count="0"/>
        </references>
      </pivotArea>
    </format>
    <format dxfId="497">
      <pivotArea dataOnly="0" labelOnly="1" grandCol="1" outline="0" fieldPosition="0"/>
    </format>
    <format dxfId="498">
      <pivotArea outline="0" collapsedLevelsAreSubtotals="1" fieldPosition="0"/>
    </format>
    <format dxfId="499">
      <pivotArea dataOnly="0" labelOnly="1" outline="0" fieldPosition="0">
        <references count="1">
          <reference field="0" count="0"/>
        </references>
      </pivotArea>
    </format>
    <format dxfId="500">
      <pivotArea field="1" type="button" dataOnly="0" labelOnly="1" outline="0" axis="axisCol" fieldPosition="0"/>
    </format>
    <format dxfId="501">
      <pivotArea type="topRight" dataOnly="0" labelOnly="1" outline="0" fieldPosition="0"/>
    </format>
    <format dxfId="502">
      <pivotArea dataOnly="0" labelOnly="1" outline="0" fieldPosition="0">
        <references count="1">
          <reference field="1" count="0"/>
        </references>
      </pivotArea>
    </format>
    <format dxfId="503">
      <pivotArea dataOnly="0" labelOnly="1" grandCol="1" outline="0" fieldPosition="0"/>
    </format>
    <format dxfId="504">
      <pivotArea outline="0" collapsedLevelsAreSubtotals="1" fieldPosition="0"/>
    </format>
    <format dxfId="505">
      <pivotArea dataOnly="0" labelOnly="1" outline="0" fieldPosition="0">
        <references count="1">
          <reference field="0" count="0"/>
        </references>
      </pivotArea>
    </format>
    <format dxfId="506">
      <pivotArea field="1" type="button" dataOnly="0" labelOnly="1" outline="0" axis="axisCol" fieldPosition="0"/>
    </format>
    <format dxfId="507">
      <pivotArea type="topRight" dataOnly="0" labelOnly="1" outline="0" fieldPosition="0"/>
    </format>
    <format dxfId="508">
      <pivotArea dataOnly="0" labelOnly="1" outline="0" fieldPosition="0">
        <references count="1">
          <reference field="1" count="0"/>
        </references>
      </pivotArea>
    </format>
    <format dxfId="509">
      <pivotArea dataOnly="0" labelOnly="1" grandCol="1" outline="0" fieldPosition="0"/>
    </format>
    <format dxfId="510">
      <pivotArea outline="0" fieldPosition="0">
        <references count="2">
          <reference field="4294967294" count="1" selected="0">
            <x v="0"/>
          </reference>
          <reference field="1" count="0" selected="0"/>
        </references>
      </pivotArea>
    </format>
    <format dxfId="511">
      <pivotArea outline="0" fieldPosition="0">
        <references count="2">
          <reference field="4294967294" count="1" selected="0">
            <x v="0"/>
          </reference>
          <reference field="1" count="0" selected="0"/>
        </references>
      </pivotArea>
    </format>
    <format dxfId="512">
      <pivotArea outline="0" collapsedLevelsAreSubtotals="1" fieldPosition="0"/>
    </format>
    <format dxfId="513">
      <pivotArea dataOnly="0" labelOnly="1" outline="0" fieldPosition="0">
        <references count="1">
          <reference field="0" count="0"/>
        </references>
      </pivotArea>
    </format>
    <format dxfId="514">
      <pivotArea field="1" type="button" dataOnly="0" labelOnly="1" outline="0" axis="axisCol" fieldPosition="0"/>
    </format>
    <format dxfId="515">
      <pivotArea type="topRight" dataOnly="0" labelOnly="1" outline="0" fieldPosition="0"/>
    </format>
    <format dxfId="516">
      <pivotArea dataOnly="0" labelOnly="1" outline="0" fieldPosition="0">
        <references count="1">
          <reference field="1" count="0"/>
        </references>
      </pivotArea>
    </format>
    <format dxfId="517">
      <pivotArea dataOnly="0" labelOnly="1" grandCol="1" outline="0" fieldPosition="0"/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2C3B7-F1AB-4F78-8085-D94E3CE087AF}" name="Tabela dinâmica7" cacheId="31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Y4:AB64" firstHeaderRow="1" firstDataRow="3" firstDataCol="1"/>
  <pivotFields count="60">
    <pivotField axis="axisCol" compact="0" outline="0" showAll="0">
      <items count="19">
        <item x="0"/>
        <item x="5"/>
        <item x="13"/>
        <item x="3"/>
        <item x="15"/>
        <item x="6"/>
        <item x="8"/>
        <item x="16"/>
        <item x="14"/>
        <item x="1"/>
        <item x="4"/>
        <item x="7"/>
        <item x="12"/>
        <item x="11"/>
        <item x="9"/>
        <item x="10"/>
        <item x="2"/>
        <item x="17"/>
        <item t="default"/>
      </items>
    </pivotField>
    <pivotField axis="axisCol" compact="0" outline="0" showAll="0">
      <items count="19">
        <item h="1" x="1"/>
        <item h="1" x="8"/>
        <item h="1" x="16"/>
        <item h="1" x="9"/>
        <item h="1" x="5"/>
        <item h="1" x="11"/>
        <item h="1" x="15"/>
        <item h="1" x="4"/>
        <item h="1" x="17"/>
        <item h="1" x="13"/>
        <item h="1" x="0"/>
        <item h="1" x="12"/>
        <item h="1" x="7"/>
        <item h="1" x="2"/>
        <item h="1" x="10"/>
        <item h="1" x="6"/>
        <item h="1" x="3"/>
        <item x="14"/>
        <item t="default"/>
      </items>
    </pivotField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2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</pivotFields>
  <rowFields count="1">
    <field x="-2"/>
  </rowFields>
  <rowItems count="5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  <i i="49">
      <x v="49"/>
    </i>
    <i i="50">
      <x v="50"/>
    </i>
    <i i="51">
      <x v="51"/>
    </i>
    <i i="52">
      <x v="52"/>
    </i>
    <i i="53">
      <x v="53"/>
    </i>
    <i i="54">
      <x v="54"/>
    </i>
    <i i="55">
      <x v="55"/>
    </i>
    <i i="56">
      <x v="56"/>
    </i>
    <i i="57">
      <x v="57"/>
    </i>
  </rowItems>
  <colFields count="2">
    <field x="1"/>
    <field x="0"/>
  </colFields>
  <colItems count="3">
    <i>
      <x v="17"/>
      <x v="8"/>
    </i>
    <i t="default">
      <x v="17"/>
    </i>
    <i t="grand">
      <x/>
    </i>
  </colItems>
  <dataFields count="58">
    <dataField name="Soma de PROJETEIS-PARA-SUPER" fld="2" baseField="0" baseItem="0" numFmtId="164"/>
    <dataField name="Soma de SUPERS-PARA-HIPERCARGA" fld="3" baseField="0" baseItem="0" numFmtId="164"/>
    <dataField name="Soma de DANO-PROJETIL" fld="4" baseField="0" baseItem="0" numFmtId="164"/>
    <dataField name="Soma de TIROS-DADOS-EM-5-SEGUNDOS" fld="5" baseField="0" baseItem="0" numFmtId="164"/>
    <dataField name="Soma de MÉDIA-PROJETEIS-POR-TIRO" fld="6" baseField="0" baseItem="0" numFmtId="164"/>
    <dataField name="Soma de CURTO-ALCANCE-QUANT-PROJETIL-MEDIO" fld="7" baseField="0" baseItem="0" numFmtId="164"/>
    <dataField name="Soma de MEDIO-ALCANCE-QUANT-PROJETIL-MEDIO" fld="8" baseField="0" baseItem="0" numFmtId="164"/>
    <dataField name="Soma de LONGO-ALCANCE-QUANT-PROJETIL-MEDIO" fld="9" baseField="0" baseItem="0" numFmtId="164"/>
    <dataField name="Soma de MTLONGO-ALCANCE-QUANT-PROJETIL-MEDIO" fld="10" baseField="0" baseItem="0" numFmtId="164"/>
    <dataField name="Soma de CARREGAMENTO-SUPER-AO-ACERTAR-EM-PROJETEIS" fld="11" baseField="0" baseItem="0" numFmtId="164"/>
    <dataField name="Soma de CURTO-ALCANCE-DANO-SUPER-MEDIO" fld="12" baseField="0" baseItem="0" numFmtId="164"/>
    <dataField name="Soma de MEDIO-ALCANCE-DANO-SUPER-MEDIO" fld="13" baseField="0" baseItem="0" numFmtId="164"/>
    <dataField name="Soma de LONGO-ALCANCE-DANO-SUPER-MEDIO" fld="14" baseField="0" baseItem="0" numFmtId="164"/>
    <dataField name="Soma de MT-LONGO-ALCANCE-DANO-SUPER-MEDIO" fld="15" baseField="0" baseItem="0" numFmtId="164"/>
    <dataField name="Soma de MÉDIA-DANO-POR-SUPER" fld="16" baseField="0" baseItem="0" numFmtId="164"/>
    <dataField name="Soma de DANO-OCASIONAL" fld="17" baseField="0" baseItem="0" numFmtId="164"/>
    <dataField name="Soma de Durability" fld="18" baseField="0" baseItem="0" numFmtId="2"/>
    <dataField name="Soma de Distância-Ataque" fld="19" baseField="0" baseItem="0" numFmtId="164"/>
    <dataField name="Soma de Botão-de-Fuga" fld="20" baseField="0" baseItem="0" numFmtId="164"/>
    <dataField name="Soma de Ataque-amplo" fld="21" baseField="0" baseItem="0" numFmtId="164"/>
    <dataField name="Soma de FREQUENCIA-DANO-INDIRETO" fld="22" baseField="0" baseItem="0" numFmtId="164"/>
    <dataField name="Soma de NEGACAO-DE-AREA" fld="23" baseField="0" baseItem="0" numFmtId="164"/>
    <dataField name="Soma de MANIPULACAO-DA-POSICAO-DE-INIMIGOS" fld="24" baseField="0" baseItem="0" numFmtId="164"/>
    <dataField name="Soma de ANDA-SOBRE-AGUA" fld="25" baseField="0" baseItem="0" numFmtId="164"/>
    <dataField name="Soma de COMBATER-INIMIGOS-SOBRE-AGUA" fld="26" baseField="0" baseItem="0" numFmtId="164"/>
    <dataField name="Soma de POTENCIAL-DESTRUIÇÃO-DE-MUROS" fld="27" baseField="0" baseItem="0" numFmtId="164"/>
    <dataField name="Soma de POTENCIAL-DESTRUIÇÃO-DE-MOITAS" fld="28" baseField="0" baseItem="0" numFmtId="164"/>
    <dataField name="Soma de POTENCIAL-DE-CRIACAO-DE-COVER" fld="29" baseField="0" baseItem="0" numFmtId="164"/>
    <dataField name="Soma de VELOCIDADE-MOVIMENTO" fld="30" baseField="0" baseItem="0" numFmtId="164"/>
    <dataField name="Soma de FORÇA-ATK-SURP" fld="31" baseField="0" baseItem="0" numFmtId="164"/>
    <dataField name="Soma de Ataque-Surpresa" fld="32" baseField="0" baseItem="0" numFmtId="164"/>
    <dataField name="Soma de FREQUÊNCIA-GERAÇÃO-DE-PETS" fld="33" baseField="0" baseItem="0" numFmtId="164"/>
    <dataField name="Soma de ACÚMULO-PETS" fld="34" baseField="0" baseItem="0" numFmtId="164"/>
    <dataField name="Soma de VIDA-DETERIORÁVEL-PETS" fld="35" baseField="0" baseItem="0" numFmtId="164"/>
    <dataField name="Soma de RESISTÊNCIA-PETS" fld="36" baseField="0" baseItem="0" numFmtId="164"/>
    <dataField name="Soma de DANO-PETS" fld="37" baseField="0" baseItem="0" numFmtId="164"/>
    <dataField name="Soma de ALCANCE-PETS" fld="38" baseField="0" baseItem="0" numFmtId="164"/>
    <dataField name="Soma de VELOCIDADE-PETS" fld="39" baseField="0" baseItem="0" numFmtId="164"/>
    <dataField name="Soma de PROXIMIDADE-PETS" fld="40" baseField="0" baseItem="0" numFmtId="164"/>
    <dataField name="Soma de DANO-AUMENTADO-QUANDO-AGRUPADO" fld="41" baseField="0" baseItem="0" numFmtId="164"/>
    <dataField name="Soma de CIRCUNSTANCIABILIDADE" fld="42" baseField="0" baseItem="0" numFmtId="164"/>
    <dataField name="Soma de HP-SUPORTE" fld="43" baseField="0" baseItem="0" numFmtId="164"/>
    <dataField name="Soma de HP-ENFRAQUECIMENTO" fld="44" baseField="0" baseItem="0" numFmtId="164"/>
    <dataField name="Soma de ESCUDO-SUPORTE" fld="49" baseField="0" baseItem="0" numFmtId="164"/>
    <dataField name="Soma de DANO-SUPORTE" fld="45" baseField="0" baseItem="0" numFmtId="164"/>
    <dataField name="Soma de DANO-ENFRAQUECIMENTO" fld="46" baseField="0" baseItem="0" numFmtId="164"/>
    <dataField name="Soma de SPEED-SUPORTE" fld="47" baseField="0" baseItem="0" numFmtId="164"/>
    <dataField name="Soma de INVISIBILIDADE-SUPORTE" fld="48" baseField="0" baseItem="0" numFmtId="164"/>
    <dataField name="Soma de POSICIONAMENTO-SUPORTE" fld="50" baseField="0" baseItem="0" numFmtId="164"/>
    <dataField name="Soma de VENENO-DEBUFF" fld="51" baseField="0" baseItem="0" numFmtId="164"/>
    <dataField name="Soma de COUNTER-VENENO-DEBUFF" fld="52" baseField="0" baseItem="0" numFmtId="164"/>
    <dataField name="Soma de STUN-DEBUFF" fld="55" baseField="0" baseItem="0" numFmtId="164"/>
    <dataField name="Soma de COUNTER-STUN-DEBUFF" fld="56" baseField="0" baseItem="0" numFmtId="164"/>
    <dataField name="Soma de LENTIDAO-DEBUFF" fld="53" baseField="0" baseItem="0" numFmtId="164"/>
    <dataField name="Soma de COUNTER-LENTIDAO-DEBUFF" fld="54" baseField="0" baseItem="0" numFmtId="164"/>
    <dataField name="Soma de BLOQUEIO-DE-INIMIGOS" fld="59" baseField="0" baseItem="0" numFmtId="164"/>
    <dataField name="Soma de CANCELAMENTO-ATAQUES" fld="57" baseField="0" baseItem="0" numFmtId="164"/>
    <dataField name="Soma de COUNTER-CANCELAMENTO-ATAQUES" fld="58" baseField="0" baseItem="0" numFmtId="164"/>
  </dataFields>
  <formats count="80">
    <format dxfId="369">
      <pivotArea outline="0" collapsedLevelsAreSubtotals="1" fieldPosition="0"/>
    </format>
    <format dxfId="370">
      <pivotArea field="1" type="button" dataOnly="0" labelOnly="1" outline="0" axis="axisCol" fieldPosition="0"/>
    </format>
    <format dxfId="371">
      <pivotArea field="0" type="button" dataOnly="0" labelOnly="1" outline="0" axis="axisCol" fieldPosition="1"/>
    </format>
    <format dxfId="372">
      <pivotArea type="topRight" dataOnly="0" labelOnly="1" outline="0" fieldPosition="0"/>
    </format>
    <format dxfId="373">
      <pivotArea dataOnly="0" labelOnly="1" outline="0" fieldPosition="0">
        <references count="1">
          <reference field="1" count="0"/>
        </references>
      </pivotArea>
    </format>
    <format dxfId="374">
      <pivotArea dataOnly="0" labelOnly="1" outline="0" fieldPosition="0">
        <references count="1">
          <reference field="1" count="0" defaultSubtotal="1"/>
        </references>
      </pivotArea>
    </format>
    <format dxfId="375">
      <pivotArea dataOnly="0" labelOnly="1" grandCol="1" outline="0" fieldPosition="0"/>
    </format>
    <format dxfId="376">
      <pivotArea dataOnly="0" labelOnly="1" outline="0" fieldPosition="0">
        <references count="2">
          <reference field="0" count="1">
            <x v="9"/>
          </reference>
          <reference field="1" count="0" selected="0"/>
        </references>
      </pivotArea>
    </format>
    <format dxfId="377">
      <pivotArea outline="0" collapsedLevelsAreSubtotals="1" fieldPosition="0"/>
    </format>
    <format dxfId="378">
      <pivotArea field="1" type="button" dataOnly="0" labelOnly="1" outline="0" axis="axisCol" fieldPosition="0"/>
    </format>
    <format dxfId="379">
      <pivotArea field="0" type="button" dataOnly="0" labelOnly="1" outline="0" axis="axisCol" fieldPosition="1"/>
    </format>
    <format dxfId="380">
      <pivotArea type="topRight" dataOnly="0" labelOnly="1" outline="0" fieldPosition="0"/>
    </format>
    <format dxfId="381">
      <pivotArea dataOnly="0" labelOnly="1" outline="0" fieldPosition="0">
        <references count="1">
          <reference field="1" count="0"/>
        </references>
      </pivotArea>
    </format>
    <format dxfId="382">
      <pivotArea dataOnly="0" labelOnly="1" outline="0" fieldPosition="0">
        <references count="1">
          <reference field="1" count="0" defaultSubtotal="1"/>
        </references>
      </pivotArea>
    </format>
    <format dxfId="383">
      <pivotArea dataOnly="0" labelOnly="1" grandCol="1" outline="0" fieldPosition="0"/>
    </format>
    <format dxfId="384">
      <pivotArea dataOnly="0" labelOnly="1" outline="0" fieldPosition="0">
        <references count="2">
          <reference field="0" count="1">
            <x v="9"/>
          </reference>
          <reference field="1" count="0" selected="0"/>
        </references>
      </pivotArea>
    </format>
    <format dxfId="385">
      <pivotArea outline="0" collapsedLevelsAreSubtotals="1" fieldPosition="0"/>
    </format>
    <format dxfId="386">
      <pivotArea field="1" type="button" dataOnly="0" labelOnly="1" outline="0" axis="axisCol" fieldPosition="0"/>
    </format>
    <format dxfId="387">
      <pivotArea field="0" type="button" dataOnly="0" labelOnly="1" outline="0" axis="axisCol" fieldPosition="1"/>
    </format>
    <format dxfId="388">
      <pivotArea type="topRight" dataOnly="0" labelOnly="1" outline="0" fieldPosition="0"/>
    </format>
    <format dxfId="389">
      <pivotArea dataOnly="0" labelOnly="1" outline="0" fieldPosition="0">
        <references count="1">
          <reference field="1" count="0"/>
        </references>
      </pivotArea>
    </format>
    <format dxfId="390">
      <pivotArea dataOnly="0" labelOnly="1" outline="0" fieldPosition="0">
        <references count="1">
          <reference field="1" count="0" defaultSubtotal="1"/>
        </references>
      </pivotArea>
    </format>
    <format dxfId="391">
      <pivotArea dataOnly="0" labelOnly="1" grandCol="1" outline="0" fieldPosition="0"/>
    </format>
    <format dxfId="392">
      <pivotArea dataOnly="0" labelOnly="1" outline="0" fieldPosition="0">
        <references count="2">
          <reference field="0" count="1">
            <x v="9"/>
          </reference>
          <reference field="1" count="0" selected="0"/>
        </references>
      </pivotArea>
    </format>
    <format dxfId="393">
      <pivotArea outline="0" collapsedLevelsAreSubtotals="1" fieldPosition="0"/>
    </format>
    <format dxfId="394">
      <pivotArea field="1" type="button" dataOnly="0" labelOnly="1" outline="0" axis="axisCol" fieldPosition="0"/>
    </format>
    <format dxfId="395">
      <pivotArea field="0" type="button" dataOnly="0" labelOnly="1" outline="0" axis="axisCol" fieldPosition="1"/>
    </format>
    <format dxfId="396">
      <pivotArea type="topRight" dataOnly="0" labelOnly="1" outline="0" fieldPosition="0"/>
    </format>
    <format dxfId="397">
      <pivotArea dataOnly="0" labelOnly="1" outline="0" fieldPosition="0">
        <references count="1">
          <reference field="1" count="0"/>
        </references>
      </pivotArea>
    </format>
    <format dxfId="398">
      <pivotArea dataOnly="0" labelOnly="1" outline="0" fieldPosition="0">
        <references count="1">
          <reference field="1" count="0" defaultSubtotal="1"/>
        </references>
      </pivotArea>
    </format>
    <format dxfId="399">
      <pivotArea dataOnly="0" labelOnly="1" grandCol="1" outline="0" fieldPosition="0"/>
    </format>
    <format dxfId="400">
      <pivotArea dataOnly="0" labelOnly="1" outline="0" fieldPosition="0">
        <references count="2">
          <reference field="0" count="1">
            <x v="9"/>
          </reference>
          <reference field="1" count="0" selected="0"/>
        </references>
      </pivotArea>
    </format>
    <format dxfId="401">
      <pivotArea outline="0" collapsedLevelsAreSubtotals="1" fieldPosition="0"/>
    </format>
    <format dxfId="402">
      <pivotArea field="1" type="button" dataOnly="0" labelOnly="1" outline="0" axis="axisCol" fieldPosition="0"/>
    </format>
    <format dxfId="403">
      <pivotArea field="0" type="button" dataOnly="0" labelOnly="1" outline="0" axis="axisCol" fieldPosition="1"/>
    </format>
    <format dxfId="404">
      <pivotArea type="topRight" dataOnly="0" labelOnly="1" outline="0" fieldPosition="0"/>
    </format>
    <format dxfId="405">
      <pivotArea dataOnly="0" labelOnly="1" outline="0" fieldPosition="0">
        <references count="1">
          <reference field="1" count="0"/>
        </references>
      </pivotArea>
    </format>
    <format dxfId="406">
      <pivotArea dataOnly="0" labelOnly="1" outline="0" fieldPosition="0">
        <references count="1">
          <reference field="1" count="0" defaultSubtotal="1"/>
        </references>
      </pivotArea>
    </format>
    <format dxfId="407">
      <pivotArea dataOnly="0" labelOnly="1" grandCol="1" outline="0" fieldPosition="0"/>
    </format>
    <format dxfId="408">
      <pivotArea dataOnly="0" labelOnly="1" outline="0" fieldPosition="0">
        <references count="2">
          <reference field="0" count="1">
            <x v="9"/>
          </reference>
          <reference field="1" count="0" selected="0"/>
        </references>
      </pivotArea>
    </format>
    <format dxfId="409">
      <pivotArea outline="0" collapsedLevelsAreSubtotals="1" fieldPosition="0"/>
    </format>
    <format dxfId="410">
      <pivotArea field="1" type="button" dataOnly="0" labelOnly="1" outline="0" axis="axisCol" fieldPosition="0"/>
    </format>
    <format dxfId="411">
      <pivotArea field="0" type="button" dataOnly="0" labelOnly="1" outline="0" axis="axisCol" fieldPosition="1"/>
    </format>
    <format dxfId="412">
      <pivotArea type="topRight" dataOnly="0" labelOnly="1" outline="0" fieldPosition="0"/>
    </format>
    <format dxfId="413">
      <pivotArea dataOnly="0" labelOnly="1" outline="0" fieldPosition="0">
        <references count="1">
          <reference field="1" count="0"/>
        </references>
      </pivotArea>
    </format>
    <format dxfId="414">
      <pivotArea dataOnly="0" labelOnly="1" outline="0" fieldPosition="0">
        <references count="1">
          <reference field="1" count="0" defaultSubtotal="1"/>
        </references>
      </pivotArea>
    </format>
    <format dxfId="415">
      <pivotArea dataOnly="0" labelOnly="1" grandCol="1" outline="0" fieldPosition="0"/>
    </format>
    <format dxfId="416">
      <pivotArea dataOnly="0" labelOnly="1" outline="0" fieldPosition="0">
        <references count="2">
          <reference field="0" count="1">
            <x v="9"/>
          </reference>
          <reference field="1" count="0" selected="0"/>
        </references>
      </pivotArea>
    </format>
    <format dxfId="417">
      <pivotArea outline="0" collapsedLevelsAreSubtotals="1" fieldPosition="0"/>
    </format>
    <format dxfId="418">
      <pivotArea field="1" type="button" dataOnly="0" labelOnly="1" outline="0" axis="axisCol" fieldPosition="0"/>
    </format>
    <format dxfId="419">
      <pivotArea field="0" type="button" dataOnly="0" labelOnly="1" outline="0" axis="axisCol" fieldPosition="1"/>
    </format>
    <format dxfId="420">
      <pivotArea type="topRight" dataOnly="0" labelOnly="1" outline="0" fieldPosition="0"/>
    </format>
    <format dxfId="421">
      <pivotArea dataOnly="0" labelOnly="1" outline="0" fieldPosition="0">
        <references count="1">
          <reference field="1" count="0"/>
        </references>
      </pivotArea>
    </format>
    <format dxfId="422">
      <pivotArea dataOnly="0" labelOnly="1" outline="0" fieldPosition="0">
        <references count="1">
          <reference field="1" count="0" defaultSubtotal="1"/>
        </references>
      </pivotArea>
    </format>
    <format dxfId="423">
      <pivotArea dataOnly="0" labelOnly="1" grandCol="1" outline="0" fieldPosition="0"/>
    </format>
    <format dxfId="424">
      <pivotArea dataOnly="0" labelOnly="1" outline="0" fieldPosition="0">
        <references count="2">
          <reference field="0" count="1">
            <x v="9"/>
          </reference>
          <reference field="1" count="0" selected="0"/>
        </references>
      </pivotArea>
    </format>
    <format dxfId="425">
      <pivotArea outline="0" collapsedLevelsAreSubtotals="1" fieldPosition="0"/>
    </format>
    <format dxfId="426">
      <pivotArea field="1" type="button" dataOnly="0" labelOnly="1" outline="0" axis="axisCol" fieldPosition="0"/>
    </format>
    <format dxfId="427">
      <pivotArea field="0" type="button" dataOnly="0" labelOnly="1" outline="0" axis="axisCol" fieldPosition="1"/>
    </format>
    <format dxfId="428">
      <pivotArea type="topRight" dataOnly="0" labelOnly="1" outline="0" fieldPosition="0"/>
    </format>
    <format dxfId="429">
      <pivotArea dataOnly="0" labelOnly="1" outline="0" fieldPosition="0">
        <references count="1">
          <reference field="1" count="0"/>
        </references>
      </pivotArea>
    </format>
    <format dxfId="430">
      <pivotArea dataOnly="0" labelOnly="1" outline="0" fieldPosition="0">
        <references count="1">
          <reference field="1" count="0" defaultSubtotal="1"/>
        </references>
      </pivotArea>
    </format>
    <format dxfId="431">
      <pivotArea dataOnly="0" labelOnly="1" grandCol="1" outline="0" fieldPosition="0"/>
    </format>
    <format dxfId="432">
      <pivotArea dataOnly="0" labelOnly="1" outline="0" fieldPosition="0">
        <references count="2">
          <reference field="0" count="1">
            <x v="9"/>
          </reference>
          <reference field="1" count="0" selected="0"/>
        </references>
      </pivotArea>
    </format>
    <format dxfId="433">
      <pivotArea outline="0" collapsedLevelsAreSubtotals="1" fieldPosition="0"/>
    </format>
    <format dxfId="434">
      <pivotArea field="1" type="button" dataOnly="0" labelOnly="1" outline="0" axis="axisCol" fieldPosition="0"/>
    </format>
    <format dxfId="435">
      <pivotArea field="0" type="button" dataOnly="0" labelOnly="1" outline="0" axis="axisCol" fieldPosition="1"/>
    </format>
    <format dxfId="436">
      <pivotArea type="topRight" dataOnly="0" labelOnly="1" outline="0" fieldPosition="0"/>
    </format>
    <format dxfId="437">
      <pivotArea dataOnly="0" labelOnly="1" outline="0" fieldPosition="0">
        <references count="1">
          <reference field="1" count="0"/>
        </references>
      </pivotArea>
    </format>
    <format dxfId="438">
      <pivotArea dataOnly="0" labelOnly="1" outline="0" fieldPosition="0">
        <references count="1">
          <reference field="1" count="0" defaultSubtotal="1"/>
        </references>
      </pivotArea>
    </format>
    <format dxfId="439">
      <pivotArea dataOnly="0" labelOnly="1" grandCol="1" outline="0" fieldPosition="0"/>
    </format>
    <format dxfId="440">
      <pivotArea dataOnly="0" labelOnly="1" outline="0" fieldPosition="0">
        <references count="2">
          <reference field="0" count="1">
            <x v="9"/>
          </reference>
          <reference field="1" count="0" selected="0"/>
        </references>
      </pivotArea>
    </format>
    <format dxfId="441">
      <pivotArea outline="0" collapsedLevelsAreSubtotals="1" fieldPosition="0"/>
    </format>
    <format dxfId="442">
      <pivotArea field="1" type="button" dataOnly="0" labelOnly="1" outline="0" axis="axisCol" fieldPosition="0"/>
    </format>
    <format dxfId="443">
      <pivotArea field="0" type="button" dataOnly="0" labelOnly="1" outline="0" axis="axisCol" fieldPosition="1"/>
    </format>
    <format dxfId="444">
      <pivotArea type="topRight" dataOnly="0" labelOnly="1" outline="0" fieldPosition="0"/>
    </format>
    <format dxfId="445">
      <pivotArea dataOnly="0" labelOnly="1" outline="0" fieldPosition="0">
        <references count="1">
          <reference field="1" count="0"/>
        </references>
      </pivotArea>
    </format>
    <format dxfId="446">
      <pivotArea dataOnly="0" labelOnly="1" outline="0" fieldPosition="0">
        <references count="1">
          <reference field="1" count="0" defaultSubtotal="1"/>
        </references>
      </pivotArea>
    </format>
    <format dxfId="447">
      <pivotArea dataOnly="0" labelOnly="1" grandCol="1" outline="0" fieldPosition="0"/>
    </format>
    <format dxfId="448">
      <pivotArea dataOnly="0" labelOnly="1" outline="0" fieldPosition="0">
        <references count="2">
          <reference field="0" count="1">
            <x v="7"/>
          </reference>
          <reference field="1" count="0" selected="0"/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5C424D-0E7B-45D0-BEC8-BAF46AA351E5}" name="Tabela dinâmica6" cacheId="32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T4:W64" firstHeaderRow="1" firstDataRow="3" firstDataCol="1"/>
  <pivotFields count="60">
    <pivotField axis="axisCol" compact="0" outline="0" showAll="0">
      <items count="19">
        <item x="14"/>
        <item x="6"/>
        <item x="13"/>
        <item x="3"/>
        <item x="1"/>
        <item x="5"/>
        <item x="16"/>
        <item x="11"/>
        <item x="10"/>
        <item x="4"/>
        <item x="8"/>
        <item x="12"/>
        <item x="15"/>
        <item x="2"/>
        <item x="17"/>
        <item x="7"/>
        <item x="9"/>
        <item x="0"/>
        <item t="default"/>
      </items>
    </pivotField>
    <pivotField axis="axisCol" compact="0" outline="0" showAll="0">
      <items count="19">
        <item h="1" x="1"/>
        <item h="1" x="8"/>
        <item h="1" x="16"/>
        <item h="1" x="9"/>
        <item h="1" x="5"/>
        <item h="1" x="11"/>
        <item h="1" x="15"/>
        <item h="1" x="4"/>
        <item h="1" x="17"/>
        <item h="1" x="13"/>
        <item h="1" x="0"/>
        <item h="1" x="12"/>
        <item h="1" x="7"/>
        <item h="1" x="2"/>
        <item h="1" x="10"/>
        <item h="1" x="6"/>
        <item h="1" x="3"/>
        <item x="14"/>
        <item t="default"/>
      </items>
    </pivotField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2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</pivotFields>
  <rowFields count="1">
    <field x="-2"/>
  </rowFields>
  <rowItems count="5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  <i i="49">
      <x v="49"/>
    </i>
    <i i="50">
      <x v="50"/>
    </i>
    <i i="51">
      <x v="51"/>
    </i>
    <i i="52">
      <x v="52"/>
    </i>
    <i i="53">
      <x v="53"/>
    </i>
    <i i="54">
      <x v="54"/>
    </i>
    <i i="55">
      <x v="55"/>
    </i>
    <i i="56">
      <x v="56"/>
    </i>
    <i i="57">
      <x v="57"/>
    </i>
  </rowItems>
  <colFields count="2">
    <field x="1"/>
    <field x="0"/>
  </colFields>
  <colItems count="3">
    <i>
      <x v="17"/>
      <x/>
    </i>
    <i t="default">
      <x v="17"/>
    </i>
    <i t="grand">
      <x/>
    </i>
  </colItems>
  <dataFields count="58">
    <dataField name="Soma de PROJETEIS-PARA-SUPER" fld="2" baseField="0" baseItem="0" numFmtId="164"/>
    <dataField name="Soma de SUPERS-PARA-HIPERCARGA" fld="3" baseField="0" baseItem="0" numFmtId="164"/>
    <dataField name="Soma de DANO-PROJETIL" fld="4" baseField="0" baseItem="0" numFmtId="164"/>
    <dataField name="Soma de TIROS-DADOS-EM-5-SEGUNDOS" fld="5" baseField="0" baseItem="0" numFmtId="164"/>
    <dataField name="Soma de MÉDIA-PROJETEIS-POR-TIRO" fld="6" baseField="0" baseItem="0" numFmtId="164"/>
    <dataField name="Soma de CURTO-ALCANCE-QUANT-PROJETIL-MEDIO" fld="7" baseField="0" baseItem="0" numFmtId="164"/>
    <dataField name="Soma de MEDIO-ALCANCE-QUANT-PROJETIL-MEDIO" fld="8" baseField="0" baseItem="0" numFmtId="164"/>
    <dataField name="Soma de LONGO-ALCANCE-QUANT-PROJETIL-MEDIO" fld="9" baseField="0" baseItem="0" numFmtId="164"/>
    <dataField name="Soma de MTLONGO-ALCANCE-QUANT-PROJETIL-MEDIO" fld="10" baseField="0" baseItem="0" numFmtId="164"/>
    <dataField name="Soma de CARREGAMENTO-SUPER-AO-ACERTAR-EM-PROJETEIS" fld="11" baseField="0" baseItem="0" numFmtId="164"/>
    <dataField name="Soma de CURTO-ALCANCE-DANO-SUPER-MEDIO" fld="12" baseField="0" baseItem="0" numFmtId="164"/>
    <dataField name="Soma de MEDIO-ALCANCE-DANO-SUPER-MEDIO" fld="13" baseField="0" baseItem="0" numFmtId="164"/>
    <dataField name="Soma de LONGO-ALCANCE-DANO-SUPER-MEDIO" fld="14" baseField="0" baseItem="0" numFmtId="164"/>
    <dataField name="Soma de MT-LONGO-ALCANCE-DANO-SUPER-MEDIO" fld="15" baseField="0" baseItem="0" numFmtId="164"/>
    <dataField name="Soma de MÉDIA-DANO-POR-SUPER" fld="16" baseField="0" baseItem="0" numFmtId="164"/>
    <dataField name="Soma de DANO-OCASIONAL" fld="17" baseField="0" baseItem="0" numFmtId="164"/>
    <dataField name="Soma de Durability" fld="18" baseField="0" baseItem="0" numFmtId="2"/>
    <dataField name="Soma de Distância-Ataque" fld="19" baseField="0" baseItem="0" numFmtId="164"/>
    <dataField name="Soma de Botão-de-Fuga" fld="20" baseField="0" baseItem="0" numFmtId="164"/>
    <dataField name="Soma de Ataque-amplo" fld="21" baseField="0" baseItem="0" numFmtId="164"/>
    <dataField name="Soma de FREQUENCIA-DANO-INDIRETO" fld="22" baseField="0" baseItem="0" numFmtId="164"/>
    <dataField name="Soma de NEGACAO-DE-AREA" fld="23" baseField="0" baseItem="0" numFmtId="164"/>
    <dataField name="Soma de MANIPULACAO-DA-POSICAO-DE-INIMIGOS" fld="24" baseField="0" baseItem="0" numFmtId="164"/>
    <dataField name="Soma de ANDA-SOBRE-AGUA" fld="25" baseField="0" baseItem="0" numFmtId="164"/>
    <dataField name="Soma de COMBATER-INIMIGOS-SOBRE-AGUA" fld="26" baseField="0" baseItem="0" numFmtId="164"/>
    <dataField name="Soma de POTENCIAL-DESTRUIÇÃO-DE-MUROS" fld="27" baseField="0" baseItem="0" numFmtId="164"/>
    <dataField name="Soma de POTENCIAL-DESTRUIÇÃO-DE-MOITAS" fld="28" baseField="0" baseItem="0" numFmtId="164"/>
    <dataField name="Soma de POTENCIAL-DE-CRIACAO-DE-COVER" fld="29" baseField="0" baseItem="0" numFmtId="164"/>
    <dataField name="Soma de VELOCIDADE-MOVIMENTO" fld="30" baseField="0" baseItem="0" numFmtId="164"/>
    <dataField name="Soma de FORÇA-ATK-SURP" fld="31" baseField="0" baseItem="0" numFmtId="164"/>
    <dataField name="Soma de Ataque-Surpresa" fld="32" baseField="0" baseItem="0" numFmtId="164"/>
    <dataField name="Soma de FREQUÊNCIA-GERAÇÃO-DE-PETS" fld="33" baseField="0" baseItem="0" numFmtId="164"/>
    <dataField name="Soma de ACÚMULO-PETS" fld="34" baseField="0" baseItem="0" numFmtId="164"/>
    <dataField name="Soma de VIDA-DETERIORÁVEL-PETS" fld="35" baseField="0" baseItem="0" numFmtId="164"/>
    <dataField name="Soma de RESISTÊNCIA-PETS" fld="36" baseField="0" baseItem="0" numFmtId="164"/>
    <dataField name="Soma de DANO-PETS" fld="37" baseField="0" baseItem="0" numFmtId="164"/>
    <dataField name="Soma de ALCANCE-PETS" fld="38" baseField="0" baseItem="0" numFmtId="164"/>
    <dataField name="Soma de VELOCIDADE-PETS" fld="39" baseField="0" baseItem="0" numFmtId="164"/>
    <dataField name="Soma de PROXIMIDADE-PETS" fld="40" baseField="0" baseItem="0" numFmtId="164"/>
    <dataField name="Soma de DANO-AUMENTADO-QUANDO-AGRUPADO" fld="41" baseField="0" baseItem="0" numFmtId="164"/>
    <dataField name="Soma de CIRCUNSTANCIABILIDADE" fld="42" baseField="0" baseItem="0" numFmtId="164"/>
    <dataField name="Soma de HP-SUPORTE" fld="43" baseField="0" baseItem="0" numFmtId="164"/>
    <dataField name="Soma de HP-ENFRAQUECIMENTO" fld="44" baseField="0" baseItem="0" numFmtId="164"/>
    <dataField name="Soma de ESCUDO-SUPORTE" fld="49" baseField="0" baseItem="0" numFmtId="164"/>
    <dataField name="Soma de DANO-SUPORTE" fld="45" baseField="0" baseItem="0" numFmtId="164"/>
    <dataField name="Soma de DANO-ENFRAQUECIMENTO" fld="46" baseField="0" baseItem="0" numFmtId="164"/>
    <dataField name="Soma de SPEED-SUPORTE" fld="47" baseField="0" baseItem="0" numFmtId="164"/>
    <dataField name="Soma de INVISIBILIDADE-SUPORTE" fld="48" baseField="0" baseItem="0" numFmtId="164"/>
    <dataField name="Soma de POSICIONAMENTO-SUPORTE" fld="50" baseField="0" baseItem="0" numFmtId="164"/>
    <dataField name="Soma de VENENO-DEBUFF" fld="51" baseField="0" baseItem="0" numFmtId="164"/>
    <dataField name="Soma de COUNTER-VENENO-DEBUFF" fld="52" baseField="0" baseItem="0" numFmtId="164"/>
    <dataField name="Soma de STUN-DEBUFF" fld="55" baseField="0" baseItem="0" numFmtId="164"/>
    <dataField name="Soma de COUNTER-STUN-DEBUFF" fld="56" baseField="0" baseItem="0" numFmtId="164"/>
    <dataField name="Soma de LENTIDAO-DEBUFF" fld="53" baseField="0" baseItem="0" numFmtId="164"/>
    <dataField name="Soma de COUNTER-LENTIDAO-DEBUFF" fld="54" baseField="0" baseItem="0" numFmtId="164"/>
    <dataField name="Soma de BLOQUEIO-DE-INIMIGOS" fld="59" baseField="0" baseItem="0" numFmtId="164"/>
    <dataField name="Soma de CANCELAMENTO-ATAQUES" fld="57" baseField="0" baseItem="0" numFmtId="164"/>
    <dataField name="Soma de COUNTER-CANCELAMENTO-ATAQUES" fld="58" baseField="0" baseItem="0" numFmtId="164"/>
  </dataFields>
  <formats count="80">
    <format dxfId="289">
      <pivotArea outline="0" collapsedLevelsAreSubtotals="1" fieldPosition="0"/>
    </format>
    <format dxfId="290">
      <pivotArea field="1" type="button" dataOnly="0" labelOnly="1" outline="0" axis="axisCol" fieldPosition="0"/>
    </format>
    <format dxfId="291">
      <pivotArea field="0" type="button" dataOnly="0" labelOnly="1" outline="0" axis="axisCol" fieldPosition="1"/>
    </format>
    <format dxfId="292">
      <pivotArea type="topRight" dataOnly="0" labelOnly="1" outline="0" fieldPosition="0"/>
    </format>
    <format dxfId="293">
      <pivotArea dataOnly="0" labelOnly="1" outline="0" fieldPosition="0">
        <references count="1">
          <reference field="1" count="0"/>
        </references>
      </pivotArea>
    </format>
    <format dxfId="294">
      <pivotArea dataOnly="0" labelOnly="1" outline="0" fieldPosition="0">
        <references count="1">
          <reference field="1" count="0" defaultSubtotal="1"/>
        </references>
      </pivotArea>
    </format>
    <format dxfId="295">
      <pivotArea dataOnly="0" labelOnly="1" grandCol="1" outline="0" fieldPosition="0"/>
    </format>
    <format dxfId="296">
      <pivotArea dataOnly="0" labelOnly="1" outline="0" fieldPosition="0">
        <references count="2">
          <reference field="0" count="1">
            <x v="4"/>
          </reference>
          <reference field="1" count="0" selected="0"/>
        </references>
      </pivotArea>
    </format>
    <format dxfId="297">
      <pivotArea outline="0" collapsedLevelsAreSubtotals="1" fieldPosition="0"/>
    </format>
    <format dxfId="298">
      <pivotArea field="1" type="button" dataOnly="0" labelOnly="1" outline="0" axis="axisCol" fieldPosition="0"/>
    </format>
    <format dxfId="299">
      <pivotArea field="0" type="button" dataOnly="0" labelOnly="1" outline="0" axis="axisCol" fieldPosition="1"/>
    </format>
    <format dxfId="300">
      <pivotArea type="topRight" dataOnly="0" labelOnly="1" outline="0" fieldPosition="0"/>
    </format>
    <format dxfId="301">
      <pivotArea dataOnly="0" labelOnly="1" outline="0" fieldPosition="0">
        <references count="1">
          <reference field="1" count="0"/>
        </references>
      </pivotArea>
    </format>
    <format dxfId="302">
      <pivotArea dataOnly="0" labelOnly="1" outline="0" fieldPosition="0">
        <references count="1">
          <reference field="1" count="0" defaultSubtotal="1"/>
        </references>
      </pivotArea>
    </format>
    <format dxfId="303">
      <pivotArea dataOnly="0" labelOnly="1" grandCol="1" outline="0" fieldPosition="0"/>
    </format>
    <format dxfId="304">
      <pivotArea dataOnly="0" labelOnly="1" outline="0" fieldPosition="0">
        <references count="2">
          <reference field="0" count="1">
            <x v="4"/>
          </reference>
          <reference field="1" count="0" selected="0"/>
        </references>
      </pivotArea>
    </format>
    <format dxfId="305">
      <pivotArea outline="0" collapsedLevelsAreSubtotals="1" fieldPosition="0"/>
    </format>
    <format dxfId="306">
      <pivotArea field="1" type="button" dataOnly="0" labelOnly="1" outline="0" axis="axisCol" fieldPosition="0"/>
    </format>
    <format dxfId="307">
      <pivotArea field="0" type="button" dataOnly="0" labelOnly="1" outline="0" axis="axisCol" fieldPosition="1"/>
    </format>
    <format dxfId="308">
      <pivotArea type="topRight" dataOnly="0" labelOnly="1" outline="0" fieldPosition="0"/>
    </format>
    <format dxfId="309">
      <pivotArea dataOnly="0" labelOnly="1" outline="0" fieldPosition="0">
        <references count="1">
          <reference field="1" count="0"/>
        </references>
      </pivotArea>
    </format>
    <format dxfId="310">
      <pivotArea dataOnly="0" labelOnly="1" outline="0" fieldPosition="0">
        <references count="1">
          <reference field="1" count="0" defaultSubtotal="1"/>
        </references>
      </pivotArea>
    </format>
    <format dxfId="311">
      <pivotArea dataOnly="0" labelOnly="1" grandCol="1" outline="0" fieldPosition="0"/>
    </format>
    <format dxfId="312">
      <pivotArea dataOnly="0" labelOnly="1" outline="0" fieldPosition="0">
        <references count="2">
          <reference field="0" count="1">
            <x v="4"/>
          </reference>
          <reference field="1" count="0" selected="0"/>
        </references>
      </pivotArea>
    </format>
    <format dxfId="313">
      <pivotArea outline="0" collapsedLevelsAreSubtotals="1" fieldPosition="0"/>
    </format>
    <format dxfId="314">
      <pivotArea field="1" type="button" dataOnly="0" labelOnly="1" outline="0" axis="axisCol" fieldPosition="0"/>
    </format>
    <format dxfId="315">
      <pivotArea field="0" type="button" dataOnly="0" labelOnly="1" outline="0" axis="axisCol" fieldPosition="1"/>
    </format>
    <format dxfId="316">
      <pivotArea type="topRight" dataOnly="0" labelOnly="1" outline="0" fieldPosition="0"/>
    </format>
    <format dxfId="317">
      <pivotArea dataOnly="0" labelOnly="1" outline="0" fieldPosition="0">
        <references count="1">
          <reference field="1" count="0"/>
        </references>
      </pivotArea>
    </format>
    <format dxfId="318">
      <pivotArea dataOnly="0" labelOnly="1" outline="0" fieldPosition="0">
        <references count="1">
          <reference field="1" count="0" defaultSubtotal="1"/>
        </references>
      </pivotArea>
    </format>
    <format dxfId="319">
      <pivotArea dataOnly="0" labelOnly="1" grandCol="1" outline="0" fieldPosition="0"/>
    </format>
    <format dxfId="320">
      <pivotArea dataOnly="0" labelOnly="1" outline="0" fieldPosition="0">
        <references count="2">
          <reference field="0" count="1">
            <x v="4"/>
          </reference>
          <reference field="1" count="0" selected="0"/>
        </references>
      </pivotArea>
    </format>
    <format dxfId="321">
      <pivotArea outline="0" collapsedLevelsAreSubtotals="1" fieldPosition="0"/>
    </format>
    <format dxfId="322">
      <pivotArea field="1" type="button" dataOnly="0" labelOnly="1" outline="0" axis="axisCol" fieldPosition="0"/>
    </format>
    <format dxfId="323">
      <pivotArea field="0" type="button" dataOnly="0" labelOnly="1" outline="0" axis="axisCol" fieldPosition="1"/>
    </format>
    <format dxfId="324">
      <pivotArea type="topRight" dataOnly="0" labelOnly="1" outline="0" fieldPosition="0"/>
    </format>
    <format dxfId="325">
      <pivotArea dataOnly="0" labelOnly="1" outline="0" fieldPosition="0">
        <references count="1">
          <reference field="1" count="0"/>
        </references>
      </pivotArea>
    </format>
    <format dxfId="326">
      <pivotArea dataOnly="0" labelOnly="1" outline="0" fieldPosition="0">
        <references count="1">
          <reference field="1" count="0" defaultSubtotal="1"/>
        </references>
      </pivotArea>
    </format>
    <format dxfId="327">
      <pivotArea dataOnly="0" labelOnly="1" grandCol="1" outline="0" fieldPosition="0"/>
    </format>
    <format dxfId="328">
      <pivotArea dataOnly="0" labelOnly="1" outline="0" fieldPosition="0">
        <references count="2">
          <reference field="0" count="1">
            <x v="4"/>
          </reference>
          <reference field="1" count="0" selected="0"/>
        </references>
      </pivotArea>
    </format>
    <format dxfId="329">
      <pivotArea outline="0" collapsedLevelsAreSubtotals="1" fieldPosition="0"/>
    </format>
    <format dxfId="330">
      <pivotArea field="1" type="button" dataOnly="0" labelOnly="1" outline="0" axis="axisCol" fieldPosition="0"/>
    </format>
    <format dxfId="331">
      <pivotArea field="0" type="button" dataOnly="0" labelOnly="1" outline="0" axis="axisCol" fieldPosition="1"/>
    </format>
    <format dxfId="332">
      <pivotArea type="topRight" dataOnly="0" labelOnly="1" outline="0" fieldPosition="0"/>
    </format>
    <format dxfId="333">
      <pivotArea dataOnly="0" labelOnly="1" outline="0" fieldPosition="0">
        <references count="1">
          <reference field="1" count="0"/>
        </references>
      </pivotArea>
    </format>
    <format dxfId="334">
      <pivotArea dataOnly="0" labelOnly="1" outline="0" fieldPosition="0">
        <references count="1">
          <reference field="1" count="0" defaultSubtotal="1"/>
        </references>
      </pivotArea>
    </format>
    <format dxfId="335">
      <pivotArea dataOnly="0" labelOnly="1" grandCol="1" outline="0" fieldPosition="0"/>
    </format>
    <format dxfId="336">
      <pivotArea dataOnly="0" labelOnly="1" outline="0" fieldPosition="0">
        <references count="2">
          <reference field="0" count="1">
            <x v="4"/>
          </reference>
          <reference field="1" count="0" selected="0"/>
        </references>
      </pivotArea>
    </format>
    <format dxfId="337">
      <pivotArea outline="0" collapsedLevelsAreSubtotals="1" fieldPosition="0"/>
    </format>
    <format dxfId="338">
      <pivotArea field="1" type="button" dataOnly="0" labelOnly="1" outline="0" axis="axisCol" fieldPosition="0"/>
    </format>
    <format dxfId="339">
      <pivotArea field="0" type="button" dataOnly="0" labelOnly="1" outline="0" axis="axisCol" fieldPosition="1"/>
    </format>
    <format dxfId="340">
      <pivotArea type="topRight" dataOnly="0" labelOnly="1" outline="0" fieldPosition="0"/>
    </format>
    <format dxfId="341">
      <pivotArea dataOnly="0" labelOnly="1" outline="0" fieldPosition="0">
        <references count="1">
          <reference field="1" count="0"/>
        </references>
      </pivotArea>
    </format>
    <format dxfId="342">
      <pivotArea dataOnly="0" labelOnly="1" outline="0" fieldPosition="0">
        <references count="1">
          <reference field="1" count="0" defaultSubtotal="1"/>
        </references>
      </pivotArea>
    </format>
    <format dxfId="343">
      <pivotArea dataOnly="0" labelOnly="1" grandCol="1" outline="0" fieldPosition="0"/>
    </format>
    <format dxfId="344">
      <pivotArea dataOnly="0" labelOnly="1" outline="0" fieldPosition="0">
        <references count="2">
          <reference field="0" count="1">
            <x v="4"/>
          </reference>
          <reference field="1" count="0" selected="0"/>
        </references>
      </pivotArea>
    </format>
    <format dxfId="345">
      <pivotArea outline="0" collapsedLevelsAreSubtotals="1" fieldPosition="0"/>
    </format>
    <format dxfId="346">
      <pivotArea field="1" type="button" dataOnly="0" labelOnly="1" outline="0" axis="axisCol" fieldPosition="0"/>
    </format>
    <format dxfId="347">
      <pivotArea field="0" type="button" dataOnly="0" labelOnly="1" outline="0" axis="axisCol" fieldPosition="1"/>
    </format>
    <format dxfId="348">
      <pivotArea type="topRight" dataOnly="0" labelOnly="1" outline="0" fieldPosition="0"/>
    </format>
    <format dxfId="349">
      <pivotArea dataOnly="0" labelOnly="1" outline="0" fieldPosition="0">
        <references count="1">
          <reference field="1" count="0"/>
        </references>
      </pivotArea>
    </format>
    <format dxfId="350">
      <pivotArea dataOnly="0" labelOnly="1" outline="0" fieldPosition="0">
        <references count="1">
          <reference field="1" count="0" defaultSubtotal="1"/>
        </references>
      </pivotArea>
    </format>
    <format dxfId="351">
      <pivotArea dataOnly="0" labelOnly="1" grandCol="1" outline="0" fieldPosition="0"/>
    </format>
    <format dxfId="352">
      <pivotArea dataOnly="0" labelOnly="1" outline="0" fieldPosition="0">
        <references count="2">
          <reference field="0" count="1">
            <x v="4"/>
          </reference>
          <reference field="1" count="0" selected="0"/>
        </references>
      </pivotArea>
    </format>
    <format dxfId="353">
      <pivotArea outline="0" collapsedLevelsAreSubtotals="1" fieldPosition="0"/>
    </format>
    <format dxfId="354">
      <pivotArea field="1" type="button" dataOnly="0" labelOnly="1" outline="0" axis="axisCol" fieldPosition="0"/>
    </format>
    <format dxfId="355">
      <pivotArea field="0" type="button" dataOnly="0" labelOnly="1" outline="0" axis="axisCol" fieldPosition="1"/>
    </format>
    <format dxfId="356">
      <pivotArea type="topRight" dataOnly="0" labelOnly="1" outline="0" fieldPosition="0"/>
    </format>
    <format dxfId="357">
      <pivotArea dataOnly="0" labelOnly="1" outline="0" fieldPosition="0">
        <references count="1">
          <reference field="1" count="0"/>
        </references>
      </pivotArea>
    </format>
    <format dxfId="358">
      <pivotArea dataOnly="0" labelOnly="1" outline="0" fieldPosition="0">
        <references count="1">
          <reference field="1" count="0" defaultSubtotal="1"/>
        </references>
      </pivotArea>
    </format>
    <format dxfId="359">
      <pivotArea dataOnly="0" labelOnly="1" grandCol="1" outline="0" fieldPosition="0"/>
    </format>
    <format dxfId="360">
      <pivotArea dataOnly="0" labelOnly="1" outline="0" fieldPosition="0">
        <references count="2">
          <reference field="0" count="1">
            <x v="4"/>
          </reference>
          <reference field="1" count="0" selected="0"/>
        </references>
      </pivotArea>
    </format>
    <format dxfId="361">
      <pivotArea outline="0" collapsedLevelsAreSubtotals="1" fieldPosition="0"/>
    </format>
    <format dxfId="362">
      <pivotArea field="1" type="button" dataOnly="0" labelOnly="1" outline="0" axis="axisCol" fieldPosition="0"/>
    </format>
    <format dxfId="363">
      <pivotArea field="0" type="button" dataOnly="0" labelOnly="1" outline="0" axis="axisCol" fieldPosition="1"/>
    </format>
    <format dxfId="364">
      <pivotArea type="topRight" dataOnly="0" labelOnly="1" outline="0" fieldPosition="0"/>
    </format>
    <format dxfId="365">
      <pivotArea dataOnly="0" labelOnly="1" outline="0" fieldPosition="0">
        <references count="1">
          <reference field="1" count="0"/>
        </references>
      </pivotArea>
    </format>
    <format dxfId="366">
      <pivotArea dataOnly="0" labelOnly="1" outline="0" fieldPosition="0">
        <references count="1">
          <reference field="1" count="0" defaultSubtotal="1"/>
        </references>
      </pivotArea>
    </format>
    <format dxfId="367">
      <pivotArea dataOnly="0" labelOnly="1" grandCol="1" outline="0" fieldPosition="0"/>
    </format>
    <format dxfId="368">
      <pivotArea dataOnly="0" labelOnly="1" outline="0" fieldPosition="0">
        <references count="2">
          <reference field="0" count="1">
            <x v="6"/>
          </reference>
          <reference field="1" count="0" selected="0"/>
        </references>
      </pivotArea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4A9D0-5C41-4114-BBBC-D57DC950C7C2}" name="Tabela dinâmica5" cacheId="33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O4:R64" firstHeaderRow="1" firstDataRow="3" firstDataCol="1"/>
  <pivotFields count="60">
    <pivotField axis="axisCol" compact="0" outline="0" showAll="0">
      <items count="19">
        <item x="0"/>
        <item x="5"/>
        <item x="11"/>
        <item x="13"/>
        <item x="7"/>
        <item x="1"/>
        <item x="3"/>
        <item x="8"/>
        <item x="15"/>
        <item x="12"/>
        <item x="9"/>
        <item x="10"/>
        <item x="6"/>
        <item x="4"/>
        <item x="2"/>
        <item x="17"/>
        <item x="16"/>
        <item x="14"/>
        <item t="default"/>
      </items>
    </pivotField>
    <pivotField axis="axisCol" compact="0" outline="0" showAll="0">
      <items count="19">
        <item h="1" x="1"/>
        <item h="1" x="8"/>
        <item h="1" x="16"/>
        <item h="1" x="9"/>
        <item h="1" x="5"/>
        <item h="1" x="11"/>
        <item h="1" x="15"/>
        <item h="1" x="4"/>
        <item h="1" x="17"/>
        <item h="1" x="13"/>
        <item h="1" x="0"/>
        <item h="1" x="12"/>
        <item h="1" x="7"/>
        <item h="1" x="2"/>
        <item h="1" x="10"/>
        <item h="1" x="6"/>
        <item h="1" x="3"/>
        <item x="14"/>
        <item t="default"/>
      </items>
    </pivotField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</pivotFields>
  <rowFields count="1">
    <field x="-2"/>
  </rowFields>
  <rowItems count="5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  <i i="49">
      <x v="49"/>
    </i>
    <i i="50">
      <x v="50"/>
    </i>
    <i i="51">
      <x v="51"/>
    </i>
    <i i="52">
      <x v="52"/>
    </i>
    <i i="53">
      <x v="53"/>
    </i>
    <i i="54">
      <x v="54"/>
    </i>
    <i i="55">
      <x v="55"/>
    </i>
    <i i="56">
      <x v="56"/>
    </i>
    <i i="57">
      <x v="57"/>
    </i>
  </rowItems>
  <colFields count="2">
    <field x="1"/>
    <field x="0"/>
  </colFields>
  <colItems count="3">
    <i>
      <x v="17"/>
      <x v="17"/>
    </i>
    <i t="default">
      <x v="17"/>
    </i>
    <i t="grand">
      <x/>
    </i>
  </colItems>
  <dataFields count="58">
    <dataField name="Soma de PROJETEIS-PARA-SUPER" fld="2" baseField="0" baseItem="0" numFmtId="164"/>
    <dataField name="Soma de SUPERS-PARA-HIPERCARGA" fld="3" baseField="0" baseItem="0" numFmtId="164"/>
    <dataField name="Soma de DANO-PROJETIL" fld="4" baseField="0" baseItem="0" numFmtId="164"/>
    <dataField name="Soma de TIROS-DADOS-EM-5-SEGUNDOS" fld="5" baseField="0" baseItem="0" numFmtId="164"/>
    <dataField name="Soma de MÉDIA-PROJETEIS-POR-TIRO" fld="6" baseField="0" baseItem="0" numFmtId="164"/>
    <dataField name="Soma de CURTO-ALCANCE-QUANT-PROJETIL-MEDIO" fld="7" baseField="0" baseItem="0" numFmtId="164"/>
    <dataField name="Soma de MEDIO-ALCANCE-QUANT-PROJETIL-MEDIO" fld="8" baseField="0" baseItem="0" numFmtId="164"/>
    <dataField name="Soma de LONGO-ALCANCE-QUANT-PROJETIL-MEDIO" fld="9" baseField="0" baseItem="0" numFmtId="164"/>
    <dataField name="Soma de MTLONGO-ALCANCE-QUANT-PROJETIL-MEDIO" fld="10" baseField="0" baseItem="0" numFmtId="164"/>
    <dataField name="Soma de CARREGAMENTO-SUPER-AO-ACERTAR-EM-PROJETEIS" fld="11" baseField="0" baseItem="0" numFmtId="164"/>
    <dataField name="Soma de CURTO-ALCANCE-DANO-SUPER-MEDIO" fld="12" baseField="0" baseItem="0" numFmtId="164"/>
    <dataField name="Soma de MEDIO-ALCANCE-DANO-SUPER-MEDIO" fld="13" baseField="0" baseItem="0" numFmtId="164"/>
    <dataField name="Soma de LONGO-ALCANCE-DANO-SUPER-MEDIO" fld="14" baseField="0" baseItem="0" numFmtId="164"/>
    <dataField name="Soma de MT-LONGO-ALCANCE-DANO-SUPER-MEDIO" fld="15" baseField="0" baseItem="0" numFmtId="164"/>
    <dataField name="Soma de MÉDIA-DANO-POR-SUPER" fld="16" baseField="0" baseItem="0" numFmtId="164"/>
    <dataField name="Soma de DANO-OCASIONAL" fld="17" baseField="0" baseItem="0" numFmtId="164"/>
    <dataField name="Soma de Durability" fld="18" baseField="0" baseItem="0" numFmtId="164"/>
    <dataField name="Soma de Distância-Ataque" fld="19" baseField="0" baseItem="0" numFmtId="164"/>
    <dataField name="Soma de Botão-de-Fuga" fld="20" baseField="0" baseItem="0" numFmtId="164"/>
    <dataField name="Soma de Ataque-amplo" fld="21" baseField="0" baseItem="0" numFmtId="164"/>
    <dataField name="Soma de FREQUENCIA-DANO-INDIRETO" fld="22" baseField="0" baseItem="0" numFmtId="164"/>
    <dataField name="Soma de NEGACAO-DE-AREA" fld="23" baseField="0" baseItem="0" numFmtId="164"/>
    <dataField name="Soma de MANIPULACAO-DA-POSICAO-DE-INIMIGOS" fld="24" baseField="0" baseItem="0" numFmtId="164"/>
    <dataField name="Soma de ANDA-SOBRE-AGUA" fld="25" baseField="0" baseItem="0" numFmtId="164"/>
    <dataField name="Soma de COMBATER-INIMIGOS-SOBRE-AGUA" fld="26" baseField="0" baseItem="0" numFmtId="164"/>
    <dataField name="Soma de POTENCIAL-DESTRUIÇÃO-DE-MUROS" fld="27" baseField="0" baseItem="0" numFmtId="164"/>
    <dataField name="Soma de POTENCIAL-DESTRUIÇÃO-DE-MOITAS" fld="28" baseField="0" baseItem="0" numFmtId="164"/>
    <dataField name="Soma de POTENCIAL-DE-CRIACAO-DE-COVER" fld="29" baseField="0" baseItem="0" numFmtId="164"/>
    <dataField name="Soma de VELOCIDADE-MOVIMENTO" fld="30" baseField="0" baseItem="0" numFmtId="164"/>
    <dataField name="Soma de FORÇA-ATK-SURP" fld="31" baseField="0" baseItem="0" numFmtId="164"/>
    <dataField name="Soma de Ataque-Surpresa" fld="32" baseField="0" baseItem="0" numFmtId="164"/>
    <dataField name="Soma de FREQUÊNCIA-GERAÇÃO-DE-PETS" fld="33" baseField="0" baseItem="0" numFmtId="164"/>
    <dataField name="Soma de ACÚMULO-PETS" fld="34" baseField="0" baseItem="0" numFmtId="164"/>
    <dataField name="Soma de VIDA-DETERIORÁVEL-PETS" fld="35" baseField="0" baseItem="0" numFmtId="164"/>
    <dataField name="Soma de RESISTÊNCIA-PETS" fld="36" baseField="0" baseItem="0" numFmtId="164"/>
    <dataField name="Soma de DANO-PETS" fld="37" baseField="0" baseItem="0" numFmtId="164"/>
    <dataField name="Soma de ALCANCE-PETS" fld="38" baseField="0" baseItem="0" numFmtId="164"/>
    <dataField name="Soma de VELOCIDADE-PETS" fld="39" baseField="0" baseItem="0" numFmtId="164"/>
    <dataField name="Soma de PROXIMIDADE-PETS" fld="40" baseField="0" baseItem="0" numFmtId="164"/>
    <dataField name="Soma de DANO-AUMENTADO-QUANDO-AGRUPADO" fld="41" baseField="0" baseItem="0" numFmtId="164"/>
    <dataField name="Soma de CIRCUNSTANCIABILIDADE" fld="42" baseField="0" baseItem="0" numFmtId="164"/>
    <dataField name="Soma de HP-SUPORTE" fld="43" baseField="0" baseItem="0" numFmtId="164"/>
    <dataField name="Soma de HP-ENFRAQUECIMENTO" fld="44" baseField="0" baseItem="0" numFmtId="164"/>
    <dataField name="Soma de ESCUDO-SUPORTE" fld="49" baseField="0" baseItem="0" numFmtId="164"/>
    <dataField name="Soma de DANO-SUPORTE" fld="45" baseField="0" baseItem="0" numFmtId="164"/>
    <dataField name="Soma de DANO-ENFRAQUECIMENTO" fld="46" baseField="0" baseItem="0" numFmtId="164"/>
    <dataField name="Soma de SPEED-SUPORTE" fld="47" baseField="0" baseItem="0" numFmtId="164"/>
    <dataField name="Soma de INVISIBILIDADE-SUPORTE" fld="48" baseField="0" baseItem="0" numFmtId="164"/>
    <dataField name="Soma de POSICIONAMENTO-SUPORTE" fld="50" baseField="0" baseItem="0" numFmtId="164"/>
    <dataField name="Soma de VENENO-DEBUFF" fld="51" baseField="0" baseItem="0" numFmtId="164"/>
    <dataField name="Soma de COUNTER-VENENO-DEBUFF" fld="52" baseField="0" baseItem="0" numFmtId="164"/>
    <dataField name="Soma de STUN-DEBUFF" fld="55" baseField="0" baseItem="0" numFmtId="164"/>
    <dataField name="Soma de COUNTER-STUN-DEBUFF" fld="56" baseField="0" baseItem="0" numFmtId="164"/>
    <dataField name="Soma de LENTIDAO-DEBUFF" fld="53" baseField="0" baseItem="0" numFmtId="164"/>
    <dataField name="Soma de COUNTER-LENTIDAO-DEBUFF" fld="54" baseField="0" baseItem="0" numFmtId="164"/>
    <dataField name="Soma de BLOQUEIO-DE-INIMIGOS" fld="59" baseField="0" baseItem="0" numFmtId="164"/>
    <dataField name="Soma de CANCELAMENTO-ATAQUES" fld="57" baseField="0" baseItem="0" numFmtId="164"/>
    <dataField name="Soma de COUNTER-CANCELAMENTO-ATAQUES" fld="58" baseField="0" baseItem="0" numFmtId="164"/>
  </dataFields>
  <formats count="80">
    <format dxfId="209">
      <pivotArea outline="0" collapsedLevelsAreSubtotals="1" fieldPosition="0"/>
    </format>
    <format dxfId="210">
      <pivotArea field="1" type="button" dataOnly="0" labelOnly="1" outline="0" axis="axisCol" fieldPosition="0"/>
    </format>
    <format dxfId="211">
      <pivotArea field="0" type="button" dataOnly="0" labelOnly="1" outline="0" axis="axisCol" fieldPosition="1"/>
    </format>
    <format dxfId="212">
      <pivotArea type="topRight" dataOnly="0" labelOnly="1" outline="0" fieldPosition="0"/>
    </format>
    <format dxfId="213">
      <pivotArea dataOnly="0" labelOnly="1" outline="0" fieldPosition="0">
        <references count="1">
          <reference field="1" count="0"/>
        </references>
      </pivotArea>
    </format>
    <format dxfId="214">
      <pivotArea dataOnly="0" labelOnly="1" outline="0" fieldPosition="0">
        <references count="1">
          <reference field="1" count="0" defaultSubtotal="1"/>
        </references>
      </pivotArea>
    </format>
    <format dxfId="215">
      <pivotArea dataOnly="0" labelOnly="1" grandCol="1" outline="0" fieldPosition="0"/>
    </format>
    <format dxfId="216">
      <pivotArea dataOnly="0" labelOnly="1" outline="0" fieldPosition="0">
        <references count="2">
          <reference field="0" count="1">
            <x v="5"/>
          </reference>
          <reference field="1" count="0" selected="0"/>
        </references>
      </pivotArea>
    </format>
    <format dxfId="217">
      <pivotArea outline="0" collapsedLevelsAreSubtotals="1" fieldPosition="0"/>
    </format>
    <format dxfId="218">
      <pivotArea field="1" type="button" dataOnly="0" labelOnly="1" outline="0" axis="axisCol" fieldPosition="0"/>
    </format>
    <format dxfId="219">
      <pivotArea field="0" type="button" dataOnly="0" labelOnly="1" outline="0" axis="axisCol" fieldPosition="1"/>
    </format>
    <format dxfId="220">
      <pivotArea type="topRight" dataOnly="0" labelOnly="1" outline="0" fieldPosition="0"/>
    </format>
    <format dxfId="221">
      <pivotArea dataOnly="0" labelOnly="1" outline="0" fieldPosition="0">
        <references count="1">
          <reference field="1" count="0"/>
        </references>
      </pivotArea>
    </format>
    <format dxfId="222">
      <pivotArea dataOnly="0" labelOnly="1" outline="0" fieldPosition="0">
        <references count="1">
          <reference field="1" count="0" defaultSubtotal="1"/>
        </references>
      </pivotArea>
    </format>
    <format dxfId="223">
      <pivotArea dataOnly="0" labelOnly="1" grandCol="1" outline="0" fieldPosition="0"/>
    </format>
    <format dxfId="224">
      <pivotArea dataOnly="0" labelOnly="1" outline="0" fieldPosition="0">
        <references count="2">
          <reference field="0" count="1">
            <x v="5"/>
          </reference>
          <reference field="1" count="0" selected="0"/>
        </references>
      </pivotArea>
    </format>
    <format dxfId="225">
      <pivotArea outline="0" collapsedLevelsAreSubtotals="1" fieldPosition="0"/>
    </format>
    <format dxfId="226">
      <pivotArea field="1" type="button" dataOnly="0" labelOnly="1" outline="0" axis="axisCol" fieldPosition="0"/>
    </format>
    <format dxfId="227">
      <pivotArea field="0" type="button" dataOnly="0" labelOnly="1" outline="0" axis="axisCol" fieldPosition="1"/>
    </format>
    <format dxfId="228">
      <pivotArea type="topRight" dataOnly="0" labelOnly="1" outline="0" fieldPosition="0"/>
    </format>
    <format dxfId="229">
      <pivotArea dataOnly="0" labelOnly="1" outline="0" fieldPosition="0">
        <references count="1">
          <reference field="1" count="0"/>
        </references>
      </pivotArea>
    </format>
    <format dxfId="230">
      <pivotArea dataOnly="0" labelOnly="1" outline="0" fieldPosition="0">
        <references count="1">
          <reference field="1" count="0" defaultSubtotal="1"/>
        </references>
      </pivotArea>
    </format>
    <format dxfId="231">
      <pivotArea dataOnly="0" labelOnly="1" grandCol="1" outline="0" fieldPosition="0"/>
    </format>
    <format dxfId="232">
      <pivotArea dataOnly="0" labelOnly="1" outline="0" fieldPosition="0">
        <references count="2">
          <reference field="0" count="1">
            <x v="5"/>
          </reference>
          <reference field="1" count="0" selected="0"/>
        </references>
      </pivotArea>
    </format>
    <format dxfId="233">
      <pivotArea outline="0" collapsedLevelsAreSubtotals="1" fieldPosition="0"/>
    </format>
    <format dxfId="234">
      <pivotArea field="1" type="button" dataOnly="0" labelOnly="1" outline="0" axis="axisCol" fieldPosition="0"/>
    </format>
    <format dxfId="235">
      <pivotArea field="0" type="button" dataOnly="0" labelOnly="1" outline="0" axis="axisCol" fieldPosition="1"/>
    </format>
    <format dxfId="236">
      <pivotArea type="topRight" dataOnly="0" labelOnly="1" outline="0" fieldPosition="0"/>
    </format>
    <format dxfId="237">
      <pivotArea dataOnly="0" labelOnly="1" outline="0" fieldPosition="0">
        <references count="1">
          <reference field="1" count="0"/>
        </references>
      </pivotArea>
    </format>
    <format dxfId="238">
      <pivotArea dataOnly="0" labelOnly="1" outline="0" fieldPosition="0">
        <references count="1">
          <reference field="1" count="0" defaultSubtotal="1"/>
        </references>
      </pivotArea>
    </format>
    <format dxfId="239">
      <pivotArea dataOnly="0" labelOnly="1" grandCol="1" outline="0" fieldPosition="0"/>
    </format>
    <format dxfId="240">
      <pivotArea dataOnly="0" labelOnly="1" outline="0" fieldPosition="0">
        <references count="2">
          <reference field="0" count="1">
            <x v="5"/>
          </reference>
          <reference field="1" count="0" selected="0"/>
        </references>
      </pivotArea>
    </format>
    <format dxfId="241">
      <pivotArea outline="0" collapsedLevelsAreSubtotals="1" fieldPosition="0"/>
    </format>
    <format dxfId="242">
      <pivotArea field="1" type="button" dataOnly="0" labelOnly="1" outline="0" axis="axisCol" fieldPosition="0"/>
    </format>
    <format dxfId="243">
      <pivotArea field="0" type="button" dataOnly="0" labelOnly="1" outline="0" axis="axisCol" fieldPosition="1"/>
    </format>
    <format dxfId="244">
      <pivotArea type="topRight" dataOnly="0" labelOnly="1" outline="0" fieldPosition="0"/>
    </format>
    <format dxfId="245">
      <pivotArea dataOnly="0" labelOnly="1" outline="0" fieldPosition="0">
        <references count="1">
          <reference field="1" count="0"/>
        </references>
      </pivotArea>
    </format>
    <format dxfId="246">
      <pivotArea dataOnly="0" labelOnly="1" outline="0" fieldPosition="0">
        <references count="1">
          <reference field="1" count="0" defaultSubtotal="1"/>
        </references>
      </pivotArea>
    </format>
    <format dxfId="247">
      <pivotArea dataOnly="0" labelOnly="1" grandCol="1" outline="0" fieldPosition="0"/>
    </format>
    <format dxfId="248">
      <pivotArea dataOnly="0" labelOnly="1" outline="0" fieldPosition="0">
        <references count="2">
          <reference field="0" count="1">
            <x v="5"/>
          </reference>
          <reference field="1" count="0" selected="0"/>
        </references>
      </pivotArea>
    </format>
    <format dxfId="249">
      <pivotArea outline="0" collapsedLevelsAreSubtotals="1" fieldPosition="0"/>
    </format>
    <format dxfId="250">
      <pivotArea field="1" type="button" dataOnly="0" labelOnly="1" outline="0" axis="axisCol" fieldPosition="0"/>
    </format>
    <format dxfId="251">
      <pivotArea field="0" type="button" dataOnly="0" labelOnly="1" outline="0" axis="axisCol" fieldPosition="1"/>
    </format>
    <format dxfId="252">
      <pivotArea type="topRight" dataOnly="0" labelOnly="1" outline="0" fieldPosition="0"/>
    </format>
    <format dxfId="253">
      <pivotArea dataOnly="0" labelOnly="1" outline="0" fieldPosition="0">
        <references count="1">
          <reference field="1" count="0"/>
        </references>
      </pivotArea>
    </format>
    <format dxfId="254">
      <pivotArea dataOnly="0" labelOnly="1" outline="0" fieldPosition="0">
        <references count="1">
          <reference field="1" count="0" defaultSubtotal="1"/>
        </references>
      </pivotArea>
    </format>
    <format dxfId="255">
      <pivotArea dataOnly="0" labelOnly="1" grandCol="1" outline="0" fieldPosition="0"/>
    </format>
    <format dxfId="256">
      <pivotArea dataOnly="0" labelOnly="1" outline="0" fieldPosition="0">
        <references count="2">
          <reference field="0" count="1">
            <x v="5"/>
          </reference>
          <reference field="1" count="0" selected="0"/>
        </references>
      </pivotArea>
    </format>
    <format dxfId="257">
      <pivotArea outline="0" collapsedLevelsAreSubtotals="1" fieldPosition="0"/>
    </format>
    <format dxfId="258">
      <pivotArea field="1" type="button" dataOnly="0" labelOnly="1" outline="0" axis="axisCol" fieldPosition="0"/>
    </format>
    <format dxfId="259">
      <pivotArea field="0" type="button" dataOnly="0" labelOnly="1" outline="0" axis="axisCol" fieldPosition="1"/>
    </format>
    <format dxfId="260">
      <pivotArea type="topRight" dataOnly="0" labelOnly="1" outline="0" fieldPosition="0"/>
    </format>
    <format dxfId="261">
      <pivotArea dataOnly="0" labelOnly="1" outline="0" fieldPosition="0">
        <references count="1">
          <reference field="1" count="0"/>
        </references>
      </pivotArea>
    </format>
    <format dxfId="262">
      <pivotArea dataOnly="0" labelOnly="1" outline="0" fieldPosition="0">
        <references count="1">
          <reference field="1" count="0" defaultSubtotal="1"/>
        </references>
      </pivotArea>
    </format>
    <format dxfId="263">
      <pivotArea dataOnly="0" labelOnly="1" grandCol="1" outline="0" fieldPosition="0"/>
    </format>
    <format dxfId="264">
      <pivotArea dataOnly="0" labelOnly="1" outline="0" fieldPosition="0">
        <references count="2">
          <reference field="0" count="1">
            <x v="5"/>
          </reference>
          <reference field="1" count="0" selected="0"/>
        </references>
      </pivotArea>
    </format>
    <format dxfId="265">
      <pivotArea outline="0" collapsedLevelsAreSubtotals="1" fieldPosition="0"/>
    </format>
    <format dxfId="266">
      <pivotArea field="1" type="button" dataOnly="0" labelOnly="1" outline="0" axis="axisCol" fieldPosition="0"/>
    </format>
    <format dxfId="267">
      <pivotArea field="0" type="button" dataOnly="0" labelOnly="1" outline="0" axis="axisCol" fieldPosition="1"/>
    </format>
    <format dxfId="268">
      <pivotArea type="topRight" dataOnly="0" labelOnly="1" outline="0" fieldPosition="0"/>
    </format>
    <format dxfId="269">
      <pivotArea dataOnly="0" labelOnly="1" outline="0" fieldPosition="0">
        <references count="1">
          <reference field="1" count="0"/>
        </references>
      </pivotArea>
    </format>
    <format dxfId="270">
      <pivotArea dataOnly="0" labelOnly="1" outline="0" fieldPosition="0">
        <references count="1">
          <reference field="1" count="0" defaultSubtotal="1"/>
        </references>
      </pivotArea>
    </format>
    <format dxfId="271">
      <pivotArea dataOnly="0" labelOnly="1" grandCol="1" outline="0" fieldPosition="0"/>
    </format>
    <format dxfId="272">
      <pivotArea dataOnly="0" labelOnly="1" outline="0" fieldPosition="0">
        <references count="2">
          <reference field="0" count="1">
            <x v="5"/>
          </reference>
          <reference field="1" count="0" selected="0"/>
        </references>
      </pivotArea>
    </format>
    <format dxfId="273">
      <pivotArea outline="0" collapsedLevelsAreSubtotals="1" fieldPosition="0"/>
    </format>
    <format dxfId="274">
      <pivotArea field="1" type="button" dataOnly="0" labelOnly="1" outline="0" axis="axisCol" fieldPosition="0"/>
    </format>
    <format dxfId="275">
      <pivotArea field="0" type="button" dataOnly="0" labelOnly="1" outline="0" axis="axisCol" fieldPosition="1"/>
    </format>
    <format dxfId="276">
      <pivotArea type="topRight" dataOnly="0" labelOnly="1" outline="0" fieldPosition="0"/>
    </format>
    <format dxfId="277">
      <pivotArea dataOnly="0" labelOnly="1" outline="0" fieldPosition="0">
        <references count="1">
          <reference field="1" count="0"/>
        </references>
      </pivotArea>
    </format>
    <format dxfId="278">
      <pivotArea dataOnly="0" labelOnly="1" outline="0" fieldPosition="0">
        <references count="1">
          <reference field="1" count="0" defaultSubtotal="1"/>
        </references>
      </pivotArea>
    </format>
    <format dxfId="279">
      <pivotArea dataOnly="0" labelOnly="1" grandCol="1" outline="0" fieldPosition="0"/>
    </format>
    <format dxfId="280">
      <pivotArea dataOnly="0" labelOnly="1" outline="0" fieldPosition="0">
        <references count="2">
          <reference field="0" count="1">
            <x v="5"/>
          </reference>
          <reference field="1" count="0" selected="0"/>
        </references>
      </pivotArea>
    </format>
    <format dxfId="281">
      <pivotArea outline="0" collapsedLevelsAreSubtotals="1" fieldPosition="0"/>
    </format>
    <format dxfId="282">
      <pivotArea field="1" type="button" dataOnly="0" labelOnly="1" outline="0" axis="axisCol" fieldPosition="0"/>
    </format>
    <format dxfId="283">
      <pivotArea field="0" type="button" dataOnly="0" labelOnly="1" outline="0" axis="axisCol" fieldPosition="1"/>
    </format>
    <format dxfId="284">
      <pivotArea type="topRight" dataOnly="0" labelOnly="1" outline="0" fieldPosition="0"/>
    </format>
    <format dxfId="285">
      <pivotArea dataOnly="0" labelOnly="1" outline="0" fieldPosition="0">
        <references count="1">
          <reference field="1" count="0"/>
        </references>
      </pivotArea>
    </format>
    <format dxfId="286">
      <pivotArea dataOnly="0" labelOnly="1" outline="0" fieldPosition="0">
        <references count="1">
          <reference field="1" count="0" defaultSubtotal="1"/>
        </references>
      </pivotArea>
    </format>
    <format dxfId="287">
      <pivotArea dataOnly="0" labelOnly="1" grandCol="1" outline="0" fieldPosition="0"/>
    </format>
    <format dxfId="288">
      <pivotArea dataOnly="0" labelOnly="1" outline="0" fieldPosition="0">
        <references count="2">
          <reference field="0" count="1">
            <x v="16"/>
          </reference>
          <reference field="1" count="0" selected="0"/>
        </references>
      </pivotArea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3A97A-DB98-468D-A361-82EBD38E0F62}" name="Tabela dinâmica4" cacheId="34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J4:M64" firstHeaderRow="1" firstDataRow="3" firstDataCol="1"/>
  <pivotFields count="60">
    <pivotField axis="axisCol" compact="0" outline="0" showAll="0">
      <items count="19">
        <item x="2"/>
        <item x="6"/>
        <item x="13"/>
        <item x="15"/>
        <item x="8"/>
        <item x="9"/>
        <item x="14"/>
        <item x="3"/>
        <item x="4"/>
        <item x="1"/>
        <item x="16"/>
        <item x="7"/>
        <item x="11"/>
        <item x="0"/>
        <item x="17"/>
        <item x="10"/>
        <item x="12"/>
        <item x="5"/>
        <item t="default"/>
      </items>
    </pivotField>
    <pivotField axis="axisCol" compact="0" outline="0" showAll="0">
      <items count="19">
        <item h="1" x="1"/>
        <item h="1" x="8"/>
        <item h="1" x="16"/>
        <item h="1" x="9"/>
        <item h="1" x="5"/>
        <item h="1" x="11"/>
        <item h="1" x="15"/>
        <item h="1" x="4"/>
        <item h="1" x="17"/>
        <item h="1" x="13"/>
        <item h="1" x="0"/>
        <item h="1" x="12"/>
        <item h="1" x="7"/>
        <item h="1" x="2"/>
        <item h="1" x="10"/>
        <item h="1" x="6"/>
        <item h="1" x="3"/>
        <item x="14"/>
        <item t="default"/>
      </items>
    </pivotField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2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</pivotFields>
  <rowFields count="1">
    <field x="-2"/>
  </rowFields>
  <rowItems count="5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  <i i="49">
      <x v="49"/>
    </i>
    <i i="50">
      <x v="50"/>
    </i>
    <i i="51">
      <x v="51"/>
    </i>
    <i i="52">
      <x v="52"/>
    </i>
    <i i="53">
      <x v="53"/>
    </i>
    <i i="54">
      <x v="54"/>
    </i>
    <i i="55">
      <x v="55"/>
    </i>
    <i i="56">
      <x v="56"/>
    </i>
    <i i="57">
      <x v="57"/>
    </i>
  </rowItems>
  <colFields count="2">
    <field x="1"/>
    <field x="0"/>
  </colFields>
  <colItems count="3">
    <i>
      <x v="17"/>
      <x v="6"/>
    </i>
    <i t="default">
      <x v="17"/>
    </i>
    <i t="grand">
      <x/>
    </i>
  </colItems>
  <dataFields count="58">
    <dataField name="Soma de PROJETEIS-PARA-SUPER" fld="2" baseField="0" baseItem="0" numFmtId="164"/>
    <dataField name="Soma de SUPERS-PARA-HIPERCARGA" fld="3" baseField="0" baseItem="0" numFmtId="164"/>
    <dataField name="Soma de DANO-PROJETIL" fld="4" baseField="0" baseItem="0" numFmtId="164"/>
    <dataField name="Soma de TIROS-DADOS-EM-5-SEGUNDOS" fld="5" baseField="0" baseItem="0" numFmtId="164"/>
    <dataField name="Soma de MÉDIA-PROJETEIS-POR-TIRO" fld="6" baseField="0" baseItem="0" numFmtId="164"/>
    <dataField name="Soma de CURTO-ALCANCE-QUANT-PROJETIL-MEDIO" fld="7" baseField="0" baseItem="0" numFmtId="164"/>
    <dataField name="Soma de MEDIO-ALCANCE-QUANT-PROJETIL-MEDIO" fld="8" baseField="0" baseItem="0" numFmtId="164"/>
    <dataField name="Soma de LONGO-ALCANCE-QUANT-PROJETIL-MEDIO" fld="9" baseField="0" baseItem="0" numFmtId="164"/>
    <dataField name="Soma de MTLONGO-ALCANCE-QUANT-PROJETIL-MEDIO" fld="10" baseField="0" baseItem="0" numFmtId="164"/>
    <dataField name="Soma de CARREGAMENTO-SUPER-AO-ACERTAR-EM-PROJETEIS" fld="11" baseField="0" baseItem="0" numFmtId="164"/>
    <dataField name="Soma de CURTO-ALCANCE-DANO-SUPER-MEDIO" fld="12" baseField="0" baseItem="0" numFmtId="164"/>
    <dataField name="Soma de MEDIO-ALCANCE-DANO-SUPER-MEDIO" fld="13" baseField="0" baseItem="0" numFmtId="164"/>
    <dataField name="Soma de LONGO-ALCANCE-DANO-SUPER-MEDIO" fld="14" baseField="0" baseItem="0" numFmtId="164"/>
    <dataField name="Soma de MT-LONGO-ALCANCE-DANO-SUPER-MEDIO" fld="15" baseField="0" baseItem="0" numFmtId="164"/>
    <dataField name="Soma de MÉDIA-DANO-POR-SUPER" fld="16" baseField="0" baseItem="0" numFmtId="164"/>
    <dataField name="Soma de DANO-OCASIONAL" fld="17" baseField="0" baseItem="0" numFmtId="164"/>
    <dataField name="Soma de Durability" fld="18" baseField="0" baseItem="0" numFmtId="2"/>
    <dataField name="Soma de Distância-Ataque" fld="19" baseField="0" baseItem="0" numFmtId="164"/>
    <dataField name="Soma de Botão-de-Fuga" fld="20" baseField="0" baseItem="0" numFmtId="164"/>
    <dataField name="Soma de Ataque-amplo" fld="21" baseField="0" baseItem="0" numFmtId="164"/>
    <dataField name="Soma de FREQUENCIA-DANO-INDIRETO" fld="22" baseField="0" baseItem="0" numFmtId="164"/>
    <dataField name="Soma de NEGACAO-DE-AREA" fld="23" baseField="0" baseItem="0" numFmtId="164"/>
    <dataField name="Soma de MANIPULACAO-DA-POSICAO-DE-INIMIGOS" fld="24" baseField="0" baseItem="0" numFmtId="164"/>
    <dataField name="Soma de ANDA-SOBRE-AGUA" fld="25" baseField="0" baseItem="0" numFmtId="164"/>
    <dataField name="Soma de COMBATER-INIMIGOS-SOBRE-AGUA" fld="26" baseField="0" baseItem="0" numFmtId="164"/>
    <dataField name="Soma de POTENCIAL-DESTRUIÇÃO-DE-MUROS" fld="27" baseField="0" baseItem="0" numFmtId="164"/>
    <dataField name="Soma de POTENCIAL-DESTRUIÇÃO-DE-MOITAS" fld="28" baseField="0" baseItem="0" numFmtId="164"/>
    <dataField name="Soma de POTENCIAL-DE-CRIACAO-DE-COVER" fld="29" baseField="0" baseItem="0" numFmtId="164"/>
    <dataField name="Soma de VELOCIDADE-MOVIMENTO" fld="30" baseField="0" baseItem="0" numFmtId="164"/>
    <dataField name="Soma de FORÇA-ATK-SURP" fld="31" baseField="0" baseItem="0" numFmtId="164"/>
    <dataField name="Soma de Ataque-Surpresa" fld="32" baseField="0" baseItem="0" numFmtId="164"/>
    <dataField name="Soma de FREQUÊNCIA-GERAÇÃO-DE-PETS" fld="33" baseField="0" baseItem="0" numFmtId="164"/>
    <dataField name="Soma de ACÚMULO-PETS" fld="34" baseField="0" baseItem="0" numFmtId="164"/>
    <dataField name="Soma de VIDA-DETERIORÁVEL-PETS" fld="35" baseField="0" baseItem="0" numFmtId="164"/>
    <dataField name="Soma de RESISTÊNCIA-PETS" fld="36" baseField="0" baseItem="0" numFmtId="164"/>
    <dataField name="Soma de DANO-PETS" fld="37" baseField="0" baseItem="0" numFmtId="164"/>
    <dataField name="Soma de ALCANCE-PETS" fld="38" baseField="0" baseItem="0" numFmtId="164"/>
    <dataField name="Soma de VELOCIDADE-PETS" fld="39" baseField="0" baseItem="0" numFmtId="164"/>
    <dataField name="Soma de PROXIMIDADE-PETS" fld="40" baseField="0" baseItem="0" numFmtId="164"/>
    <dataField name="Soma de DANO-AUMENTADO-QUANDO-AGRUPADO" fld="41" baseField="0" baseItem="0" numFmtId="164"/>
    <dataField name="Soma de CIRCUSNTANCIABILIDADE" fld="42" baseField="0" baseItem="0" numFmtId="164"/>
    <dataField name="Soma de HP-SUPORTE" fld="43" baseField="0" baseItem="0" numFmtId="164"/>
    <dataField name="Soma de HP-ENFRAQUECIMENTO" fld="44" baseField="0" baseItem="0" numFmtId="164"/>
    <dataField name="Soma de ESCUDO-SUPORTE" fld="49" baseField="0" baseItem="0" numFmtId="164"/>
    <dataField name="Soma de DANO-SUPORTE" fld="45" baseField="0" baseItem="0" numFmtId="164"/>
    <dataField name="Soma de DANO-ENFRAQUECIMENTO" fld="46" baseField="0" baseItem="0" numFmtId="164"/>
    <dataField name="Soma de SPEED-SUPORTE" fld="47" baseField="0" baseItem="0" numFmtId="164"/>
    <dataField name="Soma de INVISIBILIDADE-SUPORTE" fld="48" baseField="0" baseItem="0" numFmtId="164"/>
    <dataField name="Soma de POSICIONAMENTO-SUPORTE" fld="50" baseField="0" baseItem="0" numFmtId="164"/>
    <dataField name="Soma de VENENO-DEBUFF" fld="51" baseField="0" baseItem="0" numFmtId="164"/>
    <dataField name="Soma de COUNTER-VENENO-DEBUFF" fld="52" baseField="0" baseItem="0" numFmtId="164"/>
    <dataField name="Soma de STUN-DEBUFF" fld="55" baseField="0" baseItem="0" numFmtId="164"/>
    <dataField name="Soma de COUNTER-STUN-DEBUFF" fld="56" baseField="0" baseItem="0" numFmtId="164"/>
    <dataField name="Soma de LENTIDAO-DEBUFF" fld="53" baseField="0" baseItem="0" numFmtId="164"/>
    <dataField name="Soma de COUNTER-LENTIDAO-DEBUFF" fld="54" baseField="0" baseItem="0" numFmtId="164"/>
    <dataField name="Soma de BLOQUEIO-DE-INIMIGOS" fld="59" baseField="0" baseItem="0" numFmtId="164"/>
    <dataField name="Soma de CANCELAMENTO-ATAQUES" fld="57" baseField="0" baseItem="0" numFmtId="164"/>
    <dataField name="Soma de COUNTER-CANCELAMENTO-ATAQUES" fld="58" baseField="0" baseItem="0" numFmtId="164"/>
  </dataFields>
  <formats count="80">
    <format dxfId="129">
      <pivotArea outline="0" collapsedLevelsAreSubtotals="1" fieldPosition="0"/>
    </format>
    <format dxfId="130">
      <pivotArea field="1" type="button" dataOnly="0" labelOnly="1" outline="0" axis="axisCol" fieldPosition="0"/>
    </format>
    <format dxfId="131">
      <pivotArea field="0" type="button" dataOnly="0" labelOnly="1" outline="0" axis="axisCol" fieldPosition="1"/>
    </format>
    <format dxfId="132">
      <pivotArea type="topRight" dataOnly="0" labelOnly="1" outline="0" fieldPosition="0"/>
    </format>
    <format dxfId="133">
      <pivotArea dataOnly="0" labelOnly="1" outline="0" fieldPosition="0">
        <references count="1">
          <reference field="1" count="0"/>
        </references>
      </pivotArea>
    </format>
    <format dxfId="134">
      <pivotArea dataOnly="0" labelOnly="1" outline="0" fieldPosition="0">
        <references count="1">
          <reference field="1" count="0" defaultSubtotal="1"/>
        </references>
      </pivotArea>
    </format>
    <format dxfId="135">
      <pivotArea dataOnly="0" labelOnly="1" grandCol="1" outline="0" fieldPosition="0"/>
    </format>
    <format dxfId="136">
      <pivotArea dataOnly="0" labelOnly="1" outline="0" fieldPosition="0">
        <references count="2">
          <reference field="0" count="1">
            <x v="9"/>
          </reference>
          <reference field="1" count="0" selected="0"/>
        </references>
      </pivotArea>
    </format>
    <format dxfId="137">
      <pivotArea outline="0" collapsedLevelsAreSubtotals="1" fieldPosition="0"/>
    </format>
    <format dxfId="138">
      <pivotArea field="1" type="button" dataOnly="0" labelOnly="1" outline="0" axis="axisCol" fieldPosition="0"/>
    </format>
    <format dxfId="139">
      <pivotArea field="0" type="button" dataOnly="0" labelOnly="1" outline="0" axis="axisCol" fieldPosition="1"/>
    </format>
    <format dxfId="140">
      <pivotArea type="topRight" dataOnly="0" labelOnly="1" outline="0" fieldPosition="0"/>
    </format>
    <format dxfId="141">
      <pivotArea dataOnly="0" labelOnly="1" outline="0" fieldPosition="0">
        <references count="1">
          <reference field="1" count="0"/>
        </references>
      </pivotArea>
    </format>
    <format dxfId="142">
      <pivotArea dataOnly="0" labelOnly="1" outline="0" fieldPosition="0">
        <references count="1">
          <reference field="1" count="0" defaultSubtotal="1"/>
        </references>
      </pivotArea>
    </format>
    <format dxfId="143">
      <pivotArea dataOnly="0" labelOnly="1" grandCol="1" outline="0" fieldPosition="0"/>
    </format>
    <format dxfId="144">
      <pivotArea dataOnly="0" labelOnly="1" outline="0" fieldPosition="0">
        <references count="2">
          <reference field="0" count="1">
            <x v="9"/>
          </reference>
          <reference field="1" count="0" selected="0"/>
        </references>
      </pivotArea>
    </format>
    <format dxfId="145">
      <pivotArea outline="0" collapsedLevelsAreSubtotals="1" fieldPosition="0"/>
    </format>
    <format dxfId="146">
      <pivotArea field="1" type="button" dataOnly="0" labelOnly="1" outline="0" axis="axisCol" fieldPosition="0"/>
    </format>
    <format dxfId="147">
      <pivotArea field="0" type="button" dataOnly="0" labelOnly="1" outline="0" axis="axisCol" fieldPosition="1"/>
    </format>
    <format dxfId="148">
      <pivotArea type="topRight" dataOnly="0" labelOnly="1" outline="0" fieldPosition="0"/>
    </format>
    <format dxfId="149">
      <pivotArea dataOnly="0" labelOnly="1" outline="0" fieldPosition="0">
        <references count="1">
          <reference field="1" count="0"/>
        </references>
      </pivotArea>
    </format>
    <format dxfId="150">
      <pivotArea dataOnly="0" labelOnly="1" outline="0" fieldPosition="0">
        <references count="1">
          <reference field="1" count="0" defaultSubtotal="1"/>
        </references>
      </pivotArea>
    </format>
    <format dxfId="151">
      <pivotArea dataOnly="0" labelOnly="1" grandCol="1" outline="0" fieldPosition="0"/>
    </format>
    <format dxfId="152">
      <pivotArea dataOnly="0" labelOnly="1" outline="0" fieldPosition="0">
        <references count="2">
          <reference field="0" count="1">
            <x v="9"/>
          </reference>
          <reference field="1" count="0" selected="0"/>
        </references>
      </pivotArea>
    </format>
    <format dxfId="153">
      <pivotArea outline="0" collapsedLevelsAreSubtotals="1" fieldPosition="0"/>
    </format>
    <format dxfId="154">
      <pivotArea field="1" type="button" dataOnly="0" labelOnly="1" outline="0" axis="axisCol" fieldPosition="0"/>
    </format>
    <format dxfId="155">
      <pivotArea field="0" type="button" dataOnly="0" labelOnly="1" outline="0" axis="axisCol" fieldPosition="1"/>
    </format>
    <format dxfId="156">
      <pivotArea type="topRight" dataOnly="0" labelOnly="1" outline="0" fieldPosition="0"/>
    </format>
    <format dxfId="157">
      <pivotArea dataOnly="0" labelOnly="1" outline="0" fieldPosition="0">
        <references count="1">
          <reference field="1" count="0"/>
        </references>
      </pivotArea>
    </format>
    <format dxfId="158">
      <pivotArea dataOnly="0" labelOnly="1" outline="0" fieldPosition="0">
        <references count="1">
          <reference field="1" count="0" defaultSubtotal="1"/>
        </references>
      </pivotArea>
    </format>
    <format dxfId="159">
      <pivotArea dataOnly="0" labelOnly="1" grandCol="1" outline="0" fieldPosition="0"/>
    </format>
    <format dxfId="160">
      <pivotArea dataOnly="0" labelOnly="1" outline="0" fieldPosition="0">
        <references count="2">
          <reference field="0" count="1">
            <x v="9"/>
          </reference>
          <reference field="1" count="0" selected="0"/>
        </references>
      </pivotArea>
    </format>
    <format dxfId="161">
      <pivotArea outline="0" collapsedLevelsAreSubtotals="1" fieldPosition="0"/>
    </format>
    <format dxfId="162">
      <pivotArea field="1" type="button" dataOnly="0" labelOnly="1" outline="0" axis="axisCol" fieldPosition="0"/>
    </format>
    <format dxfId="163">
      <pivotArea field="0" type="button" dataOnly="0" labelOnly="1" outline="0" axis="axisCol" fieldPosition="1"/>
    </format>
    <format dxfId="164">
      <pivotArea type="topRight" dataOnly="0" labelOnly="1" outline="0" fieldPosition="0"/>
    </format>
    <format dxfId="165">
      <pivotArea dataOnly="0" labelOnly="1" outline="0" fieldPosition="0">
        <references count="1">
          <reference field="1" count="0"/>
        </references>
      </pivotArea>
    </format>
    <format dxfId="166">
      <pivotArea dataOnly="0" labelOnly="1" outline="0" fieldPosition="0">
        <references count="1">
          <reference field="1" count="0" defaultSubtotal="1"/>
        </references>
      </pivotArea>
    </format>
    <format dxfId="167">
      <pivotArea dataOnly="0" labelOnly="1" grandCol="1" outline="0" fieldPosition="0"/>
    </format>
    <format dxfId="168">
      <pivotArea dataOnly="0" labelOnly="1" outline="0" fieldPosition="0">
        <references count="2">
          <reference field="0" count="1">
            <x v="9"/>
          </reference>
          <reference field="1" count="0" selected="0"/>
        </references>
      </pivotArea>
    </format>
    <format dxfId="169">
      <pivotArea outline="0" collapsedLevelsAreSubtotals="1" fieldPosition="0"/>
    </format>
    <format dxfId="170">
      <pivotArea field="1" type="button" dataOnly="0" labelOnly="1" outline="0" axis="axisCol" fieldPosition="0"/>
    </format>
    <format dxfId="171">
      <pivotArea field="0" type="button" dataOnly="0" labelOnly="1" outline="0" axis="axisCol" fieldPosition="1"/>
    </format>
    <format dxfId="172">
      <pivotArea type="topRight" dataOnly="0" labelOnly="1" outline="0" fieldPosition="0"/>
    </format>
    <format dxfId="173">
      <pivotArea dataOnly="0" labelOnly="1" outline="0" fieldPosition="0">
        <references count="1">
          <reference field="1" count="0"/>
        </references>
      </pivotArea>
    </format>
    <format dxfId="174">
      <pivotArea dataOnly="0" labelOnly="1" outline="0" fieldPosition="0">
        <references count="1">
          <reference field="1" count="0" defaultSubtotal="1"/>
        </references>
      </pivotArea>
    </format>
    <format dxfId="175">
      <pivotArea dataOnly="0" labelOnly="1" grandCol="1" outline="0" fieldPosition="0"/>
    </format>
    <format dxfId="176">
      <pivotArea dataOnly="0" labelOnly="1" outline="0" fieldPosition="0">
        <references count="2">
          <reference field="0" count="1">
            <x v="9"/>
          </reference>
          <reference field="1" count="0" selected="0"/>
        </references>
      </pivotArea>
    </format>
    <format dxfId="177">
      <pivotArea outline="0" collapsedLevelsAreSubtotals="1" fieldPosition="0"/>
    </format>
    <format dxfId="178">
      <pivotArea field="1" type="button" dataOnly="0" labelOnly="1" outline="0" axis="axisCol" fieldPosition="0"/>
    </format>
    <format dxfId="179">
      <pivotArea field="0" type="button" dataOnly="0" labelOnly="1" outline="0" axis="axisCol" fieldPosition="1"/>
    </format>
    <format dxfId="180">
      <pivotArea type="topRight" dataOnly="0" labelOnly="1" outline="0" fieldPosition="0"/>
    </format>
    <format dxfId="181">
      <pivotArea dataOnly="0" labelOnly="1" outline="0" fieldPosition="0">
        <references count="1">
          <reference field="1" count="0"/>
        </references>
      </pivotArea>
    </format>
    <format dxfId="182">
      <pivotArea dataOnly="0" labelOnly="1" outline="0" fieldPosition="0">
        <references count="1">
          <reference field="1" count="0" defaultSubtotal="1"/>
        </references>
      </pivotArea>
    </format>
    <format dxfId="183">
      <pivotArea dataOnly="0" labelOnly="1" grandCol="1" outline="0" fieldPosition="0"/>
    </format>
    <format dxfId="184">
      <pivotArea dataOnly="0" labelOnly="1" outline="0" fieldPosition="0">
        <references count="2">
          <reference field="0" count="1">
            <x v="9"/>
          </reference>
          <reference field="1" count="0" selected="0"/>
        </references>
      </pivotArea>
    </format>
    <format dxfId="185">
      <pivotArea outline="0" collapsedLevelsAreSubtotals="1" fieldPosition="0"/>
    </format>
    <format dxfId="186">
      <pivotArea field="1" type="button" dataOnly="0" labelOnly="1" outline="0" axis="axisCol" fieldPosition="0"/>
    </format>
    <format dxfId="187">
      <pivotArea field="0" type="button" dataOnly="0" labelOnly="1" outline="0" axis="axisCol" fieldPosition="1"/>
    </format>
    <format dxfId="188">
      <pivotArea type="topRight" dataOnly="0" labelOnly="1" outline="0" fieldPosition="0"/>
    </format>
    <format dxfId="189">
      <pivotArea dataOnly="0" labelOnly="1" outline="0" fieldPosition="0">
        <references count="1">
          <reference field="1" count="0"/>
        </references>
      </pivotArea>
    </format>
    <format dxfId="190">
      <pivotArea dataOnly="0" labelOnly="1" outline="0" fieldPosition="0">
        <references count="1">
          <reference field="1" count="0" defaultSubtotal="1"/>
        </references>
      </pivotArea>
    </format>
    <format dxfId="191">
      <pivotArea dataOnly="0" labelOnly="1" grandCol="1" outline="0" fieldPosition="0"/>
    </format>
    <format dxfId="192">
      <pivotArea dataOnly="0" labelOnly="1" outline="0" fieldPosition="0">
        <references count="2">
          <reference field="0" count="1">
            <x v="9"/>
          </reference>
          <reference field="1" count="0" selected="0"/>
        </references>
      </pivotArea>
    </format>
    <format dxfId="193">
      <pivotArea outline="0" collapsedLevelsAreSubtotals="1" fieldPosition="0"/>
    </format>
    <format dxfId="194">
      <pivotArea field="1" type="button" dataOnly="0" labelOnly="1" outline="0" axis="axisCol" fieldPosition="0"/>
    </format>
    <format dxfId="195">
      <pivotArea field="0" type="button" dataOnly="0" labelOnly="1" outline="0" axis="axisCol" fieldPosition="1"/>
    </format>
    <format dxfId="196">
      <pivotArea type="topRight" dataOnly="0" labelOnly="1" outline="0" fieldPosition="0"/>
    </format>
    <format dxfId="197">
      <pivotArea dataOnly="0" labelOnly="1" outline="0" fieldPosition="0">
        <references count="1">
          <reference field="1" count="0"/>
        </references>
      </pivotArea>
    </format>
    <format dxfId="198">
      <pivotArea dataOnly="0" labelOnly="1" outline="0" fieldPosition="0">
        <references count="1">
          <reference field="1" count="0" defaultSubtotal="1"/>
        </references>
      </pivotArea>
    </format>
    <format dxfId="199">
      <pivotArea dataOnly="0" labelOnly="1" grandCol="1" outline="0" fieldPosition="0"/>
    </format>
    <format dxfId="200">
      <pivotArea dataOnly="0" labelOnly="1" outline="0" fieldPosition="0">
        <references count="2">
          <reference field="0" count="1">
            <x v="9"/>
          </reference>
          <reference field="1" count="0" selected="0"/>
        </references>
      </pivotArea>
    </format>
    <format dxfId="201">
      <pivotArea outline="0" collapsedLevelsAreSubtotals="1" fieldPosition="0"/>
    </format>
    <format dxfId="202">
      <pivotArea field="1" type="button" dataOnly="0" labelOnly="1" outline="0" axis="axisCol" fieldPosition="0"/>
    </format>
    <format dxfId="203">
      <pivotArea field="0" type="button" dataOnly="0" labelOnly="1" outline="0" axis="axisCol" fieldPosition="1"/>
    </format>
    <format dxfId="204">
      <pivotArea type="topRight" dataOnly="0" labelOnly="1" outline="0" fieldPosition="0"/>
    </format>
    <format dxfId="205">
      <pivotArea dataOnly="0" labelOnly="1" outline="0" fieldPosition="0">
        <references count="1">
          <reference field="1" count="0"/>
        </references>
      </pivotArea>
    </format>
    <format dxfId="206">
      <pivotArea dataOnly="0" labelOnly="1" outline="0" fieldPosition="0">
        <references count="1">
          <reference field="1" count="0" defaultSubtotal="1"/>
        </references>
      </pivotArea>
    </format>
    <format dxfId="207">
      <pivotArea dataOnly="0" labelOnly="1" grandCol="1" outline="0" fieldPosition="0"/>
    </format>
    <format dxfId="208">
      <pivotArea dataOnly="0" labelOnly="1" outline="0" fieldPosition="0">
        <references count="2">
          <reference field="0" count="1">
            <x v="10"/>
          </reference>
          <reference field="1" count="0" selected="0"/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922FA-2CF3-4034-888D-7EE2F785F282}" name="Tabela dinâmica3" cacheId="35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E4:H64" firstHeaderRow="1" firstDataRow="3" firstDataCol="1"/>
  <pivotFields count="60">
    <pivotField axis="axisCol" compact="0" outline="0" showAll="0">
      <items count="19">
        <item x="9"/>
        <item x="4"/>
        <item x="13"/>
        <item x="6"/>
        <item x="8"/>
        <item x="16"/>
        <item x="14"/>
        <item x="2"/>
        <item x="17"/>
        <item x="11"/>
        <item x="3"/>
        <item x="12"/>
        <item x="10"/>
        <item x="5"/>
        <item x="1"/>
        <item x="7"/>
        <item x="15"/>
        <item x="0"/>
        <item t="default"/>
      </items>
    </pivotField>
    <pivotField axis="axisCol" compact="0" outline="0" showAll="0">
      <items count="19">
        <item h="1" x="1"/>
        <item h="1" x="8"/>
        <item h="1" x="16"/>
        <item h="1" x="9"/>
        <item h="1" x="5"/>
        <item h="1" x="11"/>
        <item h="1" x="15"/>
        <item h="1" x="4"/>
        <item h="1" x="17"/>
        <item h="1" x="13"/>
        <item h="1" x="0"/>
        <item h="1" x="12"/>
        <item h="1" x="7"/>
        <item h="1" x="2"/>
        <item h="1" x="10"/>
        <item h="1" x="6"/>
        <item h="1" x="3"/>
        <item x="14"/>
        <item t="default"/>
      </items>
    </pivotField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2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</pivotFields>
  <rowFields count="1">
    <field x="-2"/>
  </rowFields>
  <rowItems count="5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  <i i="49">
      <x v="49"/>
    </i>
    <i i="50">
      <x v="50"/>
    </i>
    <i i="51">
      <x v="51"/>
    </i>
    <i i="52">
      <x v="52"/>
    </i>
    <i i="53">
      <x v="53"/>
    </i>
    <i i="54">
      <x v="54"/>
    </i>
    <i i="55">
      <x v="55"/>
    </i>
    <i i="56">
      <x v="56"/>
    </i>
    <i i="57">
      <x v="57"/>
    </i>
  </rowItems>
  <colFields count="2">
    <field x="1"/>
    <field x="0"/>
  </colFields>
  <colItems count="3">
    <i>
      <x v="17"/>
      <x v="6"/>
    </i>
    <i t="default">
      <x v="17"/>
    </i>
    <i t="grand">
      <x/>
    </i>
  </colItems>
  <dataFields count="58">
    <dataField name="Soma de PROJETEIS-PARA-SUPER" fld="2" baseField="0" baseItem="0" numFmtId="164"/>
    <dataField name="Soma de SUPERS-PARA-HIPERCARGA" fld="3" baseField="0" baseItem="0" numFmtId="164"/>
    <dataField name="Soma de DANO-PROJETIL" fld="4" baseField="0" baseItem="0" numFmtId="164"/>
    <dataField name="Soma de TIROS-DADOS-EM-5-SEGUNDOS" fld="5" baseField="0" baseItem="0" numFmtId="164"/>
    <dataField name="Soma de MÉDIA-PROJETEIS-POR-TIRO" fld="6" baseField="0" baseItem="0" numFmtId="164"/>
    <dataField name="Soma de CURTO-ALCANCE-QUANT-PROJETIL-MEDIO" fld="7" baseField="0" baseItem="0" numFmtId="164"/>
    <dataField name="Soma de MEDIO-ALCANCE-QUANT-PROJETIL-MEDIO" fld="8" baseField="0" baseItem="0" numFmtId="164"/>
    <dataField name="Soma de LONGO-ALCANCE-QUANT-PROJETIL-MEDIO" fld="9" baseField="0" baseItem="0" numFmtId="164"/>
    <dataField name="Soma de MTLONGO-ALCANCE-QUANT-PROJETIL-MEDIO" fld="10" baseField="0" baseItem="0" numFmtId="164"/>
    <dataField name="Soma de CARREGAMENTO-SUPER-AO-ACERTAR-EM-PROJETEIS" fld="11" baseField="0" baseItem="0" numFmtId="164"/>
    <dataField name="Soma de CURTO-ALCANCE-DANO-SUPER-MEDIO" fld="12" baseField="0" baseItem="0" numFmtId="164"/>
    <dataField name="Soma de MEDIO-ALCANCE-DANO-SUPER-MEDIO" fld="13" baseField="0" baseItem="0" numFmtId="164"/>
    <dataField name="Soma de LONGO-ALCANCE-DANO-SUPER-MEDIO" fld="14" baseField="0" baseItem="0" numFmtId="164"/>
    <dataField name="Soma de MT-LONGO-ALCANCE-DANO-SUPER-MEDIO" fld="15" baseField="0" baseItem="0" numFmtId="164"/>
    <dataField name="Soma de MÉDIA-DANO-POR-SUPER" fld="16" baseField="0" baseItem="0" numFmtId="164"/>
    <dataField name="Soma de DANO-OCASIONAL" fld="17" baseField="0" baseItem="0" numFmtId="164"/>
    <dataField name="Soma de Durability" fld="18" baseField="0" baseItem="0" numFmtId="2"/>
    <dataField name="Soma de Distância-Ataque" fld="19" baseField="0" baseItem="0" numFmtId="164"/>
    <dataField name="Soma de Botão-de-Fuga" fld="20" baseField="0" baseItem="0" numFmtId="164"/>
    <dataField name="Soma de Ataque-amplo" fld="21" baseField="0" baseItem="0" numFmtId="164"/>
    <dataField name="Soma de FREQUENCIA-DANO-INDIRETO" fld="22" baseField="0" baseItem="0" numFmtId="164"/>
    <dataField name="Soma de NEGACAO-DE-AREA" fld="23" baseField="0" baseItem="0" numFmtId="164"/>
    <dataField name="Soma de MANIPULACAO-DA-POSICAO-DE-INIMIGOS" fld="24" baseField="0" baseItem="0" numFmtId="164"/>
    <dataField name="Soma de ANDA-SOBRE-AGUA" fld="25" baseField="0" baseItem="0" numFmtId="164"/>
    <dataField name="Soma de COMBATER-INIMIGOS-SOBRE-AGUA" fld="26" baseField="0" baseItem="0" numFmtId="164"/>
    <dataField name="Soma de POTENCIAL-DESTRUIÇÃO-DE-MUROS" fld="27" baseField="0" baseItem="0" numFmtId="164"/>
    <dataField name="Soma de POTENCIAL-DESTRUIÇÃO-DE-MOITAS" fld="28" baseField="0" baseItem="0" numFmtId="164"/>
    <dataField name="Soma de POTENCIAL-DE-CRIACAO-DE-COVER" fld="29" baseField="0" baseItem="0" numFmtId="164"/>
    <dataField name="Soma de VELOCIDADE-MOVIMENTO" fld="30" baseField="0" baseItem="0" numFmtId="164"/>
    <dataField name="Soma de FORÇA-ATK-SURP" fld="31" baseField="0" baseItem="0" numFmtId="164"/>
    <dataField name="Soma de Ataque-Surpresa" fld="32" baseField="0" baseItem="0" numFmtId="164"/>
    <dataField name="Soma de FREQUÊNCIA-GERAÇÃO-DE-PETS" fld="33" baseField="0" baseItem="0" numFmtId="164"/>
    <dataField name="Soma de ACÚMULO-PETS" fld="34" baseField="0" baseItem="0" numFmtId="164"/>
    <dataField name="Soma de VIDA-DETERIORÁVEL-PETS" fld="35" baseField="0" baseItem="0" numFmtId="164"/>
    <dataField name="Soma de RESISTÊNCIA-PETS" fld="36" baseField="0" baseItem="0" numFmtId="164"/>
    <dataField name="Soma de DANO-PETS" fld="37" baseField="0" baseItem="0" numFmtId="164"/>
    <dataField name="Soma de ALCANCE-PETS" fld="38" baseField="0" baseItem="0" numFmtId="164"/>
    <dataField name="Soma de VELOCIDADE-PETS" fld="39" baseField="0" baseItem="0" numFmtId="164"/>
    <dataField name="Soma de PROXIMIDADE-PETS" fld="40" baseField="0" baseItem="0" numFmtId="164"/>
    <dataField name="Soma de DANO-AUMENTADO-QUANDO-AGRUPADO" fld="41" baseField="0" baseItem="0" numFmtId="164"/>
    <dataField name="Soma de CIRCUNSTANCIABILIDADE" fld="42" baseField="0" baseItem="0" numFmtId="164"/>
    <dataField name="Soma de HP-SUPORTE" fld="43" baseField="0" baseItem="0" numFmtId="164"/>
    <dataField name="Soma de HP-ENFRAQUECIMENTO" fld="44" baseField="0" baseItem="0" numFmtId="164"/>
    <dataField name="Soma de ESCUDO-SUPORTE" fld="49" baseField="0" baseItem="0" numFmtId="164"/>
    <dataField name="Soma de DANO-SUPORTE" fld="45" baseField="0" baseItem="0" numFmtId="164"/>
    <dataField name="Soma de DANO-ENFRAQUECIMENTO" fld="46" baseField="0" baseItem="0" numFmtId="164"/>
    <dataField name="Soma de SPEED-SUPORTE" fld="47" baseField="0" baseItem="0" numFmtId="164"/>
    <dataField name="Soma de INVISIBILIDADE-SUPORTE" fld="48" baseField="0" baseItem="0" numFmtId="164"/>
    <dataField name="Soma de POSICIONAMENTO-SUPORTE" fld="50" baseField="0" baseItem="0" numFmtId="164"/>
    <dataField name="Soma de VENENO-DEBUFF" fld="51" baseField="0" baseItem="0" numFmtId="164"/>
    <dataField name="Soma de COUNTER-VENENO-DEBUFF" fld="52" baseField="0" baseItem="0" numFmtId="164"/>
    <dataField name="Soma de STUN-DEBUFF" fld="55" baseField="0" baseItem="0" numFmtId="164"/>
    <dataField name="Soma de COUNTER-STUN-DEBUFF" fld="56" baseField="0" baseItem="0" numFmtId="164"/>
    <dataField name="Soma de LENTIDAO-DEBUFF" fld="53" baseField="0" baseItem="0" numFmtId="164"/>
    <dataField name="Soma de COUNTER-LENTIDAO-DEBUFF" fld="54" baseField="0" baseItem="0" numFmtId="164"/>
    <dataField name="Soma de BLOQUEIO-DE-INIMIGOS" fld="59" baseField="0" baseItem="0" numFmtId="164"/>
    <dataField name="Soma de CANCELAMENTO-ATAQUES" fld="57" baseField="0" baseItem="0" numFmtId="164"/>
    <dataField name="Soma de COUNTER-CANCELAMENTO-ATAQUES" fld="58" baseField="0" baseItem="0" numFmtId="164"/>
  </dataFields>
  <formats count="80">
    <format dxfId="49">
      <pivotArea outline="0" collapsedLevelsAreSubtotals="1" fieldPosition="0"/>
    </format>
    <format dxfId="50">
      <pivotArea field="1" type="button" dataOnly="0" labelOnly="1" outline="0" axis="axisCol" fieldPosition="0"/>
    </format>
    <format dxfId="51">
      <pivotArea field="0" type="button" dataOnly="0" labelOnly="1" outline="0" axis="axisCol" fieldPosition="1"/>
    </format>
    <format dxfId="52">
      <pivotArea type="topRight" dataOnly="0" labelOnly="1" outline="0" fieldPosition="0"/>
    </format>
    <format dxfId="53">
      <pivotArea dataOnly="0" labelOnly="1" outline="0" fieldPosition="0">
        <references count="1">
          <reference field="1" count="0"/>
        </references>
      </pivotArea>
    </format>
    <format dxfId="54">
      <pivotArea dataOnly="0" labelOnly="1" outline="0" fieldPosition="0">
        <references count="1">
          <reference field="1" count="0" defaultSubtotal="1"/>
        </references>
      </pivotArea>
    </format>
    <format dxfId="55">
      <pivotArea dataOnly="0" labelOnly="1" grandCol="1" outline="0" fieldPosition="0"/>
    </format>
    <format dxfId="56">
      <pivotArea dataOnly="0" labelOnly="1" outline="0" fieldPosition="0">
        <references count="2">
          <reference field="0" count="1">
            <x v="14"/>
          </reference>
          <reference field="1" count="0" selected="0"/>
        </references>
      </pivotArea>
    </format>
    <format dxfId="57">
      <pivotArea outline="0" collapsedLevelsAreSubtotals="1" fieldPosition="0"/>
    </format>
    <format dxfId="58">
      <pivotArea field="1" type="button" dataOnly="0" labelOnly="1" outline="0" axis="axisCol" fieldPosition="0"/>
    </format>
    <format dxfId="59">
      <pivotArea field="0" type="button" dataOnly="0" labelOnly="1" outline="0" axis="axisCol" fieldPosition="1"/>
    </format>
    <format dxfId="60">
      <pivotArea type="topRight" dataOnly="0" labelOnly="1" outline="0" fieldPosition="0"/>
    </format>
    <format dxfId="61">
      <pivotArea dataOnly="0" labelOnly="1" outline="0" fieldPosition="0">
        <references count="1">
          <reference field="1" count="0"/>
        </references>
      </pivotArea>
    </format>
    <format dxfId="62">
      <pivotArea dataOnly="0" labelOnly="1" outline="0" fieldPosition="0">
        <references count="1">
          <reference field="1" count="0" defaultSubtotal="1"/>
        </references>
      </pivotArea>
    </format>
    <format dxfId="63">
      <pivotArea dataOnly="0" labelOnly="1" grandCol="1" outline="0" fieldPosition="0"/>
    </format>
    <format dxfId="64">
      <pivotArea dataOnly="0" labelOnly="1" outline="0" fieldPosition="0">
        <references count="2">
          <reference field="0" count="1">
            <x v="14"/>
          </reference>
          <reference field="1" count="0" selected="0"/>
        </references>
      </pivotArea>
    </format>
    <format dxfId="65">
      <pivotArea outline="0" collapsedLevelsAreSubtotals="1" fieldPosition="0"/>
    </format>
    <format dxfId="66">
      <pivotArea field="1" type="button" dataOnly="0" labelOnly="1" outline="0" axis="axisCol" fieldPosition="0"/>
    </format>
    <format dxfId="67">
      <pivotArea field="0" type="button" dataOnly="0" labelOnly="1" outline="0" axis="axisCol" fieldPosition="1"/>
    </format>
    <format dxfId="68">
      <pivotArea type="topRight" dataOnly="0" labelOnly="1" outline="0" fieldPosition="0"/>
    </format>
    <format dxfId="69">
      <pivotArea dataOnly="0" labelOnly="1" outline="0" fieldPosition="0">
        <references count="1">
          <reference field="1" count="0"/>
        </references>
      </pivotArea>
    </format>
    <format dxfId="70">
      <pivotArea dataOnly="0" labelOnly="1" outline="0" fieldPosition="0">
        <references count="1">
          <reference field="1" count="0" defaultSubtotal="1"/>
        </references>
      </pivotArea>
    </format>
    <format dxfId="71">
      <pivotArea dataOnly="0" labelOnly="1" grandCol="1" outline="0" fieldPosition="0"/>
    </format>
    <format dxfId="72">
      <pivotArea dataOnly="0" labelOnly="1" outline="0" fieldPosition="0">
        <references count="2">
          <reference field="0" count="1">
            <x v="14"/>
          </reference>
          <reference field="1" count="0" selected="0"/>
        </references>
      </pivotArea>
    </format>
    <format dxfId="73">
      <pivotArea outline="0" collapsedLevelsAreSubtotals="1" fieldPosition="0"/>
    </format>
    <format dxfId="74">
      <pivotArea field="1" type="button" dataOnly="0" labelOnly="1" outline="0" axis="axisCol" fieldPosition="0"/>
    </format>
    <format dxfId="75">
      <pivotArea field="0" type="button" dataOnly="0" labelOnly="1" outline="0" axis="axisCol" fieldPosition="1"/>
    </format>
    <format dxfId="76">
      <pivotArea type="topRight" dataOnly="0" labelOnly="1" outline="0" fieldPosition="0"/>
    </format>
    <format dxfId="77">
      <pivotArea dataOnly="0" labelOnly="1" outline="0" fieldPosition="0">
        <references count="1">
          <reference field="1" count="0"/>
        </references>
      </pivotArea>
    </format>
    <format dxfId="78">
      <pivotArea dataOnly="0" labelOnly="1" outline="0" fieldPosition="0">
        <references count="1">
          <reference field="1" count="0" defaultSubtotal="1"/>
        </references>
      </pivotArea>
    </format>
    <format dxfId="79">
      <pivotArea dataOnly="0" labelOnly="1" grandCol="1" outline="0" fieldPosition="0"/>
    </format>
    <format dxfId="80">
      <pivotArea dataOnly="0" labelOnly="1" outline="0" fieldPosition="0">
        <references count="2">
          <reference field="0" count="1">
            <x v="14"/>
          </reference>
          <reference field="1" count="0" selected="0"/>
        </references>
      </pivotArea>
    </format>
    <format dxfId="81">
      <pivotArea outline="0" collapsedLevelsAreSubtotals="1" fieldPosition="0"/>
    </format>
    <format dxfId="82">
      <pivotArea field="1" type="button" dataOnly="0" labelOnly="1" outline="0" axis="axisCol" fieldPosition="0"/>
    </format>
    <format dxfId="83">
      <pivotArea field="0" type="button" dataOnly="0" labelOnly="1" outline="0" axis="axisCol" fieldPosition="1"/>
    </format>
    <format dxfId="84">
      <pivotArea type="topRight" dataOnly="0" labelOnly="1" outline="0" fieldPosition="0"/>
    </format>
    <format dxfId="85">
      <pivotArea dataOnly="0" labelOnly="1" outline="0" fieldPosition="0">
        <references count="1">
          <reference field="1" count="0"/>
        </references>
      </pivotArea>
    </format>
    <format dxfId="86">
      <pivotArea dataOnly="0" labelOnly="1" outline="0" fieldPosition="0">
        <references count="1">
          <reference field="1" count="0" defaultSubtotal="1"/>
        </references>
      </pivotArea>
    </format>
    <format dxfId="87">
      <pivotArea dataOnly="0" labelOnly="1" grandCol="1" outline="0" fieldPosition="0"/>
    </format>
    <format dxfId="88">
      <pivotArea dataOnly="0" labelOnly="1" outline="0" fieldPosition="0">
        <references count="2">
          <reference field="0" count="1">
            <x v="14"/>
          </reference>
          <reference field="1" count="0" selected="0"/>
        </references>
      </pivotArea>
    </format>
    <format dxfId="89">
      <pivotArea outline="0" collapsedLevelsAreSubtotals="1" fieldPosition="0"/>
    </format>
    <format dxfId="90">
      <pivotArea field="1" type="button" dataOnly="0" labelOnly="1" outline="0" axis="axisCol" fieldPosition="0"/>
    </format>
    <format dxfId="91">
      <pivotArea field="0" type="button" dataOnly="0" labelOnly="1" outline="0" axis="axisCol" fieldPosition="1"/>
    </format>
    <format dxfId="92">
      <pivotArea type="topRight" dataOnly="0" labelOnly="1" outline="0" fieldPosition="0"/>
    </format>
    <format dxfId="93">
      <pivotArea dataOnly="0" labelOnly="1" outline="0" fieldPosition="0">
        <references count="1">
          <reference field="1" count="0"/>
        </references>
      </pivotArea>
    </format>
    <format dxfId="94">
      <pivotArea dataOnly="0" labelOnly="1" outline="0" fieldPosition="0">
        <references count="1">
          <reference field="1" count="0" defaultSubtotal="1"/>
        </references>
      </pivotArea>
    </format>
    <format dxfId="95">
      <pivotArea dataOnly="0" labelOnly="1" grandCol="1" outline="0" fieldPosition="0"/>
    </format>
    <format dxfId="96">
      <pivotArea dataOnly="0" labelOnly="1" outline="0" fieldPosition="0">
        <references count="2">
          <reference field="0" count="1">
            <x v="14"/>
          </reference>
          <reference field="1" count="0" selected="0"/>
        </references>
      </pivotArea>
    </format>
    <format dxfId="97">
      <pivotArea outline="0" collapsedLevelsAreSubtotals="1" fieldPosition="0"/>
    </format>
    <format dxfId="98">
      <pivotArea field="1" type="button" dataOnly="0" labelOnly="1" outline="0" axis="axisCol" fieldPosition="0"/>
    </format>
    <format dxfId="99">
      <pivotArea field="0" type="button" dataOnly="0" labelOnly="1" outline="0" axis="axisCol" fieldPosition="1"/>
    </format>
    <format dxfId="100">
      <pivotArea type="topRight" dataOnly="0" labelOnly="1" outline="0" fieldPosition="0"/>
    </format>
    <format dxfId="101">
      <pivotArea dataOnly="0" labelOnly="1" outline="0" fieldPosition="0">
        <references count="1">
          <reference field="1" count="0"/>
        </references>
      </pivotArea>
    </format>
    <format dxfId="102">
      <pivotArea dataOnly="0" labelOnly="1" outline="0" fieldPosition="0">
        <references count="1">
          <reference field="1" count="0" defaultSubtotal="1"/>
        </references>
      </pivotArea>
    </format>
    <format dxfId="103">
      <pivotArea dataOnly="0" labelOnly="1" grandCol="1" outline="0" fieldPosition="0"/>
    </format>
    <format dxfId="104">
      <pivotArea dataOnly="0" labelOnly="1" outline="0" fieldPosition="0">
        <references count="2">
          <reference field="0" count="1">
            <x v="14"/>
          </reference>
          <reference field="1" count="0" selected="0"/>
        </references>
      </pivotArea>
    </format>
    <format dxfId="105">
      <pivotArea outline="0" collapsedLevelsAreSubtotals="1" fieldPosition="0"/>
    </format>
    <format dxfId="106">
      <pivotArea field="1" type="button" dataOnly="0" labelOnly="1" outline="0" axis="axisCol" fieldPosition="0"/>
    </format>
    <format dxfId="107">
      <pivotArea field="0" type="button" dataOnly="0" labelOnly="1" outline="0" axis="axisCol" fieldPosition="1"/>
    </format>
    <format dxfId="108">
      <pivotArea type="topRight" dataOnly="0" labelOnly="1" outline="0" fieldPosition="0"/>
    </format>
    <format dxfId="109">
      <pivotArea dataOnly="0" labelOnly="1" outline="0" fieldPosition="0">
        <references count="1">
          <reference field="1" count="0"/>
        </references>
      </pivotArea>
    </format>
    <format dxfId="110">
      <pivotArea dataOnly="0" labelOnly="1" outline="0" fieldPosition="0">
        <references count="1">
          <reference field="1" count="0" defaultSubtotal="1"/>
        </references>
      </pivotArea>
    </format>
    <format dxfId="111">
      <pivotArea dataOnly="0" labelOnly="1" grandCol="1" outline="0" fieldPosition="0"/>
    </format>
    <format dxfId="112">
      <pivotArea dataOnly="0" labelOnly="1" outline="0" fieldPosition="0">
        <references count="2">
          <reference field="0" count="1">
            <x v="14"/>
          </reference>
          <reference field="1" count="0" selected="0"/>
        </references>
      </pivotArea>
    </format>
    <format dxfId="113">
      <pivotArea outline="0" collapsedLevelsAreSubtotals="1" fieldPosition="0"/>
    </format>
    <format dxfId="114">
      <pivotArea field="1" type="button" dataOnly="0" labelOnly="1" outline="0" axis="axisCol" fieldPosition="0"/>
    </format>
    <format dxfId="115">
      <pivotArea field="0" type="button" dataOnly="0" labelOnly="1" outline="0" axis="axisCol" fieldPosition="1"/>
    </format>
    <format dxfId="116">
      <pivotArea type="topRight" dataOnly="0" labelOnly="1" outline="0" fieldPosition="0"/>
    </format>
    <format dxfId="117">
      <pivotArea dataOnly="0" labelOnly="1" outline="0" fieldPosition="0">
        <references count="1">
          <reference field="1" count="0"/>
        </references>
      </pivotArea>
    </format>
    <format dxfId="118">
      <pivotArea dataOnly="0" labelOnly="1" outline="0" fieldPosition="0">
        <references count="1">
          <reference field="1" count="0" defaultSubtotal="1"/>
        </references>
      </pivotArea>
    </format>
    <format dxfId="119">
      <pivotArea dataOnly="0" labelOnly="1" grandCol="1" outline="0" fieldPosition="0"/>
    </format>
    <format dxfId="120">
      <pivotArea dataOnly="0" labelOnly="1" outline="0" fieldPosition="0">
        <references count="2">
          <reference field="0" count="1">
            <x v="14"/>
          </reference>
          <reference field="1" count="0" selected="0"/>
        </references>
      </pivotArea>
    </format>
    <format dxfId="121">
      <pivotArea outline="0" collapsedLevelsAreSubtotals="1" fieldPosition="0"/>
    </format>
    <format dxfId="122">
      <pivotArea field="1" type="button" dataOnly="0" labelOnly="1" outline="0" axis="axisCol" fieldPosition="0"/>
    </format>
    <format dxfId="123">
      <pivotArea field="0" type="button" dataOnly="0" labelOnly="1" outline="0" axis="axisCol" fieldPosition="1"/>
    </format>
    <format dxfId="124">
      <pivotArea type="topRight" dataOnly="0" labelOnly="1" outline="0" fieldPosition="0"/>
    </format>
    <format dxfId="125">
      <pivotArea dataOnly="0" labelOnly="1" outline="0" fieldPosition="0">
        <references count="1">
          <reference field="1" count="0"/>
        </references>
      </pivotArea>
    </format>
    <format dxfId="126">
      <pivotArea dataOnly="0" labelOnly="1" outline="0" fieldPosition="0">
        <references count="1">
          <reference field="1" count="0" defaultSubtotal="1"/>
        </references>
      </pivotArea>
    </format>
    <format dxfId="127">
      <pivotArea dataOnly="0" labelOnly="1" grandCol="1" outline="0" fieldPosition="0"/>
    </format>
    <format dxfId="128">
      <pivotArea dataOnly="0" labelOnly="1" outline="0" fieldPosition="0">
        <references count="2">
          <reference field="0" count="1">
            <x v="5"/>
          </reference>
          <reference field="1" count="0" selected="0"/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55" dT="2026-03-10T18:41:20.36" personId="{B6012F0E-E5C6-4745-8A5E-4C6462E9C718}" id="{8C9EC219-D2E8-410A-9800-6CAED9DF08A1}">
    <text>Suporte velocidade deve ser acrescentado ao cálculo para evitar inconsistências como essa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V2" dT="2026-06-02T02:10:48.30" personId="{B6012F0E-E5C6-4745-8A5E-4C6462E9C718}" id="{716F4607-E3F3-4B77-A28C-33ADA10F71BE}">
    <text>(Durabilidade_total / 1400) + (auto_heal_buffing / 3,5)</text>
  </threadedComment>
  <threadedComment ref="W2" dT="2026-06-02T02:14:20.43" personId="{B6012F0E-E5C6-4745-8A5E-4C6462E9C718}" id="{8A5ADEA5-D85B-4B85-A62F-CD5628A6BE99}">
    <text>0 - Não ataca eu achokkk
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ext>
  </threadedComment>
  <threadedComment ref="X2" dT="2026-06-02T02:17:02.99" personId="{B6012F0E-E5C6-4745-8A5E-4C6462E9C718}" id="{D499927C-32E4-4824-BDD7-1EB24C952311}">
    <text>(frequencia + potência + versatilidade)/3
frequência:
1 - 1 min
2 - 45s
3 - 35s
4 - 30s
5 - 25s
6 - 20s
7 - 15s
8 - 10s
9 - 5s
10 - menos de 5s
11...
potência do uso:
1 - distância curta
2 - distância curta/normal
3 - distância normal/curta
4 - distância normal
5 - distância normal/longa
6 - distância longa/normal
7 - distância longa
8 - distância longa/mtlonga
9 - distância mtlonga/longa
10 - distância mtlonga
11...
versatilidade:
1 - invulnerável, mas parado e vulnerável ao voltar
2 - invulnerável, mas parado ao voltar
3 - afasta inimigos um pouco
4 - afasta medio inimigos
5 - fuga lenta sem escolher direção ou circunstancial
6 - fuga lenta escolhendo direção quase livremente
7 - fuga lenta escolhendo direção livremente
8 - fuga rápida quase sem escolher direção
9 - fuga rápida escolhendo direção quase livremente
10 - fuga rápida escolhendo direção livremente
11...</text>
  </threadedComment>
  <threadedComment ref="Y2" dT="2026-06-02T02:18:20.46" personId="{B6012F0E-E5C6-4745-8A5E-4C6462E9C718}" id="{6005FE8D-6E05-4236-97AD-EEA55B59BDF9}">
    <text>0 - projétil único
1 - projétil único perfurante
2 - linha fina multiplos projéteis
3 - tiro em forma de cone pequeno (25° +ou-)
4 - tiro em forma retangular medio (1 brawler de largura)
5 - tiro em forma de cone médio (50° +ou-)
6 - tiro em forma retangular grande (1-2 brawler de largura)
7 - tiro em forma de cone grande (75° +ou-)
8 - tiro com amplitude maior (até 100° +ou-)
9 - tiro em todas as direções
10 - tiro frequente em todas as direções
11...</text>
  </threadedComment>
  <threadedComment ref="Z2" dT="2026-06-02T02:19:10.84" personId="{B6012F0E-E5C6-4745-8A5E-4C6462E9C718}" id="{CA862491-DCAB-49D1-AEA8-4EBB46E9F719}">
    <text>0 - mais de 1/30s
1 - 1/30s
2 - 1/20s
3 - 1/15s
4 - 1/10s
5 - 1/5s
6 - ataque básico frequente
7 - ataque básico e super frequente</text>
  </threadedComment>
  <threadedComment ref="AA2" dT="2026-06-02T02:22:12.72" personId="{B6012F0E-E5C6-4745-8A5E-4C6462E9C718}" id="{A6807F57-8ABE-4983-A965-B1B12D58150C}">
    <text>(duração + área + efeito + distância-arremesso)/4
Efeito:
3 - efeito ignorável muitas vezes
6 - efeito ignorável raramente
9 - efeito quase nunca ignoravel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
Duração:
1 - 1s
2 - 2s
3 - 3s
4 - 4s
5 - 5s
6 - 6s
7 - 7s
8 - 8s
9 - 9s
10 - 10s
11...
Distância arremesso
0 - Não ataca eu achokkk
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ext>
  </threadedComment>
  <threadedComment ref="AB2" dT="2026-06-02T02:22:51.85" personId="{B6012F0E-E5C6-4745-8A5E-4C6462E9C718}" id="{1ED67FC6-31A4-47BD-A29C-10226C751BE7}">
    <text>0 - o brawler não tem essa capacidade
1 - consegue manipular pouco e apenas de muito perto e não possui formas rápidas de se aproximar
2 - consegue manipular pouco e apenas de perto e não possui formas rápidas de se aproximar
3 - consegue manipular pouco e apenas de medio alcance e não possui formas rápidas de se aproximar
4 - consegue manipular pouco e apenas de perto mas possui formas de se aproximar
5 - o brawler consegue fazer de longas distancias mas manipula pouco
6 - o brawler consegue manipular muito a posição e de médias distâncias
7 - o brawler consegue manipular muito a posição e de longas distâncias
8 - o brawler consegue manipular um pouco a posição mas ignorando muros
9 - o brawler consegue manipular muito a posição e ignorando obstaculos a médio alcance
10 - o brawler consegue manipular muito a posição e ignorando obstáculos e objetos a longo alcance</text>
  </threadedComment>
  <threadedComment ref="AC2" dT="2026-06-02T02:23:23.46" personId="{B6012F0E-E5C6-4745-8A5E-4C6462E9C718}" id="{5E7E51DF-9362-446C-8F6E-A7E757E95556}">
    <text>0 - absoluta incompetência
7 - altamente competente</text>
  </threadedComment>
  <threadedComment ref="AD2" dT="2026-06-02T02:23:42.82" personId="{B6012F0E-E5C6-4745-8A5E-4C6462E9C718}" id="{8D626326-302B-42F8-9109-FEAEE6DB127B}">
    <text>0 - impossivel causar dano
1 - causa dano irrisório
2 - causa dano circunstancial
3 - causa dano ocasionalmente
4 - causa dano mortal as vezes
5 - causa dano mortal quase normalmente
6 - capaz de atacar o inimigo normalmente
7 - causa dano normalmente + anda na água tmb
8 - causa dano levemente superior
9 - causa dano muito maior a inimigos na água
10 - causa dano absurdamente maior
11...</text>
  </threadedComment>
  <threadedComment ref="AE2" dT="2026-06-02T02:25:21.34" personId="{B6012F0E-E5C6-4745-8A5E-4C6462E9C718}" id="{320A87EF-22B4-49B6-B5E1-840CA2D0742F}">
    <text>0 - não quebra muros
1 - 1/35min
2 - 1/30s
3 - 1/25s
4 - 1/20s
5 - 1/15s
6 - 1/12s
7 - 1/9s
8 - 1/6s
9 - 1/3s
10 - 1/1s
11...
-1 se a destruição é pouco controlável
-2 se a destruição é quase incontrolável ou se o brawler não deveria gastar os recursos dele focando nessa destruição</text>
  </threadedComment>
  <threadedComment ref="AF2" dT="2026-06-02T02:25:58.83" personId="{B6012F0E-E5C6-4745-8A5E-4C6462E9C718}" id="{5DF8E8B7-9979-4CEA-ABC0-65686BCAA254}">
    <text>0 - não quebra moitas
1 - 1/25min
2 - 1/16s
3 - 1/12s
4 - 1/10s
5 - 1/8s
6 - 1/6s
7 - 1/4s
8 - 1/3s
9 - 1/2s
10 - 1/1s
11...
-1 se a destruição é pouco controlável
-2 se a destruição é quase incontrolável ou se o brawler não deveria gastar os recursos dele focando nessa destruição</text>
  </threadedComment>
  <threadedComment ref="AG2" dT="2026-06-02T02:26:57.22" personId="{B6012F0E-E5C6-4745-8A5E-4C6462E9C718}" id="{ECBC6839-E661-48F1-8B4B-BE8113CD6EB3}">
    <text>0 - não constroi cover
1 - 1/25min
2 - 1/16s
3 - 1/12s
4 - 1/10s
5 - 1/8s
6 - 1/6s
7 - 1/4s
8 - 1/3s
9 - 1/2s
10 - 1/1s
11...
-1 se a construção é pouco controlável
-2 se a construção é quase incontrolável ou se o brawler não deveria gastar os recursos dele focando nessa construção</text>
  </threadedComment>
  <threadedComment ref="AH2" dT="2026-06-02T02:28:11.44" personId="{B6012F0E-E5C6-4745-8A5E-4C6462E9C718}" id="{0846B9A5-465C-4657-958E-32FC602A1BBC}">
    <text>1 - muito lento
2 - muito lento/lento
3 - lento
4 - lento/normal
5 - normal
6 - normal/rapido
7 - rapido
8 - rapido/muito rapido
9 - muito rapido
10 - suporter de velocidade
11...
-1 se a hitbox do brawler é do modelo maior</text>
  </threadedComment>
  <threadedComment ref="AI2" dT="2026-06-02T02:29:03.92" personId="{B6012F0E-E5C6-4745-8A5E-4C6462E9C718}" id="{CA9E0636-15A3-4258-BB1B-768150E314AF}">
    <text>1 - ataque lento e ineficaz
2 - ataque ineficaz
3 - ataque poderoso, mas super lento
4 - ataque poderoso, mas lento
5 - ataque poderoso e rápido, mas facilmente contornável sem sequelas
6 - ataque poderoso, mas contornavel/counterável facilmente
7 - ataque poderoso. Contornavel apenas se não estiver vulnerável
8 - mesmo counters tem dificuldade em prever/reagir ao ataque antes de levar um bom dano
9 - mesmo counters recebem muito dano antes de conseguirem reagir
10 - counterar um ataque bem planejado é quase impossível para qualquer brawler
+1 se aplica velocidade após o ataque
-1 se alcance é normal/longo
-2 se o alcance é curto/normal
-3 se o alcance é muito curto/curto</text>
  </threadedComment>
  <threadedComment ref="AJ2" dT="2026-06-02T02:29:37.61" personId="{B6012F0E-E5C6-4745-8A5E-4C6462E9C718}" id="{9E742685-4FDC-4479-849B-63B3BF21DACA}">
    <text>*fórmula pronta, utiliza stun como força adicional</text>
  </threadedComment>
  <threadedComment ref="AK2" dT="2026-06-02T02:31:13.55" personId="{B6012F0E-E5C6-4745-8A5E-4C6462E9C718}" id="{E0A05078-23F6-4418-9FB6-CC384A1F2A7C}">
    <text>1 - 1/1min
2 - 1/50s
3 - 1/40s
4 - 1/30s
5 - 1/22s
6 - 1/15s
7 - 1/10s
8 - 1/7s
9 - 1/5s
10 - 1/3s
11...</text>
  </threadedComment>
  <threadedComment ref="AL2" dT="2026-06-02T02:31:34.22" personId="{B6012F0E-E5C6-4745-8A5E-4C6462E9C718}" id="{E8C2EC97-F785-4358-8F7C-82A913FD9C66}">
    <text>1 - nunca acumula mais de 1
2 - raramente acumula mais de 1
3 - ocasionalmente acumula mais de 1
4 - frequentemente acumula ao menos 2
5 - raramente acumula mais de 2
6 - ocasionalmente acumula mais de 2
7 - frequentemente acumula ao menos 3
8 - ocasionalmente acumula mais de 3
9 - frequentemente acumula mais de 4
10 - frequentemente acumula mais de 5
11...</text>
  </threadedComment>
  <threadedComment ref="AM2" dT="2026-06-02T02:32:38.53" personId="{B6012F0E-E5C6-4745-8A5E-4C6462E9C718}" id="{50B2FE60-FD9B-4F0A-88D5-0EA821EB5D69}">
    <text>0 - A vida do(s) pet(s) não se deteriora sozinha com o tempo
1 - A vida do(s) pet(s) é deteriorável</text>
  </threadedComment>
  <threadedComment ref="AN2" dT="2026-06-02T02:33:31.06" personId="{B6012F0E-E5C6-4745-8A5E-4C6462E9C718}" id="{DC74891A-812A-4EA5-8BB5-5C96563983EE}">
    <text>1 - menos de 2000
2 - entre 2000 e 3000
3 - entre 3000 e 4000
4 - entre 4000 e 5000
5 - entre 5000 e 6000
6 - entre 6000 e 7000
7 - entre 7000 e 8000
8 - entre 8000 e 9000
9 - entre 9000 e 10000
10 - entre 10000 e 11000
11...</text>
  </threadedComment>
  <threadedComment ref="AO2" dT="2026-06-02T02:33:49.93" personId="{B6012F0E-E5C6-4745-8A5E-4C6462E9C718}" id="{C8D42A2D-DF2C-4A1B-9A13-DAEF26956E0E}">
    <text>0 - dano médio menor de 500
1 - dano médio 500-800
2 - dano médio 800-1100
3 - dano médio 1100-1400
4 - dano médio 1400-1700
5 - dano médio 1700-2000
6 - dano médio 2000-2300
7 - dano médio 2300-2600
8 - dano médio 2900-3200
9 - dano médio 3200-3500
10 - dano médio 3500-3800
11...</text>
  </threadedComment>
  <threadedComment ref="AP2" dT="2026-06-02T02:34:34.37" personId="{B6012F0E-E5C6-4745-8A5E-4C6462E9C718}" id="{8E6212EC-B633-4184-8E36-EAFD95968A3F}">
    <text>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ext>
  </threadedComment>
  <threadedComment ref="AQ2" dT="2026-06-02T02:34:54.40" personId="{B6012F0E-E5C6-4745-8A5E-4C6462E9C718}" id="{A08E7434-FFAA-4040-AC14-02CC0434163E}">
    <text>1 - muito lento
2 - muito lento/lento
3 - lento/normal
4 - lento
5 - lento/normal
6 - normal/lento
7 - normal
8 - normal/rapido
9 - rapido
10 - MUITO rapido
11...</text>
  </threadedComment>
  <threadedComment ref="AR2" dT="2026-06-02T02:39:21.86" personId="{B6012F0E-E5C6-4745-8A5E-4C6462E9C718}" id="{496AEBDB-EF73-4263-820B-738B7779C49C}">
    <text>0 - O dono não fica próximo ao pet em quase nenhum momento
2,5 - O dono fica próximo ao pet as vezes, mas raramente por muito tempo
5 - O dono fica próximo ao pet com alguma frequência, mas não é regra de usabilidade
7,5 - O dono fica próximo ao pet na maior parte do tempo, sendo grande parte da sua estratégia principal para avançar contra inimigos
10 - O dono fica próximo ao pet em quase todos os momentos. A exceção para esta regra resulta em inutilidade do pet na maior parte das vezes.</text>
  </threadedComment>
  <threadedComment ref="AS2" dT="2026-06-02T02:40:30.30" personId="{B6012F0E-E5C6-4745-8A5E-4C6462E9C718}" id="{E3DD8D8E-5C46-416E-8FBB-F2646B46F4CD}">
    <text>0 - não é o caso para esse brawler
1 - chance levemente maior de causar dano ao todo
2 - chance relativamente maior de causar dano ao todo
3 - chance muito maior de causar mais dano ao todo
4 - atinge multiplos inimigos com a super
5 - atinge facilmente multiplos inimigos com a super
6 - atinge multiplos inimigos com o ataque principal
7 - atinge facilmente multiplos inimigos com o ataque
8 - causa mais dano por projétil
9 - causa mais do dobro de dano por projétil
10 - causa mais que o triplo do dano por projétil
11...</text>
  </threadedComment>
  <threadedComment ref="AT2" dT="2026-06-02T02:42:26.97" personId="{B6012F0E-E5C6-4745-8A5E-4C6462E9C718}" id="{5BDEB97A-0EEE-43F3-80E1-71D306290635}">
    <text>(precisão + Área + duração + frequência)/4
Precisão:
3 - perseguição de pets
6 - precisão em posição fixa arremessavel
10 - precisão absoluta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
Duração:
1 - 3s
2 - 6s
3 - 9s
4 - 12s
5 - 15s
6 - 18s
7 - 21s
8 - 24s
9 - 27s
10 - infinito
11...
Frequência:
1 - 1/1min
2 - 1/50s
3 - 1/40s
4 - 1/30s
5 - 1/22s
6 - 1/15s
7 - 1/10s
8 - 1/7s
9 - 1/5s
10 - 1/3s
11...</text>
  </threadedComment>
  <threadedComment ref="AU2" dT="2026-06-02T02:50:25.74" personId="{B6012F0E-E5C6-4745-8A5E-4C6462E9C718}" id="{90C8D85F-69C4-4BF1-9D6D-0D3913BAC21C}">
    <text>0 - As informações do brawler/complemento não dependem de nenhuma forma da formação de inimigos ou terreno para que façam sentido
2,5 - As informações do brawler/complemento podem depender um pouco de formas de uso
5 - As informações do brawler/complemento podem depender um pouco de características de terreno, como presença de moitas/agua e/ou de formas de uso
7,5 - as informações dependem bastante de características externas como formas de uso, terreno e inimigos. A verificação humana é essencial para garantir que o brawler realmente seja bom.
10 - As informações dependem demais de fatores externos para funcionarem de forma adequada. Detalhes desses fatores devem ser destacados para o usuário.</text>
  </threadedComment>
  <threadedComment ref="AV2" dT="2026-06-02T02:56:43.63" personId="{B6012F0E-E5C6-4745-8A5E-4C6462E9C718}" id="{394CEB1A-2736-42FF-81A8-1A76B2961077}">
    <text>(frequência + potência + velocidade) / 3
Frequência:
1 - 1/1min
2 - 1/50s
3 - 1/40s
4 - 1/30s
5 - 1/22s
6 - 1/15s
7 - 1/10s
8 - 1/7s
9 - 1/5s
10 - 1/3s
11...
Potência do hp:
1 - 1-500
2 - 500-1000
3 - 1000-1500
4 - 1500 - 2000
5 - 2000 - 2500
6 - 2500 - 3000
7 - 3000 - 3500
8 - 3500 - 4000
9 - 4000 - 4500
10 - 4500 - 5000
Velocidade da cura
3 - Lenta e parcelada
6 - Lenta ou muito circunstancial
9 - Instantânea e pouco circunstancial</text>
  </threadedComment>
  <threadedComment ref="AW2" dT="2026-06-02T02:57:40.08" personId="{B6012F0E-E5C6-4745-8A5E-4C6462E9C718}" id="{F6E3C82A-545C-4CBC-9D05-AA1873540D95}">
    <text>(duração + potência) / 2 
potência:
1 - até 10%
2 - até 20%
3 - até 30%
4 - até 40%
5 - até 50%
6 - até 60%
7 - até 70%
8 - até 80%
9 - até 90%
10 - até 100%
duração
1 - 1s
2 - 2s
3 - 3s
4 - 4s
5 - 5s
6 - 6s
7 - 7s
8 - 8s
9 - 9s
10 - 10s</text>
  </threadedComment>
  <threadedComment ref="AX2" dT="2026-06-02T03:00:04.34" personId="{B6012F0E-E5C6-4745-8A5E-4C6462E9C718}" id="{0FB53ED3-0B61-4BAD-B264-BDE38D65969D}">
    <text>(frequência + potência) / 2 
Frequência:
1 - 1/1min
2 - 1/50s
3 - 1/40s
4 - 1/30s
5 - 1/22s
6 - 1/15s
7 - 1/10s
8 - 1/7s
9 - 1/5s
10 - 1/3s
11...
Potência do escudo:
1 - 1-500
2 - 500-1000
3 - 1000-1500
4 - 1500 - 2000
5 - 2000 - 2500
6 - 2500 - 3000
7 - 3000 - 3500
8 - 3500 - 4000
9 - 4000 - 4500
10 - 4500 - 5000</text>
  </threadedComment>
  <threadedComment ref="AY2" dT="2026-06-02T03:02:46.74" personId="{B6012F0E-E5C6-4745-8A5E-4C6462E9C718}" id="{DDC89BE3-2881-4912-944F-BB2A9042A9D5}">
    <text>(frequência + potência + duração)/3
0 - não tem essa capacidade
Frequência:
1 - 1/1min
2 - 1/50s
3 - 1/40s
4 - 1/30s
5 - 1/22s
6 - 1/15s
7 - 1/10s
8 - 1/7s
9 - 1/5s
10 - 1/3s
11...
Potência do aumento de dano:
1 - até 5%
2 - até 10%
3 - até 15%
4 - até 20%
5 - até 25%
6 - até 30%
7 - até 35%
8 - até 40%
9 - até 45%
10 - até 50%
11...
duração
1 - 1s
2 - 2s
3 - 3s
4 - 4s
5 - 5s
6 - 6s
7 - 7s
8 - 8s
9 - 9s
10 - 10s
11...</text>
  </threadedComment>
  <threadedComment ref="AZ2" dT="2026-06-02T03:03:24.08" personId="{B6012F0E-E5C6-4745-8A5E-4C6462E9C718}" id="{B22A28D6-E11F-46E6-B0EF-F39046736447}">
    <text>(duração + potência) / 2 
potência:
1 - até 8%
2 - até 16%
3 - até 24%
4 - até 32%
5 - até 40%
6 - até 48%
7 - até 56%
8 - até 64%
9 - até 72%
10 - até 80%
11...
duração
1 - 1s
2 - 2s
3 - 3s
4 - 4s
5 - 5s
6 - 6s
7 - 7s
8 - 8s
9 - 9s
10 - 10s</text>
  </threadedComment>
  <threadedComment ref="BA2" dT="2026-06-02T03:06:12.21" personId="{B6012F0E-E5C6-4745-8A5E-4C6462E9C718}" id="{8ED874D5-BBA5-4D75-BA5A-1FC4D90722F7}">
    <text>(frequencia + duração) / 2 
Frequência
1 - 1/1min
2 - 1/50s
3 - 1/40s
4 - 1/30s
5 - 1/22s
6 - 1/15s
7 - 1/10s
8 - 1/7s
9 - 1/5s
10 - 1/3s
11...
Duração:
1 - 1s
2 - 2s
3 - 3s
4 - 4s
5 - 5s
6 - 6s
7 - 7s
8 - 8s
9 - 9s
10 - 10s
11...</text>
  </threadedComment>
  <threadedComment ref="BB2" dT="2026-06-02T03:20:06.88" personId="{B6012F0E-E5C6-4745-8A5E-4C6462E9C718}" id="{310DEFB4-878E-4EBE-8467-EAA5DA3E8A05}">
    <text>(frequência + duração + área) / 3
0 - não tem essa capacidade
Frequência:
1 - 1/1min
2 - 1/50s
3 - 1/40s
4 - 1/30s
5 - 1/22s
6 - 1/15s
7 - 1/10s
8 - 1/7s
9 - 1/5s
10 - 1/3s
11...
duração
1 - 1s
2 - 2s
3 - 3s
4 - 4s
5 - 5s
6 - 6s
7 - 7s
8 - 8s
9 - 9s
10 - 10s
11...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</text>
  </threadedComment>
  <threadedComment ref="BD2" dT="2026-06-02T03:22:47.43" personId="{B6012F0E-E5C6-4745-8A5E-4C6462E9C718}" id="{9C6032D8-5F82-4201-A22C-4948EF14D130}">
    <text>0 - não aplica veneno
1 - duração de 1 hit
2 - duração de 2 hit
3 - duração de 3 hit
4 - duração de 4 hit
5 - duração de 5 hit
6 - duração de 6 hit
7 - duração de 7 hit
8 - duração de 8 hit
9 - duração de 9 hit
10 - duração de 10 hit
11...
/1 se proveniente do ataque principal
/2 se proveniente da super
/3 se proveniente de algo ainda mais ocasional</text>
  </threadedComment>
  <threadedComment ref="BE2" dT="2026-06-02T03:23:18.23" personId="{B6012F0E-E5C6-4745-8A5E-4C6462E9C718}" id="{AC3D34C0-33A7-4522-A978-6B5635D1B661}">
    <text>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ext>
  </threadedComment>
  <threadedComment ref="BF2" dT="2026-06-02T03:24:11.83" personId="{B6012F0E-E5C6-4745-8A5E-4C6462E9C718}" id="{D89EAA5F-31EB-4BB2-BF40-868A9D880F57}">
    <text>1 - stun até 0.1s
2 - stun até 0.35s
3 - stun até 0.6s
4 - stun até 0.85s
5 - stun até 1.1s
6 - stun até 1.35s
7 - stun até 1.6s
8 - stun até 1.85s
9 - stun até 2.1s
10 - stun até 2.5s
11...</text>
  </threadedComment>
  <threadedComment ref="BG2" dT="2026-06-02T03:24:39.33" personId="{B6012F0E-E5C6-4745-8A5E-4C6462E9C718}" id="{B2E93F1E-B2CE-4BC5-879F-C6748A4C4E36}">
    <text>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ext>
  </threadedComment>
  <threadedComment ref="BH2" dT="2026-06-02T03:31:43.31" personId="{B6012F0E-E5C6-4745-8A5E-4C6462E9C718}" id="{5D9D6F8E-BBE2-4206-886C-31168EBC53FC}">
    <text>(frequência + potência + duração)/3
0 - não tem essa capacidade
Frequência:
1 - 1/1min
2 - 1/50s
3 - 1/40s
4 - 1/30s
5 - 1/22s
6 - 1/15s
7 - 1/10s
8 - 1/7s
9 - 1/5s
10 - 1/3s
11...
Potência da lentidão:
1 - até 5%
2 - até 10%
3 - até 15%
4 - até 20%
5 - até 25%
6 - até 30%
7 - até 35%
8 - até 40%
9 - até 45%
10 - até 50%
11...
duração
1 - 0.5s
2 - 1s
3 - 1.5s
4 - 2s
5 - 2.5s
6 - 3s
7 - 3.5s
8 - 4s
9 - 4.5s
10 - 5s
11...</text>
  </threadedComment>
  <threadedComment ref="BI2" dT="2026-06-02T03:32:49.52" personId="{B6012F0E-E5C6-4745-8A5E-4C6462E9C718}" id="{D98A3EE5-0B75-4351-9DF1-4F7F251BF6FF}">
    <text>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ext>
  </threadedComment>
  <threadedComment ref="BJ2" dT="2026-06-02T03:33:10.36" personId="{B6012F0E-E5C6-4745-8A5E-4C6462E9C718}" id="{747B6F09-CDD4-4129-BCFB-3BC2FEC072FB}">
    <text>0 - o brawler não tem essa capacidade
1 - pouco e apenas de muito perto e não possui formas rápidas de se aproximar
2 - pouco e apenas de perto e não possui formas rápidas de se aproximar
3 - pouco e apenas de medio alcance e não possui formas rápidas de se aproximar
4 - pouco e apenas de perto mas possui formas de se aproximar
5 - pouco e apenas de perto mas possui formas de se aproximar rapidamente
6 - de médias/longas distâncias
7 - longas distâncias
8 - ignorando muros
9 - ignorando obstaculos a médio/longo alcance
10 - ignorando obstáculos e objetos a longo alcance
11...</text>
  </threadedComment>
  <threadedComment ref="BK2" dT="2026-06-02T03:33:36.55" personId="{B6012F0E-E5C6-4745-8A5E-4C6462E9C718}" id="{3972AB50-CCB4-4CE2-914D-E147ABD420BE}">
    <text>Se o seu brawler não é especialmente afetado, assinale altamente competente (7). Caso seja (um frank por exemplo é muito afetado), tente medir o quão fácil é para o inimigo cancelar um ataque forte seu e te prejudicar.
6 - afetado levemente por demora até finalização do tiro
5 - afetado levemente numa situação específica
4 - afetado consideravelmente no super
3 - afetado consideravelmente no ataque principal
2 - afetado consideravelmente no super e ataque
-1 se dá mais de 1 segundo de tempo de reação na super
-2 se dá mais de 1 segundo de tempo de reação no ataque principal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V2" dT="2026-06-02T02:10:48.30" personId="{B6012F0E-E5C6-4745-8A5E-4C6462E9C718}" id="{AEA62B1D-7497-4053-8BC3-AB5DD833184A}">
    <text>(Durabilidade_total / 1400) + (auto_heal_buffing / 3,5)</text>
  </threadedComment>
  <threadedComment ref="W2" dT="2026-06-02T02:14:20.43" personId="{B6012F0E-E5C6-4745-8A5E-4C6462E9C718}" id="{48209E4E-DD4E-4495-83FF-01AD38F380E0}">
    <text>0 - Não ataca eu achokkk
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ext>
  </threadedComment>
  <threadedComment ref="X2" dT="2026-06-02T02:17:02.99" personId="{B6012F0E-E5C6-4745-8A5E-4C6462E9C718}" id="{183BD924-6326-4469-B909-83B4FE192A37}">
    <text>(frequencia + potência + versatilidade)/3
frequência:
1 - 1 min
2 - 45s
3 - 35s
4 - 30s
5 - 25s
6 - 20s
7 - 15s
8 - 10s
9 - 5s
10 - menos de 5s
11...
potência do uso:
1 - distância curta
2 - distância curta/normal
3 - distância normal/curta
4 - distância normal
5 - distância normal/longa
6 - distância longa/normal
7 - distância longa
8 - distância longa/mtlonga
9 - distância mtlonga/longa
10 - distância mtlonga
11...
versatilidade:
1 - invulnerável, mas parado e vulnerável ao voltar
2 - invulnerável, mas parado ao voltar
3 - afasta inimigos um pouco
4 - afasta medio inimigos
5 - fuga lenta sem escolher direção ou circunstancial
6 - fuga lenta escolhendo direção quase livremente
7 - fuga lenta escolhendo direção livremente
8 - fuga rápida quase sem escolher direção
9 - fuga rápida escolhendo direção quase livremente
10 - fuga rápida escolhendo direção livremente
11...</text>
  </threadedComment>
  <threadedComment ref="Y2" dT="2026-06-02T02:18:20.46" personId="{B6012F0E-E5C6-4745-8A5E-4C6462E9C718}" id="{774F8D20-94EB-4206-9C36-40060FEF4CCC}">
    <text>0 - projétil único
1 - projétil único perfurante
2 - linha fina multiplos projéteis
3 - tiro em forma de cone pequeno (25° +ou-)
4 - tiro em forma retangular medio (1 brawler de largura)
5 - tiro em forma de cone médio (50° +ou-)
6 - tiro em forma retangular grande (1-2 brawler de largura)
7 - tiro em forma de cone grande (75° +ou-)
8 - tiro com amplitude maior (até 100° +ou-)
9 - tiro em todas as direções
10 - tiro frequente em todas as direções
11...</text>
  </threadedComment>
  <threadedComment ref="Z2" dT="2026-06-02T02:19:10.84" personId="{B6012F0E-E5C6-4745-8A5E-4C6462E9C718}" id="{287EE80D-468C-4F3F-B812-B46CF7395828}">
    <text>0 - mais de 1/30s
1 - 1/30s
2 - 1/20s
3 - 1/15s
4 - 1/10s
5 - 1/5s
6 - ataque básico frequente
7 - ataque básico e super frequente</text>
  </threadedComment>
  <threadedComment ref="AA2" dT="2026-06-02T02:22:12.72" personId="{B6012F0E-E5C6-4745-8A5E-4C6462E9C718}" id="{8C502DD0-E0BD-4D12-88AF-9466DFEE17EB}">
    <text>(duração + área + efeito + distância-arremesso)/4
Efeito:
3 - efeito ignorável muitas vezes
6 - efeito ignorável raramente
9 - efeito quase nunca ignoravel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
Duração:
1 - 1s
2 - 2s
3 - 3s
4 - 4s
5 - 5s
6 - 6s
7 - 7s
8 - 8s
9 - 9s
10 - 10s
11...
Distância arremesso
0 - Não ataca eu achokkk
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ext>
  </threadedComment>
  <threadedComment ref="AB2" dT="2026-06-02T02:22:51.85" personId="{B6012F0E-E5C6-4745-8A5E-4C6462E9C718}" id="{5C22C392-13A6-4EDA-98F4-9E312E27A3A4}">
    <text>0 - o brawler não tem essa capacidade
1 - consegue manipular pouco e apenas de muito perto e não possui formas rápidas de se aproximar
2 - consegue manipular pouco e apenas de perto e não possui formas rápidas de se aproximar
3 - consegue manipular pouco e apenas de medio alcance e não possui formas rápidas de se aproximar
4 - consegue manipular pouco e apenas de perto mas possui formas de se aproximar
5 - o brawler consegue fazer de longas distancias mas manipula pouco
6 - o brawler consegue manipular muito a posição e de médias distâncias
7 - o brawler consegue manipular muito a posição e de longas distâncias
8 - o brawler consegue manipular um pouco a posição mas ignorando muros
9 - o brawler consegue manipular muito a posição e ignorando obstaculos a médio alcance
10 - o brawler consegue manipular muito a posição e ignorando obstáculos e objetos a longo alcance</text>
  </threadedComment>
  <threadedComment ref="AC2" dT="2026-06-02T02:23:23.46" personId="{B6012F0E-E5C6-4745-8A5E-4C6462E9C718}" id="{9881D057-9A21-4C40-BEB4-14226BA1FA69}">
    <text>0 - absoluta incompetência
7 - altamente competente</text>
  </threadedComment>
  <threadedComment ref="AD2" dT="2026-06-02T02:23:42.82" personId="{B6012F0E-E5C6-4745-8A5E-4C6462E9C718}" id="{CC61375B-2CBC-4EC4-B5D9-4BCE11C9F63B}">
    <text>0 - impossivel causar dano
1 - causa dano irrisório
2 - causa dano circunstancial
3 - causa dano ocasionalmente
4 - causa dano mortal as vezes
5 - causa dano mortal quase normalmente
6 - capaz de atacar o inimigo normalmente
7 - causa dano normalmente + anda na água tmb
8 - causa dano levemente superior
9 - causa dano muito maior a inimigos na água
10 - causa dano absurdamente maior
11...</text>
  </threadedComment>
  <threadedComment ref="AE2" dT="2026-06-02T02:25:21.34" personId="{B6012F0E-E5C6-4745-8A5E-4C6462E9C718}" id="{9D67511D-6D55-4AF9-A07A-9AF64B9E93DD}">
    <text>0 - não quebra muros
1 - 1/35min
2 - 1/30s
3 - 1/25s
4 - 1/20s
5 - 1/15s
6 - 1/12s
7 - 1/9s
8 - 1/6s
9 - 1/3s
10 - 1/1s
11...
-1 se a destruição é pouco controlável
-2 se a destruição é quase incontrolável ou se o brawler não deveria gastar os recursos dele focando nessa destruição</text>
  </threadedComment>
  <threadedComment ref="AF2" dT="2026-06-02T02:25:58.83" personId="{B6012F0E-E5C6-4745-8A5E-4C6462E9C718}" id="{83642668-E1BB-454F-81B4-23857600244D}">
    <text>0 - não quebra moitas
1 - 1/25min
2 - 1/16s
3 - 1/12s
4 - 1/10s
5 - 1/8s
6 - 1/6s
7 - 1/4s
8 - 1/3s
9 - 1/2s
10 - 1/1s
11...
-1 se a destruição é pouco controlável
-2 se a destruição é quase incontrolável ou se o brawler não deveria gastar os recursos dele focando nessa destruição</text>
  </threadedComment>
  <threadedComment ref="AG2" dT="2026-06-02T02:26:57.22" personId="{B6012F0E-E5C6-4745-8A5E-4C6462E9C718}" id="{C7F146CA-75B3-4667-9B88-2A55D9FA51CE}">
    <text>0 - não constroi cover
1 - 1/25min
2 - 1/16s
3 - 1/12s
4 - 1/10s
5 - 1/8s
6 - 1/6s
7 - 1/4s
8 - 1/3s
9 - 1/2s
10 - 1/1s
11...
-1 se a construção é pouco controlável
-2 se a construção é quase incontrolável ou se o brawler não deveria gastar os recursos dele focando nessa construção</text>
  </threadedComment>
  <threadedComment ref="AH2" dT="2026-06-02T02:28:11.44" personId="{B6012F0E-E5C6-4745-8A5E-4C6462E9C718}" id="{DDEF7830-9FDA-4DA3-9301-7D0C16ABB4E7}">
    <text>1 - muito lento
2 - muito lento/lento
3 - lento
4 - lento/normal
5 - normal
6 - normal/rapido
7 - rapido
8 - rapido/muito rapido
9 - muito rapido
10 - suporter de velocidade
11...
-1 se a hitbox do brawler é do modelo maior</text>
  </threadedComment>
  <threadedComment ref="AI2" dT="2026-06-02T02:29:03.92" personId="{B6012F0E-E5C6-4745-8A5E-4C6462E9C718}" id="{21C4BA0D-2C3A-4437-8F7C-44AB7341EE0D}">
    <text>1 - ataque lento e ineficaz
2 - ataque ineficaz
3 - ataque poderoso, mas super lento
4 - ataque poderoso, mas lento
5 - ataque poderoso e rápido, mas facilmente contornável sem sequelas
6 - ataque poderoso, mas contornavel/counterável facilmente
7 - ataque poderoso. Contornavel apenas se não estiver vulnerável
8 - mesmo counters tem dificuldade em prever/reagir ao ataque antes de levar um bom dano
9 - mesmo counters recebem muito dano antes de conseguirem reagir
10 - counterar um ataque bem planejado é quase impossível para qualquer brawler
+1 se aplica velocidade após o ataque
-1 se alcance é normal/longo
-2 se o alcance é curto/normal
-3 se o alcance é muito curto/curto</text>
  </threadedComment>
  <threadedComment ref="AJ2" dT="2026-06-02T02:29:37.61" personId="{B6012F0E-E5C6-4745-8A5E-4C6462E9C718}" id="{CF0972BD-E9B3-4549-A2A8-7C0DF85C4C48}">
    <text>*fórmula pronta, utiliza stun como força adicional</text>
  </threadedComment>
  <threadedComment ref="AK2" dT="2026-06-02T02:31:13.55" personId="{B6012F0E-E5C6-4745-8A5E-4C6462E9C718}" id="{58C85561-7064-4A22-B0E3-30B32222C614}">
    <text>1 - 1/1min
2 - 1/50s
3 - 1/40s
4 - 1/30s
5 - 1/22s
6 - 1/15s
7 - 1/10s
8 - 1/7s
9 - 1/5s
10 - 1/3s
11...</text>
  </threadedComment>
  <threadedComment ref="AL2" dT="2026-06-02T02:31:34.22" personId="{B6012F0E-E5C6-4745-8A5E-4C6462E9C718}" id="{0D7C7B35-5DFE-48E7-9C95-557FDA08D843}">
    <text>1 - nunca acumula mais de 1
2 - raramente acumula mais de 1
3 - ocasionalmente acumula mais de 1
4 - frequentemente acumula ao menos 2
5 - raramente acumula mais de 2
6 - ocasionalmente acumula mais de 2
7 - frequentemente acumula ao menos 3
8 - ocasionalmente acumula mais de 3
9 - frequentemente acumula mais de 4
10 - frequentemente acumula mais de 5
11...</text>
  </threadedComment>
  <threadedComment ref="AM2" dT="2026-06-02T02:32:38.53" personId="{B6012F0E-E5C6-4745-8A5E-4C6462E9C718}" id="{7601B4EF-E1B5-4D89-8698-00E33AE9A67D}">
    <text>0 - A vida do(s) pet(s) não se deteriora sozinha com o tempo
1 - A vida do(s) pet(s) é deteriorável</text>
  </threadedComment>
  <threadedComment ref="AN2" dT="2026-06-02T02:33:31.06" personId="{B6012F0E-E5C6-4745-8A5E-4C6462E9C718}" id="{8280449B-F405-4788-84C1-CEB2C85D3EC3}">
    <text>1 - menos de 2000
2 - entre 2000 e 3000
3 - entre 3000 e 4000
4 - entre 4000 e 5000
5 - entre 5000 e 6000
6 - entre 6000 e 7000
7 - entre 7000 e 8000
8 - entre 8000 e 9000
9 - entre 9000 e 10000
10 - entre 10000 e 11000
11...</text>
  </threadedComment>
  <threadedComment ref="AO2" dT="2026-06-02T02:33:49.93" personId="{B6012F0E-E5C6-4745-8A5E-4C6462E9C718}" id="{20E55591-0011-4BD7-B71C-18DB4536223C}">
    <text>0 - dano médio menor de 500
1 - dano médio 500-800
2 - dano médio 800-1100
3 - dano médio 1100-1400
4 - dano médio 1400-1700
5 - dano médio 1700-2000
6 - dano médio 2000-2300
7 - dano médio 2300-2600
8 - dano médio 2900-3200
9 - dano médio 3200-3500
10 - dano médio 3500-3800
11...</text>
  </threadedComment>
  <threadedComment ref="AP2" dT="2026-06-02T02:34:34.37" personId="{B6012F0E-E5C6-4745-8A5E-4C6462E9C718}" id="{6BFBA8F6-B57B-455C-B17A-CB0572DED925}">
    <text>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ext>
  </threadedComment>
  <threadedComment ref="AQ2" dT="2026-06-02T02:34:54.40" personId="{B6012F0E-E5C6-4745-8A5E-4C6462E9C718}" id="{735CEBFE-F407-46BB-BCE6-4DED80CC33A8}">
    <text>1 - muito lento
2 - muito lento/lento
3 - lento/normal
4 - lento
5 - lento/normal
6 - normal/lento
7 - normal
8 - normal/rapido
9 - rapido
10 - MUITO rapido
11...</text>
  </threadedComment>
  <threadedComment ref="AR2" dT="2026-06-02T02:39:21.86" personId="{B6012F0E-E5C6-4745-8A5E-4C6462E9C718}" id="{FE62A1B6-6DEE-420F-8DC0-202410C06336}">
    <text>0 - O dono não fica próximo ao pet em quase nenhum momento
2,5 - O dono fica próximo ao pet as vezes, mas raramente por muito tempo
5 - O dono fica próximo ao pet com alguma frequência, mas não é regra de usabilidade
7,5 - O dono fica próximo ao pet na maior parte do tempo, sendo grande parte da sua estratégia principal para avançar contra inimigos
10 - O dono fica próximo ao pet em quase todos os momentos. A exceção para esta regra resulta em inutilidade do pet na maior parte das vezes.</text>
  </threadedComment>
  <threadedComment ref="AS2" dT="2026-06-02T02:40:30.30" personId="{B6012F0E-E5C6-4745-8A5E-4C6462E9C718}" id="{866E29FF-ADE6-41EE-AEBD-0B1BDEACB237}">
    <text>0 - não é o caso para esse brawler
1 - chance levemente maior de causar dano ao todo
2 - chance relativamente maior de causar dano ao todo
3 - chance muito maior de causar mais dano ao todo
4 - atinge multiplos inimigos com a super
5 - atinge facilmente multiplos inimigos com a super
6 - atinge multiplos inimigos com o ataque principal
7 - atinge facilmente multiplos inimigos com o ataque
8 - causa mais dano por projétil
9 - causa mais do dobro de dano por projétil
10 - causa mais que o triplo do dano por projétil
11...</text>
  </threadedComment>
  <threadedComment ref="AT2" dT="2026-06-02T02:42:26.97" personId="{B6012F0E-E5C6-4745-8A5E-4C6462E9C718}" id="{68B2252B-FCFB-457A-8B5A-F07EEB6115BA}">
    <text>(precisão + Área + duração + frequência)/4
Precisão:
3 - perseguição de pets
6 - precisão em posição fixa arremessavel
10 - precisão absoluta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
Duração:
1 - 3s
2 - 6s
3 - 9s
4 - 12s
5 - 15s
6 - 18s
7 - 21s
8 - 24s
9 - 27s
10 - infinito
11...
Frequência:
1 - 1/1min
2 - 1/50s
3 - 1/40s
4 - 1/30s
5 - 1/22s
6 - 1/15s
7 - 1/10s
8 - 1/7s
9 - 1/5s
10 - 1/3s
11...</text>
  </threadedComment>
  <threadedComment ref="AU2" dT="2026-06-02T02:50:25.74" personId="{B6012F0E-E5C6-4745-8A5E-4C6462E9C718}" id="{7B556312-2948-4E41-AE56-0DCC309A1922}">
    <text>0 - As informações do brawler/complemento não dependem de nenhuma forma da formação de inimigos ou terreno para que façam sentido
2,5 - As informações do brawler/complemento podem depender um pouco de formas de uso
5 - As informações do brawler/complemento podem depender um pouco de características de terreno, como presença de moitas/agua e/ou de formas de uso
7,5 - as informações dependem bastante de características externas como formas de uso, terreno e inimigos. A verificação humana é essencial para garantir que o brawler realmente seja bom.
10 - As informações dependem demais de fatores externos para funcionarem de forma adequada. Detalhes desses fatores devem ser destacados para o usuário.</text>
  </threadedComment>
  <threadedComment ref="AV2" dT="2026-06-02T02:56:43.63" personId="{B6012F0E-E5C6-4745-8A5E-4C6462E9C718}" id="{955C043B-13B3-4BDF-8B36-D197E25D49D0}">
    <text>(frequência + potência + velocidade) / 3
Frequência:
1 - 1/1min
2 - 1/50s
3 - 1/40s
4 - 1/30s
5 - 1/22s
6 - 1/15s
7 - 1/10s
8 - 1/7s
9 - 1/5s
10 - 1/3s
11...
Potência do hp:
1 - 1-500
2 - 500-1000
3 - 1000-1500
4 - 1500 - 2000
5 - 2000 - 2500
6 - 2500 - 3000
7 - 3000 - 3500
8 - 3500 - 4000
9 - 4000 - 4500
10 - 4500 - 5000
Velocidade da cura
3 - Lenta e parcelada
6 - Lenta ou muito circunstancial
9 - Instantânea e pouco circunstancial</text>
  </threadedComment>
  <threadedComment ref="AW2" dT="2026-06-02T02:57:40.08" personId="{B6012F0E-E5C6-4745-8A5E-4C6462E9C718}" id="{D152C21F-A039-4FDF-B490-3B39F52216C7}">
    <text>(duração + potência) / 2 
potência:
1 - até 10%
2 - até 20%
3 - até 30%
4 - até 40%
5 - até 50%
6 - até 60%
7 - até 70%
8 - até 80%
9 - até 90%
10 - até 100%
duração
1 - 1s
2 - 2s
3 - 3s
4 - 4s
5 - 5s
6 - 6s
7 - 7s
8 - 8s
9 - 9s
10 - 10s</text>
  </threadedComment>
  <threadedComment ref="AX2" dT="2026-06-02T03:00:04.34" personId="{B6012F0E-E5C6-4745-8A5E-4C6462E9C718}" id="{E4F48B0A-127D-4752-A0BE-B336A9D14889}">
    <text>(frequência + potência) / 2 
Frequência:
1 - 1/1min
2 - 1/50s
3 - 1/40s
4 - 1/30s
5 - 1/22s
6 - 1/15s
7 - 1/10s
8 - 1/7s
9 - 1/5s
10 - 1/3s
11...
Potência do escudo:
1 - 1-500
2 - 500-1000
3 - 1000-1500
4 - 1500 - 2000
5 - 2000 - 2500
6 - 2500 - 3000
7 - 3000 - 3500
8 - 3500 - 4000
9 - 4000 - 4500
10 - 4500 - 5000</text>
  </threadedComment>
  <threadedComment ref="AY2" dT="2026-06-02T03:02:46.74" personId="{B6012F0E-E5C6-4745-8A5E-4C6462E9C718}" id="{CE9CB006-B990-47C3-A966-88DBFFE642BE}">
    <text>(frequência + potência + duração)/3
0 - não tem essa capacidade
Frequência:
1 - 1/1min
2 - 1/50s
3 - 1/40s
4 - 1/30s
5 - 1/22s
6 - 1/15s
7 - 1/10s
8 - 1/7s
9 - 1/5s
10 - 1/3s
11...
Potência do aumento de dano:
1 - até 5%
2 - até 10%
3 - até 15%
4 - até 20%
5 - até 25%
6 - até 30%
7 - até 35%
8 - até 40%
9 - até 45%
10 - até 50%
11...
duração
1 - 1s
2 - 2s
3 - 3s
4 - 4s
5 - 5s
6 - 6s
7 - 7s
8 - 8s
9 - 9s
10 - 10s
11...</text>
  </threadedComment>
  <threadedComment ref="AZ2" dT="2026-06-02T03:03:24.08" personId="{B6012F0E-E5C6-4745-8A5E-4C6462E9C718}" id="{860C029A-C54B-420F-9B92-E3E9D8304A69}">
    <text>(duração + potência) / 2 
potência:
1 - até 8%
2 - até 16%
3 - até 24%
4 - até 32%
5 - até 40%
6 - até 48%
7 - até 56%
8 - até 64%
9 - até 72%
10 - até 80%
11...
duração
1 - 1s
2 - 2s
3 - 3s
4 - 4s
5 - 5s
6 - 6s
7 - 7s
8 - 8s
9 - 9s
10 - 10s</text>
  </threadedComment>
  <threadedComment ref="BA2" dT="2026-06-02T03:06:12.21" personId="{B6012F0E-E5C6-4745-8A5E-4C6462E9C718}" id="{6F4B8CFC-F9BD-41E4-B38A-CECBB7E9BCBA}">
    <text>(frequencia + duração) / 2 
Frequência
1 - 1/1min
2 - 1/50s
3 - 1/40s
4 - 1/30s
5 - 1/22s
6 - 1/15s
7 - 1/10s
8 - 1/7s
9 - 1/5s
10 - 1/3s
11...
Duração:
1 - 1s
2 - 2s
3 - 3s
4 - 4s
5 - 5s
6 - 6s
7 - 7s
8 - 8s
9 - 9s
10 - 10s
11...</text>
  </threadedComment>
  <threadedComment ref="BB2" dT="2026-06-02T03:20:06.88" personId="{B6012F0E-E5C6-4745-8A5E-4C6462E9C718}" id="{B73E0618-4904-4924-AC1D-0AF2B812984C}">
    <text>(frequência + duração + área) / 3
0 - não tem essa capacidade
Frequência:
1 - 1/1min
2 - 1/50s
3 - 1/40s
4 - 1/30s
5 - 1/22s
6 - 1/15s
7 - 1/10s
8 - 1/7s
9 - 1/5s
10 - 1/3s
11...
duração
1 - 1s
2 - 2s
3 - 3s
4 - 4s
5 - 5s
6 - 6s
7 - 7s
8 - 8s
9 - 9s
10 - 10s
11...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</text>
  </threadedComment>
  <threadedComment ref="BD2" dT="2026-06-02T03:22:47.43" personId="{B6012F0E-E5C6-4745-8A5E-4C6462E9C718}" id="{70814576-71E3-4355-9D2E-0B68A48C1D57}">
    <text>0 - não aplica veneno
1 - duração de 1 hit
2 - duração de 2 hit
3 - duração de 3 hit
4 - duração de 4 hit
5 - duração de 5 hit
6 - duração de 6 hit
7 - duração de 7 hit
8 - duração de 8 hit
9 - duração de 9 hit
10 - duração de 10 hit
11...
/1 se proveniente do ataque principal
/2 se proveniente da super
/3 se proveniente de algo ainda mais ocasional</text>
  </threadedComment>
  <threadedComment ref="BE2" dT="2026-06-02T03:23:18.23" personId="{B6012F0E-E5C6-4745-8A5E-4C6462E9C718}" id="{285F884F-91AC-411A-B3DA-D617A0CBE6CF}">
    <text>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ext>
  </threadedComment>
  <threadedComment ref="BF2" dT="2026-06-02T03:24:11.83" personId="{B6012F0E-E5C6-4745-8A5E-4C6462E9C718}" id="{B5D48F09-D143-4476-844F-6F8DE3C7BE11}">
    <text>1 - stun até 0.1s
2 - stun até 0.35s
3 - stun até 0.6s
4 - stun até 0.85s
5 - stun até 1.1s
6 - stun até 1.35s
7 - stun até 1.6s
8 - stun até 1.85s
9 - stun até 2.1s
10 - stun até 2.5s
11...</text>
  </threadedComment>
  <threadedComment ref="BG2" dT="2026-06-02T03:24:39.33" personId="{B6012F0E-E5C6-4745-8A5E-4C6462E9C718}" id="{39101BE6-9C60-4AAD-8F2C-ACA49AA1D872}">
    <text>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ext>
  </threadedComment>
  <threadedComment ref="BH2" dT="2026-06-02T03:31:43.31" personId="{B6012F0E-E5C6-4745-8A5E-4C6462E9C718}" id="{D535AB02-192D-4E15-9015-52762D6F5DCF}">
    <text>(frequência + potência + duração)/3
0 - não tem essa capacidade
Frequência:
1 - 1/1min
2 - 1/50s
3 - 1/40s
4 - 1/30s
5 - 1/22s
6 - 1/15s
7 - 1/10s
8 - 1/7s
9 - 1/5s
10 - 1/3s
11...
Potência da lentidão:
1 - até 5%
2 - até 10%
3 - até 15%
4 - até 20%
5 - até 25%
6 - até 30%
7 - até 35%
8 - até 40%
9 - até 45%
10 - até 50%
11...
duração
1 - 0.5s
2 - 1s
3 - 1.5s
4 - 2s
5 - 2.5s
6 - 3s
7 - 3.5s
8 - 4s
9 - 4.5s
10 - 5s
11...</text>
  </threadedComment>
  <threadedComment ref="BI2" dT="2026-06-02T03:32:49.52" personId="{B6012F0E-E5C6-4745-8A5E-4C6462E9C718}" id="{E3510953-C425-4123-A249-94F8FDBC2FA4}">
    <text>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ext>
  </threadedComment>
  <threadedComment ref="BJ2" dT="2026-06-02T03:33:10.36" personId="{B6012F0E-E5C6-4745-8A5E-4C6462E9C718}" id="{AF818AB8-E6EF-4BDF-8373-8BC0D40B94DB}">
    <text>0 - o brawler não tem essa capacidade
1 - pouco e apenas de muito perto e não possui formas rápidas de se aproximar
2 - pouco e apenas de perto e não possui formas rápidas de se aproximar
3 - pouco e apenas de medio alcance e não possui formas rápidas de se aproximar
4 - pouco e apenas de perto mas possui formas de se aproximar
5 - pouco e apenas de perto mas possui formas de se aproximar rapidamente
6 - de médias/longas distâncias
7 - longas distâncias
8 - ignorando muros
9 - ignorando obstaculos a médio/longo alcance
10 - ignorando obstáculos e objetos a longo alcance
11...</text>
  </threadedComment>
  <threadedComment ref="BK2" dT="2026-06-02T03:33:36.55" personId="{B6012F0E-E5C6-4745-8A5E-4C6462E9C718}" id="{8D69E0E0-6F6B-440B-B783-E5D8A7454C97}">
    <text>Se o seu brawler não é especialmente afetado, assinale altamente competente (7). Caso seja (um frank por exemplo é muito afetado), tente medir o quão fácil é para o inimigo cancelar um ataque forte seu e te prejudicar.
6 - afetado levemente por demora até finalização do tiro
5 - afetado levemente numa situação específica
4 - afetado consideravelmente no super
3 - afetado consideravelmente no ataque principal
2 - afetado consideravelmente no super e ataque
-1 se dá mais de 1 segundo de tempo de reação na super
-2 se dá mais de 1 segundo de tempo de reação no ataque principal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V2" dT="2026-06-02T02:10:48.30" personId="{B6012F0E-E5C6-4745-8A5E-4C6462E9C718}" id="{C944CAF9-FF5F-495C-A308-007892E4AAF8}">
    <text>(Durabilidade_total / 1400) + (auto_heal_buffing / 3,5)</text>
  </threadedComment>
  <threadedComment ref="W2" dT="2026-06-02T02:14:20.43" personId="{B6012F0E-E5C6-4745-8A5E-4C6462E9C718}" id="{E6FC42D2-FD2A-455A-91D7-D4F30C871899}">
    <text>0 - Não ataca eu achokkk
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ext>
  </threadedComment>
  <threadedComment ref="X2" dT="2026-06-02T02:17:02.99" personId="{B6012F0E-E5C6-4745-8A5E-4C6462E9C718}" id="{BC97BA7E-6F8C-477F-9224-7B3B87B0C662}">
    <text>(frequencia + potência + versatilidade)/3
frequência:
1 - 1 min
2 - 45s
3 - 35s
4 - 30s
5 - 25s
6 - 20s
7 - 15s
8 - 10s
9 - 5s
10 - menos de 5s
11...
potência do uso:
1 - distância curta
2 - distância curta/normal
3 - distância normal/curta
4 - distância normal
5 - distância normal/longa
6 - distância longa/normal
7 - distância longa
8 - distância longa/mtlonga
9 - distância mtlonga/longa
10 - distância mtlonga
11...
versatilidade:
1 - invulnerável, mas parado e vulnerável ao voltar
2 - invulnerável, mas parado ao voltar
3 - afasta inimigos um pouco
4 - afasta medio inimigos
5 - fuga lenta sem escolher direção ou circunstancial
6 - fuga lenta escolhendo direção quase livremente
7 - fuga lenta escolhendo direção livremente
8 - fuga rápida quase sem escolher direção
9 - fuga rápida escolhendo direção quase livremente
10 - fuga rápida escolhendo direção livremente
11...</text>
  </threadedComment>
  <threadedComment ref="Y2" dT="2026-06-02T02:18:20.46" personId="{B6012F0E-E5C6-4745-8A5E-4C6462E9C718}" id="{F1E169BE-03ED-47D8-9F9C-4C5BF207761A}">
    <text>0 - projétil único
1 - projétil único perfurante
2 - linha fina multiplos projéteis
3 - tiro em forma de cone pequeno (25° +ou-)
4 - tiro em forma retangular medio (1 brawler de largura)
5 - tiro em forma de cone médio (50° +ou-)
6 - tiro em forma retangular grande (1-2 brawler de largura)
7 - tiro em forma de cone grande (75° +ou-)
8 - tiro com amplitude maior (até 100° +ou-)
9 - tiro em todas as direções
10 - tiro frequente em todas as direções
11...</text>
  </threadedComment>
  <threadedComment ref="Z2" dT="2026-06-02T02:19:10.84" personId="{B6012F0E-E5C6-4745-8A5E-4C6462E9C718}" id="{764EBF18-3141-40E9-87AC-7A91A4E692AB}">
    <text>0 - mais de 1/30s
1 - 1/30s
2 - 1/20s
3 - 1/15s
4 - 1/10s
5 - 1/5s
6 - ataque básico frequente
7 - ataque básico e super frequente</text>
  </threadedComment>
  <threadedComment ref="AA2" dT="2026-06-02T02:22:12.72" personId="{B6012F0E-E5C6-4745-8A5E-4C6462E9C718}" id="{3DB19886-B401-4DAD-8E8E-090A15D56832}">
    <text>(duração + área + efeito + distância-arremesso)/4
Efeito:
3 - efeito ignorável muitas vezes
6 - efeito ignorável raramente
9 - efeito quase nunca ignoravel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
Duração:
1 - 1s
2 - 2s
3 - 3s
4 - 4s
5 - 5s
6 - 6s
7 - 7s
8 - 8s
9 - 9s
10 - 10s
11...
Distância arremesso
0 - Não ataca eu achokkk
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ext>
  </threadedComment>
  <threadedComment ref="AB2" dT="2026-06-02T02:22:51.85" personId="{B6012F0E-E5C6-4745-8A5E-4C6462E9C718}" id="{1BF9E232-90EE-4ACD-A1DE-9A6BC5180718}">
    <text>0 - o brawler não tem essa capacidade
1 - consegue manipular pouco e apenas de muito perto e não possui formas rápidas de se aproximar
2 - consegue manipular pouco e apenas de perto e não possui formas rápidas de se aproximar
3 - consegue manipular pouco e apenas de medio alcance e não possui formas rápidas de se aproximar
4 - consegue manipular pouco e apenas de perto mas possui formas de se aproximar
5 - o brawler consegue fazer de longas distancias mas manipula pouco
6 - o brawler consegue manipular muito a posição e de médias distâncias
7 - o brawler consegue manipular muito a posição e de longas distâncias
8 - o brawler consegue manipular um pouco a posição mas ignorando muros
9 - o brawler consegue manipular muito a posição e ignorando obstaculos a médio alcance
10 - o brawler consegue manipular muito a posição e ignorando obstáculos e objetos a longo alcance</text>
  </threadedComment>
  <threadedComment ref="AC2" dT="2026-06-02T02:23:23.46" personId="{B6012F0E-E5C6-4745-8A5E-4C6462E9C718}" id="{958A17A6-B188-40E4-B9D3-4AAD821C54D4}">
    <text>0 - absoluta incompetência
7 - altamente competente</text>
  </threadedComment>
  <threadedComment ref="AD2" dT="2026-06-02T02:23:42.82" personId="{B6012F0E-E5C6-4745-8A5E-4C6462E9C718}" id="{97E2212D-593E-40AB-B5E1-260C71E993D2}">
    <text>0 - impossivel causar dano
1 - causa dano irrisório
2 - causa dano circunstancial
3 - causa dano ocasionalmente
4 - causa dano mortal as vezes
5 - causa dano mortal quase normalmente
6 - capaz de atacar o inimigo normalmente
7 - causa dano normalmente + anda na água tmb
8 - causa dano levemente superior
9 - causa dano muito maior a inimigos na água
10 - causa dano absurdamente maior
11...</text>
  </threadedComment>
  <threadedComment ref="AE2" dT="2026-06-02T02:25:21.34" personId="{B6012F0E-E5C6-4745-8A5E-4C6462E9C718}" id="{26737FDB-A916-4BF4-A9A9-7CF6CCFD8068}">
    <text>0 - não quebra muros
1 - 1/35min
2 - 1/30s
3 - 1/25s
4 - 1/20s
5 - 1/15s
6 - 1/12s
7 - 1/9s
8 - 1/6s
9 - 1/3s
10 - 1/1s
11...
-1 se a destruição é pouco controlável
-2 se a destruição é quase incontrolável ou se o brawler não deveria gastar os recursos dele focando nessa destruição</text>
  </threadedComment>
  <threadedComment ref="AF2" dT="2026-06-02T02:25:58.83" personId="{B6012F0E-E5C6-4745-8A5E-4C6462E9C718}" id="{CDB81A4B-4E66-4983-81EF-AA6985855C34}">
    <text>0 - não quebra moitas
1 - 1/25min
2 - 1/16s
3 - 1/12s
4 - 1/10s
5 - 1/8s
6 - 1/6s
7 - 1/4s
8 - 1/3s
9 - 1/2s
10 - 1/1s
11...
-1 se a destruição é pouco controlável
-2 se a destruição é quase incontrolável ou se o brawler não deveria gastar os recursos dele focando nessa destruição</text>
  </threadedComment>
  <threadedComment ref="AG2" dT="2026-06-02T02:26:57.22" personId="{B6012F0E-E5C6-4745-8A5E-4C6462E9C718}" id="{CBAACDD2-4100-434A-9CED-A16BFC4392AD}">
    <text>0 - não constroi cover
1 - 1/25min
2 - 1/16s
3 - 1/12s
4 - 1/10s
5 - 1/8s
6 - 1/6s
7 - 1/4s
8 - 1/3s
9 - 1/2s
10 - 1/1s
11...
-1 se a construção é pouco controlável
-2 se a construção é quase incontrolável ou se o brawler não deveria gastar os recursos dele focando nessa construção</text>
  </threadedComment>
  <threadedComment ref="AH2" dT="2026-06-02T02:28:11.44" personId="{B6012F0E-E5C6-4745-8A5E-4C6462E9C718}" id="{BA151CE8-C11F-4E9B-BE92-9A8C03B72140}">
    <text>1 - muito lento
2 - muito lento/lento
3 - lento
4 - lento/normal
5 - normal
6 - normal/rapido
7 - rapido
8 - rapido/muito rapido
9 - muito rapido
10 - suporter de velocidade
11...
-1 se a hitbox do brawler é do modelo maior</text>
  </threadedComment>
  <threadedComment ref="AI2" dT="2026-06-02T02:29:03.92" personId="{B6012F0E-E5C6-4745-8A5E-4C6462E9C718}" id="{3AA4F353-4653-42B4-AC30-2E21F99420F4}">
    <text>1 - ataque lento e ineficaz
2 - ataque ineficaz
3 - ataque poderoso, mas super lento
4 - ataque poderoso, mas lento
5 - ataque poderoso e rápido, mas facilmente contornável sem sequelas
6 - ataque poderoso, mas contornavel/counterável facilmente
7 - ataque poderoso. Contornavel apenas se não estiver vulnerável
8 - mesmo counters tem dificuldade em prever/reagir ao ataque antes de levar um bom dano
9 - mesmo counters recebem muito dano antes de conseguirem reagir
10 - counterar um ataque bem planejado é quase impossível para qualquer brawler
+1 se aplica velocidade após o ataque
-1 se alcance é normal/longo
-2 se o alcance é curto/normal
-3 se o alcance é muito curto/curto</text>
  </threadedComment>
  <threadedComment ref="AJ2" dT="2026-06-02T02:29:37.61" personId="{B6012F0E-E5C6-4745-8A5E-4C6462E9C718}" id="{D911A897-E4A7-4055-B9D9-E6917E60CFCB}">
    <text>*fórmula pronta, utiliza stun como força adicional</text>
  </threadedComment>
  <threadedComment ref="AK2" dT="2026-06-02T02:31:13.55" personId="{B6012F0E-E5C6-4745-8A5E-4C6462E9C718}" id="{60C799CD-F376-48E6-ACF5-25A0CD5A89F7}">
    <text>1 - 1/1min
2 - 1/50s
3 - 1/40s
4 - 1/30s
5 - 1/22s
6 - 1/15s
7 - 1/10s
8 - 1/7s
9 - 1/5s
10 - 1/3s
11...</text>
  </threadedComment>
  <threadedComment ref="AL2" dT="2026-06-02T02:31:34.22" personId="{B6012F0E-E5C6-4745-8A5E-4C6462E9C718}" id="{EAD1A554-D345-4E2F-9BD4-01C72E98EEAC}">
    <text>1 - nunca acumula mais de 1
2 - raramente acumula mais de 1
3 - ocasionalmente acumula mais de 1
4 - frequentemente acumula ao menos 2
5 - raramente acumula mais de 2
6 - ocasionalmente acumula mais de 2
7 - frequentemente acumula ao menos 3
8 - ocasionalmente acumula mais de 3
9 - frequentemente acumula mais de 4
10 - frequentemente acumula mais de 5
11...</text>
  </threadedComment>
  <threadedComment ref="AM2" dT="2026-06-02T02:32:38.53" personId="{B6012F0E-E5C6-4745-8A5E-4C6462E9C718}" id="{C07D3678-AF36-4690-9834-00A8A37AD8CE}">
    <text>0 - A vida do(s) pet(s) não se deteriora sozinha com o tempo
1 - A vida do(s) pet(s) é deteriorável</text>
  </threadedComment>
  <threadedComment ref="AN2" dT="2026-06-02T02:33:31.06" personId="{B6012F0E-E5C6-4745-8A5E-4C6462E9C718}" id="{929C05D1-4546-4AF7-9CBE-18395EA4DBD1}">
    <text>1 - menos de 2000
2 - entre 2000 e 3000
3 - entre 3000 e 4000
4 - entre 4000 e 5000
5 - entre 5000 e 6000
6 - entre 6000 e 7000
7 - entre 7000 e 8000
8 - entre 8000 e 9000
9 - entre 9000 e 10000
10 - entre 10000 e 11000
11...</text>
  </threadedComment>
  <threadedComment ref="AO2" dT="2026-06-02T02:33:49.93" personId="{B6012F0E-E5C6-4745-8A5E-4C6462E9C718}" id="{7A2BEFB3-497A-45E9-80B7-28E71704F251}">
    <text>0 - dano médio menor de 500
1 - dano médio 500-800
2 - dano médio 800-1100
3 - dano médio 1100-1400
4 - dano médio 1400-1700
5 - dano médio 1700-2000
6 - dano médio 2000-2300
7 - dano médio 2300-2600
8 - dano médio 2900-3200
9 - dano médio 3200-3500
10 - dano médio 3500-3800
11...</text>
  </threadedComment>
  <threadedComment ref="AP2" dT="2026-06-02T02:34:34.37" personId="{B6012F0E-E5C6-4745-8A5E-4C6462E9C718}" id="{93338258-4B25-45AE-919A-B9D739346AE4}">
    <text>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ext>
  </threadedComment>
  <threadedComment ref="AQ2" dT="2026-06-02T02:34:54.40" personId="{B6012F0E-E5C6-4745-8A5E-4C6462E9C718}" id="{9B8BB204-FE83-40C5-A25F-2F3B1627A8A4}">
    <text>1 - muito lento
2 - muito lento/lento
3 - lento/normal
4 - lento
5 - lento/normal
6 - normal/lento
7 - normal
8 - normal/rapido
9 - rapido
10 - MUITO rapido
11...</text>
  </threadedComment>
  <threadedComment ref="AR2" dT="2026-06-02T02:39:21.86" personId="{B6012F0E-E5C6-4745-8A5E-4C6462E9C718}" id="{67E064FB-BEA3-4956-B351-92BFF39A3083}">
    <text>0 - O dono não fica próximo ao pet em quase nenhum momento
2,5 - O dono fica próximo ao pet as vezes, mas raramente por muito tempo
5 - O dono fica próximo ao pet com alguma frequência, mas não é regra de usabilidade
7,5 - O dono fica próximo ao pet na maior parte do tempo, sendo grande parte da sua estratégia principal para avançar contra inimigos
10 - O dono fica próximo ao pet em quase todos os momentos. A exceção para esta regra resulta em inutilidade do pet na maior parte das vezes.</text>
  </threadedComment>
  <threadedComment ref="AS2" dT="2026-06-02T02:40:30.30" personId="{B6012F0E-E5C6-4745-8A5E-4C6462E9C718}" id="{8D09C463-7F6C-479A-8BD5-6602B75D9A2C}">
    <text>0 - não é o caso para esse brawler
1 - chance levemente maior de causar dano ao todo
2 - chance relativamente maior de causar dano ao todo
3 - chance muito maior de causar mais dano ao todo
4 - atinge multiplos inimigos com a super
5 - atinge facilmente multiplos inimigos com a super
6 - atinge multiplos inimigos com o ataque principal
7 - atinge facilmente multiplos inimigos com o ataque
8 - causa mais dano por projétil
9 - causa mais do dobro de dano por projétil
10 - causa mais que o triplo do dano por projétil
11...</text>
  </threadedComment>
  <threadedComment ref="AT2" dT="2026-06-02T02:42:26.97" personId="{B6012F0E-E5C6-4745-8A5E-4C6462E9C718}" id="{30F81B1F-29CB-4CEE-BE6C-67DFA94B0851}">
    <text>(precisão + Área + duração + frequência)/4
Precisão:
3 - perseguição de pets
6 - precisão em posição fixa arremessavel
10 - precisão absoluta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
Duração:
1 - 3s
2 - 6s
3 - 9s
4 - 12s
5 - 15s
6 - 18s
7 - 21s
8 - 24s
9 - 27s
10 - infinito
11...
Frequência:
1 - 1/1min
2 - 1/50s
3 - 1/40s
4 - 1/30s
5 - 1/22s
6 - 1/15s
7 - 1/10s
8 - 1/7s
9 - 1/5s
10 - 1/3s
11...</text>
  </threadedComment>
  <threadedComment ref="AU2" dT="2026-06-02T02:50:25.74" personId="{B6012F0E-E5C6-4745-8A5E-4C6462E9C718}" id="{801434C3-7C5F-4FAE-A9D3-6443DA412149}">
    <text>0 - As informações do brawler/complemento não dependem de nenhuma forma da formação de inimigos ou terreno para que façam sentido
2,5 - As informações do brawler/complemento podem depender um pouco de formas de uso
5 - As informações do brawler/complemento podem depender um pouco de características de terreno, como presença de moitas/agua e/ou de formas de uso
7,5 - as informações dependem bastante de características externas como formas de uso, terreno e inimigos. A verificação humana é essencial para garantir que o brawler realmente seja bom.
10 - As informações dependem demais de fatores externos para funcionarem de forma adequada. Detalhes desses fatores devem ser destacados para o usuário.</text>
  </threadedComment>
  <threadedComment ref="AV2" dT="2026-06-02T02:56:43.63" personId="{B6012F0E-E5C6-4745-8A5E-4C6462E9C718}" id="{D4E71A50-64C1-4567-8789-2C1E288E8B33}">
    <text>(frequência + potência + velocidade) / 3
Frequência:
1 - 1/1min
2 - 1/50s
3 - 1/40s
4 - 1/30s
5 - 1/22s
6 - 1/15s
7 - 1/10s
8 - 1/7s
9 - 1/5s
10 - 1/3s
11...
Potência do hp:
1 - 1-500
2 - 500-1000
3 - 1000-1500
4 - 1500 - 2000
5 - 2000 - 2500
6 - 2500 - 3000
7 - 3000 - 3500
8 - 3500 - 4000
9 - 4000 - 4500
10 - 4500 - 5000
Velocidade da cura
3 - Lenta e parcelada
6 - Lenta ou muito circunstancial
9 - Instantânea e pouco circunstancial</text>
  </threadedComment>
  <threadedComment ref="AW2" dT="2026-06-02T02:57:40.08" personId="{B6012F0E-E5C6-4745-8A5E-4C6462E9C718}" id="{03ABB2A5-08F3-4896-AEAD-24E00D7A14FE}">
    <text>(duração + potência) / 2 
potência:
1 - até 10%
2 - até 20%
3 - até 30%
4 - até 40%
5 - até 50%
6 - até 60%
7 - até 70%
8 - até 80%
9 - até 90%
10 - até 100%
duração
1 - 1s
2 - 2s
3 - 3s
4 - 4s
5 - 5s
6 - 6s
7 - 7s
8 - 8s
9 - 9s
10 - 10s</text>
  </threadedComment>
  <threadedComment ref="AX2" dT="2026-06-02T03:00:04.34" personId="{B6012F0E-E5C6-4745-8A5E-4C6462E9C718}" id="{0A72C888-5BC5-4E7B-BD8F-F41F5D9DA4D3}">
    <text>(frequência + potência) / 2 
Frequência:
1 - 1/1min
2 - 1/50s
3 - 1/40s
4 - 1/30s
5 - 1/22s
6 - 1/15s
7 - 1/10s
8 - 1/7s
9 - 1/5s
10 - 1/3s
11...
Potência do escudo:
1 - 1-500
2 - 500-1000
3 - 1000-1500
4 - 1500 - 2000
5 - 2000 - 2500
6 - 2500 - 3000
7 - 3000 - 3500
8 - 3500 - 4000
9 - 4000 - 4500
10 - 4500 - 5000</text>
  </threadedComment>
  <threadedComment ref="AY2" dT="2026-06-02T03:02:46.74" personId="{B6012F0E-E5C6-4745-8A5E-4C6462E9C718}" id="{2D00D098-998F-4FC6-ADD1-D2EB4DED77DF}">
    <text>(frequência + potência + duração)/3
0 - não tem essa capacidade
Frequência:
1 - 1/1min
2 - 1/50s
3 - 1/40s
4 - 1/30s
5 - 1/22s
6 - 1/15s
7 - 1/10s
8 - 1/7s
9 - 1/5s
10 - 1/3s
11...
Potência do aumento de dano:
1 - até 5%
2 - até 10%
3 - até 15%
4 - até 20%
5 - até 25%
6 - até 30%
7 - até 35%
8 - até 40%
9 - até 45%
10 - até 50%
11...
duração
1 - 1s
2 - 2s
3 - 3s
4 - 4s
5 - 5s
6 - 6s
7 - 7s
8 - 8s
9 - 9s
10 - 10s
11...</text>
  </threadedComment>
  <threadedComment ref="AZ2" dT="2026-06-02T03:03:24.08" personId="{B6012F0E-E5C6-4745-8A5E-4C6462E9C718}" id="{C4AFD06C-2B21-4658-ADD6-C40F2F98AFF4}">
    <text>(duração + potência) / 2 
potência:
1 - até 8%
2 - até 16%
3 - até 24%
4 - até 32%
5 - até 40%
6 - até 48%
7 - até 56%
8 - até 64%
9 - até 72%
10 - até 80%
11...
duração
1 - 1s
2 - 2s
3 - 3s
4 - 4s
5 - 5s
6 - 6s
7 - 7s
8 - 8s
9 - 9s
10 - 10s</text>
  </threadedComment>
  <threadedComment ref="BA2" dT="2026-06-02T03:06:12.21" personId="{B6012F0E-E5C6-4745-8A5E-4C6462E9C718}" id="{FFB6021E-908B-4AF0-A5FE-8D831941F692}">
    <text>(frequencia + duração) / 2 
Frequência
1 - 1/1min
2 - 1/50s
3 - 1/40s
4 - 1/30s
5 - 1/22s
6 - 1/15s
7 - 1/10s
8 - 1/7s
9 - 1/5s
10 - 1/3s
11...
Duração:
1 - 1s
2 - 2s
3 - 3s
4 - 4s
5 - 5s
6 - 6s
7 - 7s
8 - 8s
9 - 9s
10 - 10s
11...</text>
  </threadedComment>
  <threadedComment ref="BB2" dT="2026-06-02T03:20:06.88" personId="{B6012F0E-E5C6-4745-8A5E-4C6462E9C718}" id="{2722AC9D-5AE4-4544-BF1F-4131218A2E78}">
    <text>(frequência + duração + área) / 3
0 - não tem essa capacidade
Frequência:
1 - 1/1min
2 - 1/50s
3 - 1/40s
4 - 1/30s
5 - 1/22s
6 - 1/15s
7 - 1/10s
8 - 1/7s
9 - 1/5s
10 - 1/3s
11...
duração
1 - 1s
2 - 2s
3 - 3s
4 - 4s
5 - 5s
6 - 6s
7 - 7s
8 - 8s
9 - 9s
10 - 10s
11...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</text>
  </threadedComment>
  <threadedComment ref="BD2" dT="2026-06-02T03:22:47.43" personId="{B6012F0E-E5C6-4745-8A5E-4C6462E9C718}" id="{F93D3B84-2D38-4D9F-846D-8AA8E5FF8F59}">
    <text>0 - não aplica veneno
1 - duração de 1 hit
2 - duração de 2 hit
3 - duração de 3 hit
4 - duração de 4 hit
5 - duração de 5 hit
6 - duração de 6 hit
7 - duração de 7 hit
8 - duração de 8 hit
9 - duração de 9 hit
10 - duração de 10 hit
11...
/1 se proveniente do ataque principal
/2 se proveniente da super
/3 se proveniente de algo ainda mais ocasional</text>
  </threadedComment>
  <threadedComment ref="BE2" dT="2026-06-02T03:23:18.23" personId="{B6012F0E-E5C6-4745-8A5E-4C6462E9C718}" id="{D696D9FB-742D-476E-B67D-72CC16F3C891}">
    <text>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ext>
  </threadedComment>
  <threadedComment ref="BF2" dT="2026-06-02T03:24:11.83" personId="{B6012F0E-E5C6-4745-8A5E-4C6462E9C718}" id="{2218D972-22C3-46DC-8F32-B131A4581A8F}">
    <text>1 - stun até 0.1s
2 - stun até 0.35s
3 - stun até 0.6s
4 - stun até 0.85s
5 - stun até 1.1s
6 - stun até 1.35s
7 - stun até 1.6s
8 - stun até 1.85s
9 - stun até 2.1s
10 - stun até 2.5s
11...</text>
  </threadedComment>
  <threadedComment ref="BG2" dT="2026-06-02T03:24:39.33" personId="{B6012F0E-E5C6-4745-8A5E-4C6462E9C718}" id="{737CEDAB-B2CD-4139-9671-5187FD73764B}">
    <text>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ext>
  </threadedComment>
  <threadedComment ref="BH2" dT="2026-06-02T03:31:43.31" personId="{B6012F0E-E5C6-4745-8A5E-4C6462E9C718}" id="{A8BD1EB7-77F4-4507-A61B-65D48811D538}">
    <text>(frequência + potência + duração)/3
0 - não tem essa capacidade
Frequência:
1 - 1/1min
2 - 1/50s
3 - 1/40s
4 - 1/30s
5 - 1/22s
6 - 1/15s
7 - 1/10s
8 - 1/7s
9 - 1/5s
10 - 1/3s
11...
Potência da lentidão:
1 - até 5%
2 - até 10%
3 - até 15%
4 - até 20%
5 - até 25%
6 - até 30%
7 - até 35%
8 - até 40%
9 - até 45%
10 - até 50%
11...
duração
1 - 0.5s
2 - 1s
3 - 1.5s
4 - 2s
5 - 2.5s
6 - 3s
7 - 3.5s
8 - 4s
9 - 4.5s
10 - 5s
11...</text>
  </threadedComment>
  <threadedComment ref="BI2" dT="2026-06-02T03:32:49.52" personId="{B6012F0E-E5C6-4745-8A5E-4C6462E9C718}" id="{F459013C-3D4A-46A9-9DE3-1342510CCC8F}">
    <text>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ext>
  </threadedComment>
  <threadedComment ref="BJ2" dT="2026-06-02T03:33:10.36" personId="{B6012F0E-E5C6-4745-8A5E-4C6462E9C718}" id="{1415665B-CF36-4EBE-B8ED-21DF2F447D7A}">
    <text>0 - o brawler não tem essa capacidade
1 - pouco e apenas de muito perto e não possui formas rápidas de se aproximar
2 - pouco e apenas de perto e não possui formas rápidas de se aproximar
3 - pouco e apenas de medio alcance e não possui formas rápidas de se aproximar
4 - pouco e apenas de perto mas possui formas de se aproximar
5 - pouco e apenas de perto mas possui formas de se aproximar rapidamente
6 - de médias/longas distâncias
7 - longas distâncias
8 - ignorando muros
9 - ignorando obstaculos a médio/longo alcance
10 - ignorando obstáculos e objetos a longo alcance
11...</text>
  </threadedComment>
  <threadedComment ref="BK2" dT="2026-06-02T03:33:36.55" personId="{B6012F0E-E5C6-4745-8A5E-4C6462E9C718}" id="{9C705216-6304-4185-94E5-E7B954736E6B}">
    <text>Se o seu brawler não é especialmente afetado, assinale altamente competente (7). Caso seja (um frank por exemplo é muito afetado), tente medir o quão fácil é para o inimigo cancelar um ataque forte seu e te prejudicar.
6 - afetado levemente por demora até finalização do tiro
5 - afetado levemente numa situação específica
4 - afetado consideravelmente no super
3 - afetado consideravelmente no ataque principal
2 - afetado consideravelmente no super e ataque
-1 se dá mais de 1 segundo de tempo de reação na super
-2 se dá mais de 1 segundo de tempo de reação no ataque principal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V2" dT="2026-06-02T02:10:48.30" personId="{B6012F0E-E5C6-4745-8A5E-4C6462E9C718}" id="{AB2E1642-3A0B-4A20-9C8F-8F78ED56A9F3}">
    <text>(Durabilidade_total / 1400) + (auto_heal_buffing / 3,5)</text>
  </threadedComment>
  <threadedComment ref="W2" dT="2026-06-02T02:14:20.43" personId="{B6012F0E-E5C6-4745-8A5E-4C6462E9C718}" id="{22FA8EAB-0BF0-4C88-B452-DEB573D78B5F}">
    <text>0 - Não ataca eu achokkk
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ext>
  </threadedComment>
  <threadedComment ref="X2" dT="2026-06-02T02:17:02.99" personId="{B6012F0E-E5C6-4745-8A5E-4C6462E9C718}" id="{79E19527-57B0-487C-A21E-249B5DBB6E8A}">
    <text>(frequencia + potência + versatilidade)/3
frequência:
1 - 1 min
2 - 45s
3 - 35s
4 - 30s
5 - 25s
6 - 20s
7 - 15s
8 - 10s
9 - 5s
10 - menos de 5s
11...
potência do uso:
1 - distância curta
2 - distância curta/normal
3 - distância normal/curta
4 - distância normal
5 - distância normal/longa
6 - distância longa/normal
7 - distância longa
8 - distância longa/mtlonga
9 - distância mtlonga/longa
10 - distância mtlonga
11...
versatilidade:
1 - invulnerável, mas parado e vulnerável ao voltar
2 - invulnerável, mas parado ao voltar
3 - afasta inimigos um pouco
4 - afasta medio inimigos
5 - fuga lenta sem escolher direção ou circunstancial
6 - fuga lenta escolhendo direção quase livremente
7 - fuga lenta escolhendo direção livremente
8 - fuga rápida quase sem escolher direção
9 - fuga rápida escolhendo direção quase livremente
10 - fuga rápida escolhendo direção livremente
11...</text>
  </threadedComment>
  <threadedComment ref="Y2" dT="2026-06-02T02:18:20.46" personId="{B6012F0E-E5C6-4745-8A5E-4C6462E9C718}" id="{45883069-573A-4134-B980-C600E8FADE1C}">
    <text>0 - projétil único
1 - projétil único perfurante
2 - linha fina multiplos projéteis
3 - tiro em forma de cone pequeno (25° +ou-)
4 - tiro em forma retangular medio (1 brawler de largura)
5 - tiro em forma de cone médio (50° +ou-)
6 - tiro em forma retangular grande (1-2 brawler de largura)
7 - tiro em forma de cone grande (75° +ou-)
8 - tiro com amplitude maior (até 100° +ou-)
9 - tiro em todas as direções
10 - tiro frequente em todas as direções
11...</text>
  </threadedComment>
  <threadedComment ref="Z2" dT="2026-06-02T02:19:10.84" personId="{B6012F0E-E5C6-4745-8A5E-4C6462E9C718}" id="{904F2E48-9C89-4E76-8CBB-21E7B90B453F}">
    <text>0 - mais de 1/30s
1 - 1/30s
2 - 1/20s
3 - 1/15s
4 - 1/10s
5 - 1/5s
6 - ataque básico frequente
7 - ataque básico e super frequente</text>
  </threadedComment>
  <threadedComment ref="AA2" dT="2026-06-02T02:22:12.72" personId="{B6012F0E-E5C6-4745-8A5E-4C6462E9C718}" id="{E1963810-71A3-47FD-B892-525AC5EF68DA}">
    <text>(duração + área + efeito + distância-arremesso)/4
Efeito:
3 - efeito ignorável muitas vezes
6 - efeito ignorável raramente
9 - efeito quase nunca ignoravel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
Duração:
1 - 1s
2 - 2s
3 - 3s
4 - 4s
5 - 5s
6 - 6s
7 - 7s
8 - 8s
9 - 9s
10 - 10s
11...
Distância arremesso
0 - Não ataca eu achokkk
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ext>
  </threadedComment>
  <threadedComment ref="AB2" dT="2026-06-02T02:22:51.85" personId="{B6012F0E-E5C6-4745-8A5E-4C6462E9C718}" id="{F6B31E50-32CD-4A00-9E3B-7B149A212FBE}">
    <text>0 - o brawler não tem essa capacidade
1 - consegue manipular pouco e apenas de muito perto e não possui formas rápidas de se aproximar
2 - consegue manipular pouco e apenas de perto e não possui formas rápidas de se aproximar
3 - consegue manipular pouco e apenas de medio alcance e não possui formas rápidas de se aproximar
4 - consegue manipular pouco e apenas de perto mas possui formas de se aproximar
5 - o brawler consegue fazer de longas distancias mas manipula pouco
6 - o brawler consegue manipular muito a posição e de médias distâncias
7 - o brawler consegue manipular muito a posição e de longas distâncias
8 - o brawler consegue manipular um pouco a posição mas ignorando muros
9 - o brawler consegue manipular muito a posição e ignorando obstaculos a médio alcance
10 - o brawler consegue manipular muito a posição e ignorando obstáculos e objetos a longo alcance</text>
  </threadedComment>
  <threadedComment ref="AC2" dT="2026-06-02T02:23:23.46" personId="{B6012F0E-E5C6-4745-8A5E-4C6462E9C718}" id="{B6004CD2-AA61-4F06-8C4E-CD3974403BAD}">
    <text>0 - absoluta incompetência
7 - altamente competente</text>
  </threadedComment>
  <threadedComment ref="AD2" dT="2026-06-02T02:23:42.82" personId="{B6012F0E-E5C6-4745-8A5E-4C6462E9C718}" id="{6D49238B-CA81-4C4F-8A45-E48379EE32BC}">
    <text>0 - impossivel causar dano
1 - causa dano irrisório
2 - causa dano circunstancial
3 - causa dano ocasionalmente
4 - causa dano mortal as vezes
5 - causa dano mortal quase normalmente
6 - capaz de atacar o inimigo normalmente
7 - causa dano normalmente + anda na água tmb
8 - causa dano levemente superior
9 - causa dano muito maior a inimigos na água
10 - causa dano absurdamente maior
11...</text>
  </threadedComment>
  <threadedComment ref="AE2" dT="2026-06-02T02:25:21.34" personId="{B6012F0E-E5C6-4745-8A5E-4C6462E9C718}" id="{163E51A4-E6AC-4389-BB5F-D719ABD9C0EA}">
    <text>0 - não quebra muros
1 - 1/35min
2 - 1/30s
3 - 1/25s
4 - 1/20s
5 - 1/15s
6 - 1/12s
7 - 1/9s
8 - 1/6s
9 - 1/3s
10 - 1/1s
11...
-1 se a destruição é pouco controlável
-2 se a destruição é quase incontrolável ou se o brawler não deveria gastar os recursos dele focando nessa destruição</text>
  </threadedComment>
  <threadedComment ref="AF2" dT="2026-06-02T02:25:58.83" personId="{B6012F0E-E5C6-4745-8A5E-4C6462E9C718}" id="{27FBB4B4-F0DD-4002-AB14-5A232E48BF99}">
    <text>0 - não quebra moitas
1 - 1/25min
2 - 1/16s
3 - 1/12s
4 - 1/10s
5 - 1/8s
6 - 1/6s
7 - 1/4s
8 - 1/3s
9 - 1/2s
10 - 1/1s
11...
-1 se a destruição é pouco controlável
-2 se a destruição é quase incontrolável ou se o brawler não deveria gastar os recursos dele focando nessa destruição</text>
  </threadedComment>
  <threadedComment ref="AG2" dT="2026-06-02T02:26:57.22" personId="{B6012F0E-E5C6-4745-8A5E-4C6462E9C718}" id="{EA90FEFE-F494-491C-A798-D7DB2A95B8ED}">
    <text>0 - não constroi cover
1 - 1/25min
2 - 1/16s
3 - 1/12s
4 - 1/10s
5 - 1/8s
6 - 1/6s
7 - 1/4s
8 - 1/3s
9 - 1/2s
10 - 1/1s
11...
-1 se a construção é pouco controlável
-2 se a construção é quase incontrolável ou se o brawler não deveria gastar os recursos dele focando nessa construção</text>
  </threadedComment>
  <threadedComment ref="AH2" dT="2026-06-02T02:28:11.44" personId="{B6012F0E-E5C6-4745-8A5E-4C6462E9C718}" id="{C0360099-1A78-4D2E-8BC3-F6CBE7B3E44C}">
    <text>1 - muito lento
2 - muito lento/lento
3 - lento
4 - lento/normal
5 - normal
6 - normal/rapido
7 - rapido
8 - rapido/muito rapido
9 - muito rapido
10 - suporter de velocidade
11...
-1 se a hitbox do brawler é do modelo maior</text>
  </threadedComment>
  <threadedComment ref="AI2" dT="2026-06-02T02:29:03.92" personId="{B6012F0E-E5C6-4745-8A5E-4C6462E9C718}" id="{C9104942-D7C6-4867-9796-2636A7F7E38B}">
    <text>1 - ataque lento e ineficaz
2 - ataque ineficaz
3 - ataque poderoso, mas super lento
4 - ataque poderoso, mas lento
5 - ataque poderoso e rápido, mas facilmente contornável sem sequelas
6 - ataque poderoso, mas contornavel/counterável facilmente
7 - ataque poderoso. Contornavel apenas se não estiver vulnerável
8 - mesmo counters tem dificuldade em prever/reagir ao ataque antes de levar um bom dano
9 - mesmo counters recebem muito dano antes de conseguirem reagir
10 - counterar um ataque bem planejado é quase impossível para qualquer brawler
+1 se aplica velocidade após o ataque
-1 se alcance é normal/longo
-2 se o alcance é curto/normal
-3 se o alcance é muito curto/curto</text>
  </threadedComment>
  <threadedComment ref="AJ2" dT="2026-06-02T02:29:37.61" personId="{B6012F0E-E5C6-4745-8A5E-4C6462E9C718}" id="{3CB3A5D1-A9C2-4290-854C-57657A943496}">
    <text>*fórmula pronta, utiliza stun como força adicional</text>
  </threadedComment>
  <threadedComment ref="AK2" dT="2026-06-02T02:31:13.55" personId="{B6012F0E-E5C6-4745-8A5E-4C6462E9C718}" id="{AFED3B60-0087-487E-B9EC-1FD794AEC1B9}">
    <text>1 - 1/1min
2 - 1/50s
3 - 1/40s
4 - 1/30s
5 - 1/22s
6 - 1/15s
7 - 1/10s
8 - 1/7s
9 - 1/5s
10 - 1/3s
11...</text>
  </threadedComment>
  <threadedComment ref="AL2" dT="2026-06-02T02:31:34.22" personId="{B6012F0E-E5C6-4745-8A5E-4C6462E9C718}" id="{285443DB-4C79-4ACF-89CE-EE7FBDA7EFD0}">
    <text>1 - nunca acumula mais de 1
2 - raramente acumula mais de 1
3 - ocasionalmente acumula mais de 1
4 - frequentemente acumula ao menos 2
5 - raramente acumula mais de 2
6 - ocasionalmente acumula mais de 2
7 - frequentemente acumula ao menos 3
8 - ocasionalmente acumula mais de 3
9 - frequentemente acumula mais de 4
10 - frequentemente acumula mais de 5
11...</text>
  </threadedComment>
  <threadedComment ref="AM2" dT="2026-06-02T02:32:38.53" personId="{B6012F0E-E5C6-4745-8A5E-4C6462E9C718}" id="{603975C2-BF30-4A10-A966-9C56490B265C}">
    <text>0 - A vida do(s) pet(s) não se deteriora sozinha com o tempo
1 - A vida do(s) pet(s) é deteriorável</text>
  </threadedComment>
  <threadedComment ref="AN2" dT="2026-06-02T02:33:31.06" personId="{B6012F0E-E5C6-4745-8A5E-4C6462E9C718}" id="{CE024B70-19B2-4B1D-A26B-F7283EE8AA87}">
    <text>1 - menos de 2000
2 - entre 2000 e 3000
3 - entre 3000 e 4000
4 - entre 4000 e 5000
5 - entre 5000 e 6000
6 - entre 6000 e 7000
7 - entre 7000 e 8000
8 - entre 8000 e 9000
9 - entre 9000 e 10000
10 - entre 10000 e 11000
11...</text>
  </threadedComment>
  <threadedComment ref="AO2" dT="2026-06-02T02:33:49.93" personId="{B6012F0E-E5C6-4745-8A5E-4C6462E9C718}" id="{9CF932BD-C4CC-41A9-A718-831599F5B900}">
    <text>0 - dano médio menor de 500
1 - dano médio 500-800
2 - dano médio 800-1100
3 - dano médio 1100-1400
4 - dano médio 1400-1700
5 - dano médio 1700-2000
6 - dano médio 2000-2300
7 - dano médio 2300-2600
8 - dano médio 2900-3200
9 - dano médio 3200-3500
10 - dano médio 3500-3800
11...</text>
  </threadedComment>
  <threadedComment ref="AP2" dT="2026-06-02T02:34:34.37" personId="{B6012F0E-E5C6-4745-8A5E-4C6462E9C718}" id="{9D4EC3BF-A0F8-4D3E-87E6-DE74795E64F8}">
    <text>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ext>
  </threadedComment>
  <threadedComment ref="AQ2" dT="2026-06-02T02:34:54.40" personId="{B6012F0E-E5C6-4745-8A5E-4C6462E9C718}" id="{94C41C0B-D8FD-4B06-AD9F-AC9D12922875}">
    <text>1 - muito lento
2 - muito lento/lento
3 - lento/normal
4 - lento
5 - lento/normal
6 - normal/lento
7 - normal
8 - normal/rapido
9 - rapido
10 - MUITO rapido
11...</text>
  </threadedComment>
  <threadedComment ref="AR2" dT="2026-06-02T02:39:21.86" personId="{B6012F0E-E5C6-4745-8A5E-4C6462E9C718}" id="{70B4C29F-E60F-4F49-A58C-A05A15580F7C}">
    <text>0 - O dono não fica próximo ao pet em quase nenhum momento
2,5 - O dono fica próximo ao pet as vezes, mas raramente por muito tempo
5 - O dono fica próximo ao pet com alguma frequência, mas não é regra de usabilidade
7,5 - O dono fica próximo ao pet na maior parte do tempo, sendo grande parte da sua estratégia principal para avançar contra inimigos
10 - O dono fica próximo ao pet em quase todos os momentos. A exceção para esta regra resulta em inutilidade do pet na maior parte das vezes.</text>
  </threadedComment>
  <threadedComment ref="AS2" dT="2026-06-02T02:40:30.30" personId="{B6012F0E-E5C6-4745-8A5E-4C6462E9C718}" id="{99D28CCE-AC3A-47D4-979C-FC92549E6E0D}">
    <text>0 - não é o caso para esse brawler
1 - chance levemente maior de causar dano ao todo
2 - chance relativamente maior de causar dano ao todo
3 - chance muito maior de causar mais dano ao todo
4 - atinge multiplos inimigos com a super
5 - atinge facilmente multiplos inimigos com a super
6 - atinge multiplos inimigos com o ataque principal
7 - atinge facilmente multiplos inimigos com o ataque
8 - causa mais dano por projétil
9 - causa mais do dobro de dano por projétil
10 - causa mais que o triplo do dano por projétil
11...</text>
  </threadedComment>
  <threadedComment ref="AT2" dT="2026-06-02T02:42:26.97" personId="{B6012F0E-E5C6-4745-8A5E-4C6462E9C718}" id="{19DB9608-BF1F-44E6-B98F-FBDEC7FB9184}">
    <text>(precisão + Área + duração + frequência)/4
Precisão:
3 - perseguição de pets
6 - precisão em posição fixa arremessavel
10 - precisão absoluta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
Duração:
1 - 3s
2 - 6s
3 - 9s
4 - 12s
5 - 15s
6 - 18s
7 - 21s
8 - 24s
9 - 27s
10 - infinito
11...
Frequência:
1 - 1/1min
2 - 1/50s
3 - 1/40s
4 - 1/30s
5 - 1/22s
6 - 1/15s
7 - 1/10s
8 - 1/7s
9 - 1/5s
10 - 1/3s
11...</text>
  </threadedComment>
  <threadedComment ref="AU2" dT="2026-06-02T02:50:25.74" personId="{B6012F0E-E5C6-4745-8A5E-4C6462E9C718}" id="{28139002-EB18-4688-A75F-4E348FBCA122}">
    <text>0 - As informações do brawler/complemento não dependem de nenhuma forma da formação de inimigos ou terreno para que façam sentido
2,5 - As informações do brawler/complemento podem depender um pouco de formas de uso
5 - As informações do brawler/complemento podem depender um pouco de características de terreno, como presença de moitas/agua e/ou de formas de uso
7,5 - as informações dependem bastante de características externas como formas de uso, terreno e inimigos. A verificação humana é essencial para garantir que o brawler realmente seja bom.
10 - As informações dependem demais de fatores externos para funcionarem de forma adequada. Detalhes desses fatores devem ser destacados para o usuário.</text>
  </threadedComment>
  <threadedComment ref="AV2" dT="2026-06-02T02:56:43.63" personId="{B6012F0E-E5C6-4745-8A5E-4C6462E9C718}" id="{F96B29DC-8074-4CA4-981A-58980A5A2167}">
    <text>(frequência + potência + velocidade) / 3
Frequência:
1 - 1/1min
2 - 1/50s
3 - 1/40s
4 - 1/30s
5 - 1/22s
6 - 1/15s
7 - 1/10s
8 - 1/7s
9 - 1/5s
10 - 1/3s
11...
Potência do hp:
1 - 1-500
2 - 500-1000
3 - 1000-1500
4 - 1500 - 2000
5 - 2000 - 2500
6 - 2500 - 3000
7 - 3000 - 3500
8 - 3500 - 4000
9 - 4000 - 4500
10 - 4500 - 5000
Velocidade da cura
3 - Lenta e parcelada
6 - Lenta ou muito circunstancial
9 - Instantânea e pouco circunstancial</text>
  </threadedComment>
  <threadedComment ref="AW2" dT="2026-06-02T02:57:40.08" personId="{B6012F0E-E5C6-4745-8A5E-4C6462E9C718}" id="{B79138B2-46A9-42C9-A462-221D7A4323E8}">
    <text>(duração + potência) / 2 
potência:
1 - até 10%
2 - até 20%
3 - até 30%
4 - até 40%
5 - até 50%
6 - até 60%
7 - até 70%
8 - até 80%
9 - até 90%
10 - até 100%
duração
1 - 1s
2 - 2s
3 - 3s
4 - 4s
5 - 5s
6 - 6s
7 - 7s
8 - 8s
9 - 9s
10 - 10s</text>
  </threadedComment>
  <threadedComment ref="AX2" dT="2026-06-02T03:00:04.34" personId="{B6012F0E-E5C6-4745-8A5E-4C6462E9C718}" id="{D9B76794-382E-4EE2-BB2F-F82CB9EF8191}">
    <text>(frequência + potência) / 2 
Frequência:
1 - 1/1min
2 - 1/50s
3 - 1/40s
4 - 1/30s
5 - 1/22s
6 - 1/15s
7 - 1/10s
8 - 1/7s
9 - 1/5s
10 - 1/3s
11...
Potência do escudo:
1 - 1-500
2 - 500-1000
3 - 1000-1500
4 - 1500 - 2000
5 - 2000 - 2500
6 - 2500 - 3000
7 - 3000 - 3500
8 - 3500 - 4000
9 - 4000 - 4500
10 - 4500 - 5000</text>
  </threadedComment>
  <threadedComment ref="AY2" dT="2026-06-02T03:02:46.74" personId="{B6012F0E-E5C6-4745-8A5E-4C6462E9C718}" id="{72ED817C-B528-4774-B9B8-950D070DDA6D}">
    <text>(frequência + potência + duração)/3
0 - não tem essa capacidade
Frequência:
1 - 1/1min
2 - 1/50s
3 - 1/40s
4 - 1/30s
5 - 1/22s
6 - 1/15s
7 - 1/10s
8 - 1/7s
9 - 1/5s
10 - 1/3s
11...
Potência do aumento de dano:
1 - até 5%
2 - até 10%
3 - até 15%
4 - até 20%
5 - até 25%
6 - até 30%
7 - até 35%
8 - até 40%
9 - até 45%
10 - até 50%
11...
duração
1 - 1s
2 - 2s
3 - 3s
4 - 4s
5 - 5s
6 - 6s
7 - 7s
8 - 8s
9 - 9s
10 - 10s
11...</text>
  </threadedComment>
  <threadedComment ref="AZ2" dT="2026-06-02T03:03:24.08" personId="{B6012F0E-E5C6-4745-8A5E-4C6462E9C718}" id="{2BC0CC20-D5E3-4D43-BFD0-752239273FFA}">
    <text>(duração + potência) / 2 
potência:
1 - até 8%
2 - até 16%
3 - até 24%
4 - até 32%
5 - até 40%
6 - até 48%
7 - até 56%
8 - até 64%
9 - até 72%
10 - até 80%
11...
duração
1 - 1s
2 - 2s
3 - 3s
4 - 4s
5 - 5s
6 - 6s
7 - 7s
8 - 8s
9 - 9s
10 - 10s</text>
  </threadedComment>
  <threadedComment ref="BA2" dT="2026-06-02T03:06:12.21" personId="{B6012F0E-E5C6-4745-8A5E-4C6462E9C718}" id="{542AC181-6E25-4E62-934B-99DD4FC48517}">
    <text>(frequencia + duração) / 2 
Frequência
1 - 1/1min
2 - 1/50s
3 - 1/40s
4 - 1/30s
5 - 1/22s
6 - 1/15s
7 - 1/10s
8 - 1/7s
9 - 1/5s
10 - 1/3s
11...
Duração:
1 - 1s
2 - 2s
3 - 3s
4 - 4s
5 - 5s
6 - 6s
7 - 7s
8 - 8s
9 - 9s
10 - 10s
11...</text>
  </threadedComment>
  <threadedComment ref="BB2" dT="2026-06-02T03:20:06.88" personId="{B6012F0E-E5C6-4745-8A5E-4C6462E9C718}" id="{E3A6BDE2-8107-4F99-9E85-E5693FEAA65B}">
    <text>(frequência + duração + área) / 3
0 - não tem essa capacidade
Frequência:
1 - 1/1min
2 - 1/50s
3 - 1/40s
4 - 1/30s
5 - 1/22s
6 - 1/15s
7 - 1/10s
8 - 1/7s
9 - 1/5s
10 - 1/3s
11...
duração
1 - 1s
2 - 2s
3 - 3s
4 - 4s
5 - 5s
6 - 6s
7 - 7s
8 - 8s
9 - 9s
10 - 10s
11...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</text>
  </threadedComment>
  <threadedComment ref="BD2" dT="2026-06-02T03:22:47.43" personId="{B6012F0E-E5C6-4745-8A5E-4C6462E9C718}" id="{DD29FD6D-8FD1-489A-96B7-430F19838153}">
    <text>0 - não aplica veneno
1 - duração de 1 hit
2 - duração de 2 hit
3 - duração de 3 hit
4 - duração de 4 hit
5 - duração de 5 hit
6 - duração de 6 hit
7 - duração de 7 hit
8 - duração de 8 hit
9 - duração de 9 hit
10 - duração de 10 hit
11...
/1 se proveniente do ataque principal
/2 se proveniente da super
/3 se proveniente de algo ainda mais ocasional</text>
  </threadedComment>
  <threadedComment ref="BE2" dT="2026-06-02T03:23:18.23" personId="{B6012F0E-E5C6-4745-8A5E-4C6462E9C718}" id="{8F1D5CBD-0005-474F-BF16-61E14E1CA198}">
    <text>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ext>
  </threadedComment>
  <threadedComment ref="BF2" dT="2026-06-02T03:24:11.83" personId="{B6012F0E-E5C6-4745-8A5E-4C6462E9C718}" id="{5CEE0A1B-D0E5-4642-A980-C54E408DCBC2}">
    <text>1 - stun até 0.1s
2 - stun até 0.35s
3 - stun até 0.6s
4 - stun até 0.85s
5 - stun até 1.1s
6 - stun até 1.35s
7 - stun até 1.6s
8 - stun até 1.85s
9 - stun até 2.1s
10 - stun até 2.5s
11...</text>
  </threadedComment>
  <threadedComment ref="BG2" dT="2026-06-02T03:24:39.33" personId="{B6012F0E-E5C6-4745-8A5E-4C6462E9C718}" id="{B9E09B1C-778E-436B-B04D-8CF39E11523C}">
    <text>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ext>
  </threadedComment>
  <threadedComment ref="BH2" dT="2026-06-02T03:31:43.31" personId="{B6012F0E-E5C6-4745-8A5E-4C6462E9C718}" id="{AEC72396-F141-4843-AC8D-DEEEB8E600C4}">
    <text>(frequência + potência + duração)/3
0 - não tem essa capacidade
Frequência:
1 - 1/1min
2 - 1/50s
3 - 1/40s
4 - 1/30s
5 - 1/22s
6 - 1/15s
7 - 1/10s
8 - 1/7s
9 - 1/5s
10 - 1/3s
11...
Potência da lentidão:
1 - até 5%
2 - até 10%
3 - até 15%
4 - até 20%
5 - até 25%
6 - até 30%
7 - até 35%
8 - até 40%
9 - até 45%
10 - até 50%
11...
duração
1 - 0.5s
2 - 1s
3 - 1.5s
4 - 2s
5 - 2.5s
6 - 3s
7 - 3.5s
8 - 4s
9 - 4.5s
10 - 5s
11...</text>
  </threadedComment>
  <threadedComment ref="BI2" dT="2026-06-02T03:32:49.52" personId="{B6012F0E-E5C6-4745-8A5E-4C6462E9C718}" id="{36096CDB-C9E7-4084-80F0-F06FB52F0D06}">
    <text>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ext>
  </threadedComment>
  <threadedComment ref="BJ2" dT="2026-06-02T03:33:10.36" personId="{B6012F0E-E5C6-4745-8A5E-4C6462E9C718}" id="{8EA36F2C-0057-47E3-A3AC-B3D3871A7710}">
    <text>0 - o brawler não tem essa capacidade
1 - pouco e apenas de muito perto e não possui formas rápidas de se aproximar
2 - pouco e apenas de perto e não possui formas rápidas de se aproximar
3 - pouco e apenas de medio alcance e não possui formas rápidas de se aproximar
4 - pouco e apenas de perto mas possui formas de se aproximar
5 - pouco e apenas de perto mas possui formas de se aproximar rapidamente
6 - de médias/longas distâncias
7 - longas distâncias
8 - ignorando muros
9 - ignorando obstaculos a médio/longo alcance
10 - ignorando obstáculos e objetos a longo alcance
11...</text>
  </threadedComment>
  <threadedComment ref="BK2" dT="2026-06-02T03:33:36.55" personId="{B6012F0E-E5C6-4745-8A5E-4C6462E9C718}" id="{F172D2BD-11A9-4DFF-BE19-B0DE8E98814C}">
    <text>Se o seu brawler não é especialmente afetado, assinale altamente competente (7). Caso seja (um frank por exemplo é muito afetado), tente medir o quão fácil é para o inimigo cancelar um ataque forte seu e te prejudicar.
6 - afetado levemente por demora até finalização do tiro
5 - afetado levemente numa situação específica
4 - afetado consideravelmente no super
3 - afetado consideravelmente no ataque principal
2 - afetado consideravelmente no super e ataque
-1 se dá mais de 1 segundo de tempo de reação na super
-2 se dá mais de 1 segundo de tempo de reação no ataque principal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V2" dT="2026-06-02T02:10:48.30" personId="{B6012F0E-E5C6-4745-8A5E-4C6462E9C718}" id="{674B3F5C-E5C7-4B63-AA46-1B62E367D55A}">
    <text>(Durabilidade_total / 1400) + (auto_heal_buffing / 3,5)</text>
  </threadedComment>
  <threadedComment ref="W2" dT="2026-06-02T02:14:20.43" personId="{B6012F0E-E5C6-4745-8A5E-4C6462E9C718}" id="{F9BF6594-1646-46B5-A4F2-2DDAD507DF90}">
    <text>0 - Não ataca eu achokkk
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ext>
  </threadedComment>
  <threadedComment ref="X2" dT="2026-06-02T02:17:02.99" personId="{B6012F0E-E5C6-4745-8A5E-4C6462E9C718}" id="{1011E8A4-5596-4CE5-BAD8-4578D22FCF54}">
    <text>(frequencia + potência + versatilidade)/3
frequência:
1 - 1 min
2 - 45s
3 - 35s
4 - 30s
5 - 25s
6 - 20s
7 - 15s
8 - 10s
9 - 5s
10 - menos de 5s
11...
potência do uso:
1 - distância curta
2 - distância curta/normal
3 - distância normal/curta
4 - distância normal
5 - distância normal/longa
6 - distância longa/normal
7 - distância longa
8 - distância longa/mtlonga
9 - distância mtlonga/longa
10 - distância mtlonga
11...
versatilidade:
1 - invulnerável, mas parado e vulnerável ao voltar
2 - invulnerável, mas parado ao voltar
3 - afasta inimigos um pouco
4 - afasta medio inimigos
5 - fuga lenta sem escolher direção ou circunstancial
6 - fuga lenta escolhendo direção quase livremente
7 - fuga lenta escolhendo direção livremente
8 - fuga rápida quase sem escolher direção
9 - fuga rápida escolhendo direção quase livremente
10 - fuga rápida escolhendo direção livremente
11...</text>
  </threadedComment>
  <threadedComment ref="Y2" dT="2026-06-02T02:18:20.46" personId="{B6012F0E-E5C6-4745-8A5E-4C6462E9C718}" id="{C145578B-5512-4AA2-820B-BCA2A0D4545C}">
    <text>0 - projétil único
1 - projétil único perfurante
2 - linha fina multiplos projéteis
3 - tiro em forma de cone pequeno (25° +ou-)
4 - tiro em forma retangular medio (1 brawler de largura)
5 - tiro em forma de cone médio (50° +ou-)
6 - tiro em forma retangular grande (1-2 brawler de largura)
7 - tiro em forma de cone grande (75° +ou-)
8 - tiro com amplitude maior (até 100° +ou-)
9 - tiro em todas as direções
10 - tiro frequente em todas as direções
11...</text>
  </threadedComment>
  <threadedComment ref="Z2" dT="2026-06-02T02:19:10.84" personId="{B6012F0E-E5C6-4745-8A5E-4C6462E9C718}" id="{F836B74D-3E97-41F8-99EB-DE92B9A78848}">
    <text>0 - mais de 1/30s
1 - 1/30s
2 - 1/20s
3 - 1/15s
4 - 1/10s
5 - 1/5s
6 - ataque básico frequente
7 - ataque básico e super frequente</text>
  </threadedComment>
  <threadedComment ref="AA2" dT="2026-06-02T02:22:12.72" personId="{B6012F0E-E5C6-4745-8A5E-4C6462E9C718}" id="{66582112-5DD0-44B1-A89A-91B44C8873F0}">
    <text>(duração + área + efeito + distância-arremesso)/4
Efeito:
3 - efeito ignorável muitas vezes
6 - efeito ignorável raramente
9 - efeito quase nunca ignoravel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
Duração:
1 - 1s
2 - 2s
3 - 3s
4 - 4s
5 - 5s
6 - 6s
7 - 7s
8 - 8s
9 - 9s
10 - 10s
11...
Distância arremesso
0 - Não ataca eu achokkk
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ext>
  </threadedComment>
  <threadedComment ref="AB2" dT="2026-06-02T02:22:51.85" personId="{B6012F0E-E5C6-4745-8A5E-4C6462E9C718}" id="{4BE59F1C-2106-4F34-941B-115D4300FD04}">
    <text>0 - o brawler não tem essa capacidade
1 - consegue manipular pouco e apenas de muito perto e não possui formas rápidas de se aproximar
2 - consegue manipular pouco e apenas de perto e não possui formas rápidas de se aproximar
3 - consegue manipular pouco e apenas de medio alcance e não possui formas rápidas de se aproximar
4 - consegue manipular pouco e apenas de perto mas possui formas de se aproximar
5 - o brawler consegue fazer de longas distancias mas manipula pouco
6 - o brawler consegue manipular muito a posição e de médias distâncias
7 - o brawler consegue manipular muito a posição e de longas distâncias
8 - o brawler consegue manipular um pouco a posição mas ignorando muros
9 - o brawler consegue manipular muito a posição e ignorando obstaculos a médio alcance
10 - o brawler consegue manipular muito a posição e ignorando obstáculos e objetos a longo alcance</text>
  </threadedComment>
  <threadedComment ref="AC2" dT="2026-06-02T02:23:23.46" personId="{B6012F0E-E5C6-4745-8A5E-4C6462E9C718}" id="{7B63A108-32BF-4212-8910-2ECA0572BD5C}">
    <text>0 - absoluta incompetência
7 - altamente competente</text>
  </threadedComment>
  <threadedComment ref="AD2" dT="2026-06-02T02:23:42.82" personId="{B6012F0E-E5C6-4745-8A5E-4C6462E9C718}" id="{5DA76403-6ADE-483D-8544-82546738F873}">
    <text>0 - impossivel causar dano
1 - causa dano irrisório
2 - causa dano circunstancial
3 - causa dano ocasionalmente
4 - causa dano mortal as vezes
5 - causa dano mortal quase normalmente
6 - capaz de atacar o inimigo normalmente
7 - causa dano normalmente + anda na água tmb
8 - causa dano levemente superior
9 - causa dano muito maior a inimigos na água
10 - causa dano absurdamente maior
11...</text>
  </threadedComment>
  <threadedComment ref="AE2" dT="2026-06-02T02:25:21.34" personId="{B6012F0E-E5C6-4745-8A5E-4C6462E9C718}" id="{A4D7D6D7-A68C-4104-8980-C585BAC357ED}">
    <text>0 - não quebra muros
1 - 1/35min
2 - 1/30s
3 - 1/25s
4 - 1/20s
5 - 1/15s
6 - 1/12s
7 - 1/9s
8 - 1/6s
9 - 1/3s
10 - 1/1s
11...
-1 se a destruição é pouco controlável
-2 se a destruição é quase incontrolável ou se o brawler não deveria gastar os recursos dele focando nessa destruição</text>
  </threadedComment>
  <threadedComment ref="AF2" dT="2026-06-02T02:25:58.83" personId="{B6012F0E-E5C6-4745-8A5E-4C6462E9C718}" id="{4548AA0A-89B4-483D-A7A2-3F6F592D9E01}">
    <text>0 - não quebra moitas
1 - 1/25min
2 - 1/16s
3 - 1/12s
4 - 1/10s
5 - 1/8s
6 - 1/6s
7 - 1/4s
8 - 1/3s
9 - 1/2s
10 - 1/1s
11...
-1 se a destruição é pouco controlável
-2 se a destruição é quase incontrolável ou se o brawler não deveria gastar os recursos dele focando nessa destruição</text>
  </threadedComment>
  <threadedComment ref="AG2" dT="2026-06-02T02:26:57.22" personId="{B6012F0E-E5C6-4745-8A5E-4C6462E9C718}" id="{61BA3D98-A8FF-4A55-A708-40DBD2666A90}">
    <text>0 - não constroi cover
1 - 1/25min
2 - 1/16s
3 - 1/12s
4 - 1/10s
5 - 1/8s
6 - 1/6s
7 - 1/4s
8 - 1/3s
9 - 1/2s
10 - 1/1s
11...
-1 se a construção é pouco controlável
-2 se a construção é quase incontrolável ou se o brawler não deveria gastar os recursos dele focando nessa construção</text>
  </threadedComment>
  <threadedComment ref="AH2" dT="2026-06-02T02:28:11.44" personId="{B6012F0E-E5C6-4745-8A5E-4C6462E9C718}" id="{76625504-22D5-414F-A2BA-4379DDD33CF9}">
    <text>1 - muito lento
2 - muito lento/lento
3 - lento
4 - lento/normal
5 - normal
6 - normal/rapido
7 - rapido
8 - rapido/muito rapido
9 - muito rapido
10 - suporter de velocidade
11...
-1 se a hitbox do brawler é do modelo maior</text>
  </threadedComment>
  <threadedComment ref="AI2" dT="2026-06-02T02:29:03.92" personId="{B6012F0E-E5C6-4745-8A5E-4C6462E9C718}" id="{3710AAAA-293D-45C1-8852-D8D9FD0ED2BD}">
    <text>1 - ataque lento e ineficaz
2 - ataque ineficaz
3 - ataque poderoso, mas super lento
4 - ataque poderoso, mas lento
5 - ataque poderoso e rápido, mas facilmente contornável sem sequelas
6 - ataque poderoso, mas contornavel/counterável facilmente
7 - ataque poderoso. Contornavel apenas se não estiver vulnerável
8 - mesmo counters tem dificuldade em prever/reagir ao ataque antes de levar um bom dano
9 - mesmo counters recebem muito dano antes de conseguirem reagir
10 - counterar um ataque bem planejado é quase impossível para qualquer brawler
+1 se aplica velocidade após o ataque
-1 se alcance é normal/longo
-2 se o alcance é curto/normal
-3 se o alcance é muito curto/curto</text>
  </threadedComment>
  <threadedComment ref="AJ2" dT="2026-06-02T02:29:37.61" personId="{B6012F0E-E5C6-4745-8A5E-4C6462E9C718}" id="{BBEA535B-9252-4600-BDE0-1F0E274F9F3A}">
    <text>*fórmula pronta, utiliza stun como força adicional</text>
  </threadedComment>
  <threadedComment ref="AK2" dT="2026-06-02T02:31:13.55" personId="{B6012F0E-E5C6-4745-8A5E-4C6462E9C718}" id="{643ECF7B-FEDA-4492-BD6B-FEC735BED398}">
    <text>1 - 1/1min
2 - 1/50s
3 - 1/40s
4 - 1/30s
5 - 1/22s
6 - 1/15s
7 - 1/10s
8 - 1/7s
9 - 1/5s
10 - 1/3s
11...</text>
  </threadedComment>
  <threadedComment ref="AL2" dT="2026-06-02T02:31:34.22" personId="{B6012F0E-E5C6-4745-8A5E-4C6462E9C718}" id="{6D898BC5-F881-4F6A-A144-000F7BBAFD0D}">
    <text>1 - nunca acumula mais de 1
2 - raramente acumula mais de 1
3 - ocasionalmente acumula mais de 1
4 - frequentemente acumula ao menos 2
5 - raramente acumula mais de 2
6 - ocasionalmente acumula mais de 2
7 - frequentemente acumula ao menos 3
8 - ocasionalmente acumula mais de 3
9 - frequentemente acumula mais de 4
10 - frequentemente acumula mais de 5
11...</text>
  </threadedComment>
  <threadedComment ref="AM2" dT="2026-06-02T02:32:38.53" personId="{B6012F0E-E5C6-4745-8A5E-4C6462E9C718}" id="{A015F4EA-1EAC-4243-9C3E-E714AAF390CE}">
    <text>0 - A vida do(s) pet(s) não se deteriora sozinha com o tempo
1 - A vida do(s) pet(s) é deteriorável</text>
  </threadedComment>
  <threadedComment ref="AN2" dT="2026-06-02T02:33:31.06" personId="{B6012F0E-E5C6-4745-8A5E-4C6462E9C718}" id="{F2536301-EC63-4CB2-B160-02E3BE9CEEF7}">
    <text>1 - menos de 2000
2 - entre 2000 e 3000
3 - entre 3000 e 4000
4 - entre 4000 e 5000
5 - entre 5000 e 6000
6 - entre 6000 e 7000
7 - entre 7000 e 8000
8 - entre 8000 e 9000
9 - entre 9000 e 10000
10 - entre 10000 e 11000
11...</text>
  </threadedComment>
  <threadedComment ref="AO2" dT="2026-06-02T02:33:49.93" personId="{B6012F0E-E5C6-4745-8A5E-4C6462E9C718}" id="{F42E8347-FBFF-4DE0-8B3F-C955D0045FDE}">
    <text>0 - dano médio menor de 500
1 - dano médio 500-800
2 - dano médio 800-1100
3 - dano médio 1100-1400
4 - dano médio 1400-1700
5 - dano médio 1700-2000
6 - dano médio 2000-2300
7 - dano médio 2300-2600
8 - dano médio 2900-3200
9 - dano médio 3200-3500
10 - dano médio 3500-3800
11...</text>
  </threadedComment>
  <threadedComment ref="AP2" dT="2026-06-02T02:34:34.37" personId="{B6012F0E-E5C6-4745-8A5E-4C6462E9C718}" id="{12F5F743-9170-47B2-924F-27A52C4D9E82}">
    <text>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ext>
  </threadedComment>
  <threadedComment ref="AQ2" dT="2026-06-02T02:34:54.40" personId="{B6012F0E-E5C6-4745-8A5E-4C6462E9C718}" id="{0FC90FF2-C738-4DF1-B747-4ABDE811467C}">
    <text>1 - muito lento
2 - muito lento/lento
3 - lento/normal
4 - lento
5 - lento/normal
6 - normal/lento
7 - normal
8 - normal/rapido
9 - rapido
10 - MUITO rapido
11...</text>
  </threadedComment>
  <threadedComment ref="AR2" dT="2026-06-02T02:39:21.86" personId="{B6012F0E-E5C6-4745-8A5E-4C6462E9C718}" id="{3B2F8DEA-8476-41F3-BC32-9ACC79D967F9}">
    <text>0 - O dono não fica próximo ao pet em quase nenhum momento
2,5 - O dono fica próximo ao pet as vezes, mas raramente por muito tempo
5 - O dono fica próximo ao pet com alguma frequência, mas não é regra de usabilidade
7,5 - O dono fica próximo ao pet na maior parte do tempo, sendo grande parte da sua estratégia principal para avançar contra inimigos
10 - O dono fica próximo ao pet em quase todos os momentos. A exceção para esta regra resulta em inutilidade do pet na maior parte das vezes.</text>
  </threadedComment>
  <threadedComment ref="AS2" dT="2026-06-02T02:40:30.30" personId="{B6012F0E-E5C6-4745-8A5E-4C6462E9C718}" id="{201287DC-A221-4269-B775-EB831475F1F6}">
    <text>0 - não é o caso para esse brawler
1 - chance levemente maior de causar dano ao todo
2 - chance relativamente maior de causar dano ao todo
3 - chance muito maior de causar mais dano ao todo
4 - atinge multiplos inimigos com a super
5 - atinge facilmente multiplos inimigos com a super
6 - atinge multiplos inimigos com o ataque principal
7 - atinge facilmente multiplos inimigos com o ataque
8 - causa mais dano por projétil
9 - causa mais do dobro de dano por projétil
10 - causa mais que o triplo do dano por projétil
11...</text>
  </threadedComment>
  <threadedComment ref="AT2" dT="2026-06-02T02:42:26.97" personId="{B6012F0E-E5C6-4745-8A5E-4C6462E9C718}" id="{ECABA7EF-D5C2-485F-946F-66A47C09E158}">
    <text>(precisão + Área + duração + frequência)/4
Precisão:
3 - perseguição de pets
6 - precisão em posição fixa arremessavel
10 - precisão absoluta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
Duração:
1 - 3s
2 - 6s
3 - 9s
4 - 12s
5 - 15s
6 - 18s
7 - 21s
8 - 24s
9 - 27s
10 - infinito
11...
Frequência:
1 - 1/1min
2 - 1/50s
3 - 1/40s
4 - 1/30s
5 - 1/22s
6 - 1/15s
7 - 1/10s
8 - 1/7s
9 - 1/5s
10 - 1/3s
11...</text>
  </threadedComment>
  <threadedComment ref="AU2" dT="2026-06-02T02:50:25.74" personId="{B6012F0E-E5C6-4745-8A5E-4C6462E9C718}" id="{6B6B2882-DBA0-4FFF-A701-DCB542C42CB2}">
    <text>0 - As informações do brawler/complemento não dependem de nenhuma forma da formação de inimigos ou terreno para que façam sentido
2,5 - As informações do brawler/complemento podem depender um pouco de formas de uso
5 - As informações do brawler/complemento podem depender um pouco de características de terreno, como presença de moitas/agua e/ou de formas de uso
7,5 - as informações dependem bastante de características externas como formas de uso, terreno e inimigos. A verificação humana é essencial para garantir que o brawler realmente seja bom.
10 - As informações dependem demais de fatores externos para funcionarem de forma adequada. Detalhes desses fatores devem ser destacados para o usuário.</text>
  </threadedComment>
  <threadedComment ref="AV2" dT="2026-06-02T02:56:43.63" personId="{B6012F0E-E5C6-4745-8A5E-4C6462E9C718}" id="{8A69B6AF-9FB0-4B04-A433-73A1BC5DFDE7}">
    <text>(frequência + potência + velocidade) / 3
Frequência:
1 - 1/1min
2 - 1/50s
3 - 1/40s
4 - 1/30s
5 - 1/22s
6 - 1/15s
7 - 1/10s
8 - 1/7s
9 - 1/5s
10 - 1/3s
11...
Potência do hp:
1 - 1-500
2 - 500-1000
3 - 1000-1500
4 - 1500 - 2000
5 - 2000 - 2500
6 - 2500 - 3000
7 - 3000 - 3500
8 - 3500 - 4000
9 - 4000 - 4500
10 - 4500 - 5000
Velocidade da cura
3 - Lenta e parcelada
6 - Lenta ou muito circunstancial
9 - Instantânea e pouco circunstancial</text>
  </threadedComment>
  <threadedComment ref="AW2" dT="2026-06-02T02:57:40.08" personId="{B6012F0E-E5C6-4745-8A5E-4C6462E9C718}" id="{D4E26227-2DC2-4870-BEEE-A89E41A02124}">
    <text>(duração + potência) / 2 
potência:
1 - até 10%
2 - até 20%
3 - até 30%
4 - até 40%
5 - até 50%
6 - até 60%
7 - até 70%
8 - até 80%
9 - até 90%
10 - até 100%
duração
1 - 1s
2 - 2s
3 - 3s
4 - 4s
5 - 5s
6 - 6s
7 - 7s
8 - 8s
9 - 9s
10 - 10s</text>
  </threadedComment>
  <threadedComment ref="AX2" dT="2026-06-02T03:00:04.34" personId="{B6012F0E-E5C6-4745-8A5E-4C6462E9C718}" id="{55DDC066-256F-40C2-A7BE-E51D47E50174}">
    <text>(frequência + potência) / 2 
Frequência:
1 - 1/1min
2 - 1/50s
3 - 1/40s
4 - 1/30s
5 - 1/22s
6 - 1/15s
7 - 1/10s
8 - 1/7s
9 - 1/5s
10 - 1/3s
11...
Potência do escudo:
1 - 1-500
2 - 500-1000
3 - 1000-1500
4 - 1500 - 2000
5 - 2000 - 2500
6 - 2500 - 3000
7 - 3000 - 3500
8 - 3500 - 4000
9 - 4000 - 4500
10 - 4500 - 5000</text>
  </threadedComment>
  <threadedComment ref="AY2" dT="2026-06-02T03:02:46.74" personId="{B6012F0E-E5C6-4745-8A5E-4C6462E9C718}" id="{199F4209-F855-4DCD-AECD-3B28E2FE8C9A}">
    <text>(frequência + potência + duração)/3
0 - não tem essa capacidade
Frequência:
1 - 1/1min
2 - 1/50s
3 - 1/40s
4 - 1/30s
5 - 1/22s
6 - 1/15s
7 - 1/10s
8 - 1/7s
9 - 1/5s
10 - 1/3s
11...
Potência do aumento de dano:
1 - até 5%
2 - até 10%
3 - até 15%
4 - até 20%
5 - até 25%
6 - até 30%
7 - até 35%
8 - até 40%
9 - até 45%
10 - até 50%
11...
duração
1 - 1s
2 - 2s
3 - 3s
4 - 4s
5 - 5s
6 - 6s
7 - 7s
8 - 8s
9 - 9s
10 - 10s
11...</text>
  </threadedComment>
  <threadedComment ref="AZ2" dT="2026-06-02T03:03:24.08" personId="{B6012F0E-E5C6-4745-8A5E-4C6462E9C718}" id="{9F689B5A-AFC5-42B7-87ED-8E35135885B1}">
    <text>(duração + potência) / 2 
potência:
1 - até 8%
2 - até 16%
3 - até 24%
4 - até 32%
5 - até 40%
6 - até 48%
7 - até 56%
8 - até 64%
9 - até 72%
10 - até 80%
11...
duração
1 - 1s
2 - 2s
3 - 3s
4 - 4s
5 - 5s
6 - 6s
7 - 7s
8 - 8s
9 - 9s
10 - 10s</text>
  </threadedComment>
  <threadedComment ref="BA2" dT="2026-06-02T03:06:12.21" personId="{B6012F0E-E5C6-4745-8A5E-4C6462E9C718}" id="{F9F95B5A-0770-4E64-9084-D80CDABBE688}">
    <text>(frequencia + duração) / 2 
Frequência
1 - 1/1min
2 - 1/50s
3 - 1/40s
4 - 1/30s
5 - 1/22s
6 - 1/15s
7 - 1/10s
8 - 1/7s
9 - 1/5s
10 - 1/3s
11...
Duração:
1 - 1s
2 - 2s
3 - 3s
4 - 4s
5 - 5s
6 - 6s
7 - 7s
8 - 8s
9 - 9s
10 - 10s
11...</text>
  </threadedComment>
  <threadedComment ref="BB2" dT="2026-06-02T03:20:06.88" personId="{B6012F0E-E5C6-4745-8A5E-4C6462E9C718}" id="{33377813-5443-426B-9115-2EFEC1C866FB}">
    <text>(frequência + duração + área) / 3
0 - não tem essa capacidade
Frequência:
1 - 1/1min
2 - 1/50s
3 - 1/40s
4 - 1/30s
5 - 1/22s
6 - 1/15s
7 - 1/10s
8 - 1/7s
9 - 1/5s
10 - 1/3s
11...
duração
1 - 1s
2 - 2s
3 - 3s
4 - 4s
5 - 5s
6 - 6s
7 - 7s
8 - 8s
9 - 9s
10 - 10s
11...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</text>
  </threadedComment>
  <threadedComment ref="BD2" dT="2026-06-02T03:22:47.43" personId="{B6012F0E-E5C6-4745-8A5E-4C6462E9C718}" id="{839A561C-C6FA-440D-BC30-E684AB6FB836}">
    <text>0 - não aplica veneno
1 - duração de 1 hit
2 - duração de 2 hit
3 - duração de 3 hit
4 - duração de 4 hit
5 - duração de 5 hit
6 - duração de 6 hit
7 - duração de 7 hit
8 - duração de 8 hit
9 - duração de 9 hit
10 - duração de 10 hit
11...
/1 se proveniente do ataque principal
/2 se proveniente da super
/3 se proveniente de algo ainda mais ocasional</text>
  </threadedComment>
  <threadedComment ref="BE2" dT="2026-06-02T03:23:18.23" personId="{B6012F0E-E5C6-4745-8A5E-4C6462E9C718}" id="{928E070D-0DB3-4D83-85DB-354FB216FAE0}">
    <text>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ext>
  </threadedComment>
  <threadedComment ref="BF2" dT="2026-06-02T03:24:11.83" personId="{B6012F0E-E5C6-4745-8A5E-4C6462E9C718}" id="{F2DD9A7C-F727-4CB5-A79F-466EE60652B8}">
    <text>1 - stun até 0.1s
2 - stun até 0.35s
3 - stun até 0.6s
4 - stun até 0.85s
5 - stun até 1.1s
6 - stun até 1.35s
7 - stun até 1.6s
8 - stun até 1.85s
9 - stun até 2.1s
10 - stun até 2.5s
11...</text>
  </threadedComment>
  <threadedComment ref="BG2" dT="2026-06-02T03:24:39.33" personId="{B6012F0E-E5C6-4745-8A5E-4C6462E9C718}" id="{9E6746CF-83AA-4F85-92DB-03259C1D3C9B}">
    <text>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ext>
  </threadedComment>
  <threadedComment ref="BH2" dT="2026-06-02T03:31:43.31" personId="{B6012F0E-E5C6-4745-8A5E-4C6462E9C718}" id="{9E1D11A0-DDB4-446C-8CDF-55B9F87E9F1D}">
    <text>(frequência + potência + duração)/3
0 - não tem essa capacidade
Frequência:
1 - 1/1min
2 - 1/50s
3 - 1/40s
4 - 1/30s
5 - 1/22s
6 - 1/15s
7 - 1/10s
8 - 1/7s
9 - 1/5s
10 - 1/3s
11...
Potência da lentidão:
1 - até 5%
2 - até 10%
3 - até 15%
4 - até 20%
5 - até 25%
6 - até 30%
7 - até 35%
8 - até 40%
9 - até 45%
10 - até 50%
11...
duração
1 - 0.5s
2 - 1s
3 - 1.5s
4 - 2s
5 - 2.5s
6 - 3s
7 - 3.5s
8 - 4s
9 - 4.5s
10 - 5s
11...</text>
  </threadedComment>
  <threadedComment ref="BI2" dT="2026-06-02T03:32:49.52" personId="{B6012F0E-E5C6-4745-8A5E-4C6462E9C718}" id="{C7B7DFB8-8909-4A2F-9649-19B6AAD5C7D6}">
    <text>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ext>
  </threadedComment>
  <threadedComment ref="BJ2" dT="2026-06-02T03:33:10.36" personId="{B6012F0E-E5C6-4745-8A5E-4C6462E9C718}" id="{7FE00BD2-15A5-462D-AC23-95DE2E163889}">
    <text>0 - o brawler não tem essa capacidade
1 - pouco e apenas de muito perto e não possui formas rápidas de se aproximar
2 - pouco e apenas de perto e não possui formas rápidas de se aproximar
3 - pouco e apenas de medio alcance e não possui formas rápidas de se aproximar
4 - pouco e apenas de perto mas possui formas de se aproximar
5 - pouco e apenas de perto mas possui formas de se aproximar rapidamente
6 - de médias/longas distâncias
7 - longas distâncias
8 - ignorando muros
9 - ignorando obstaculos a médio/longo alcance
10 - ignorando obstáculos e objetos a longo alcance
11...</text>
  </threadedComment>
  <threadedComment ref="BK2" dT="2026-06-02T03:33:36.55" personId="{B6012F0E-E5C6-4745-8A5E-4C6462E9C718}" id="{012F43A9-89DA-45CE-ABA6-35AAD60F0BB4}">
    <text>Se o seu brawler não é especialmente afetado, assinale altamente competente (7). Caso seja (um frank por exemplo é muito afetado), tente medir o quão fácil é para o inimigo cancelar um ataque forte seu e te prejudicar.
6 - afetado levemente por demora até finalização do tiro
5 - afetado levemente numa situação específica
4 - afetado consideravelmente no super
3 - afetado consideravelmente no ataque principal
2 - afetado consideravelmente no super e ataque
-1 se dá mais de 1 segundo de tempo de reação na super
-2 se dá mais de 1 segundo de tempo de reação no ataque principal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V2" dT="2026-06-02T02:10:48.30" personId="{B6012F0E-E5C6-4745-8A5E-4C6462E9C718}" id="{1C01040B-C1E2-4C9B-9471-9C92632B2399}">
    <text>(Durabilidade_total / 1400) + (auto_heal_buffing / 3,5)</text>
  </threadedComment>
  <threadedComment ref="W2" dT="2026-06-02T02:14:20.43" personId="{B6012F0E-E5C6-4745-8A5E-4C6462E9C718}" id="{B71BF662-F81E-4B6F-AEF8-334FEDB4E3D8}">
    <text>0 - Não ataca eu achokkk
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ext>
  </threadedComment>
  <threadedComment ref="X2" dT="2026-06-02T02:17:02.99" personId="{B6012F0E-E5C6-4745-8A5E-4C6462E9C718}" id="{75E84146-5093-40E3-A9CA-C655E7999A13}">
    <text>(frequencia + potência + versatilidade)/3
frequência:
1 - 1 min
2 - 45s
3 - 35s
4 - 30s
5 - 25s
6 - 20s
7 - 15s
8 - 10s
9 - 5s
10 - menos de 5s
11...
potência do uso:
1 - distância curta
2 - distância curta/normal
3 - distância normal/curta
4 - distância normal
5 - distância normal/longa
6 - distância longa/normal
7 - distância longa
8 - distância longa/mtlonga
9 - distância mtlonga/longa
10 - distância mtlonga
11...
versatilidade:
1 - invulnerável, mas parado e vulnerável ao voltar
2 - invulnerável, mas parado ao voltar
3 - afasta inimigos um pouco
4 - afasta medio inimigos
5 - fuga lenta sem escolher direção ou circunstancial
6 - fuga lenta escolhendo direção quase livremente
7 - fuga lenta escolhendo direção livremente
8 - fuga rápida quase sem escolher direção
9 - fuga rápida escolhendo direção quase livremente
10 - fuga rápida escolhendo direção livremente
11...</text>
  </threadedComment>
  <threadedComment ref="Y2" dT="2026-06-02T02:18:20.46" personId="{B6012F0E-E5C6-4745-8A5E-4C6462E9C718}" id="{5010CBE9-6DCB-4C97-B649-10D0F1E5BEC4}">
    <text>0 - projétil único
1 - projétil único perfurante
2 - linha fina multiplos projéteis
3 - tiro em forma de cone pequeno (25° +ou-)
4 - tiro em forma retangular medio (1 brawler de largura)
5 - tiro em forma de cone médio (50° +ou-)
6 - tiro em forma retangular grande (1-2 brawler de largura)
7 - tiro em forma de cone grande (75° +ou-)
8 - tiro com amplitude maior (até 100° +ou-)
9 - tiro em todas as direções
10 - tiro frequente em todas as direções
11...</text>
  </threadedComment>
  <threadedComment ref="Z2" dT="2026-06-02T02:19:10.84" personId="{B6012F0E-E5C6-4745-8A5E-4C6462E9C718}" id="{26F84EFB-735A-4E2E-827B-B60FB8F9E0D2}">
    <text>0 - mais de 1/30s
1 - 1/30s
2 - 1/20s
3 - 1/15s
4 - 1/10s
5 - 1/5s
6 - ataque básico frequente
7 - ataque básico e super frequente</text>
  </threadedComment>
  <threadedComment ref="AA2" dT="2026-06-02T02:22:12.72" personId="{B6012F0E-E5C6-4745-8A5E-4C6462E9C718}" id="{B1A26A6A-6D67-4607-B3A7-7EFF52A0B273}">
    <text>(duração + área + efeito + distância-arremesso)/4
Efeito:
3 - efeito ignorável muitas vezes
6 - efeito ignorável raramente
9 - efeito quase nunca ignoravel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
Duração:
1 - 1s
2 - 2s
3 - 3s
4 - 4s
5 - 5s
6 - 6s
7 - 7s
8 - 8s
9 - 9s
10 - 10s
11...
Distância arremesso
0 - Não ataca eu achokkk
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ext>
  </threadedComment>
  <threadedComment ref="AB2" dT="2026-06-02T02:22:51.85" personId="{B6012F0E-E5C6-4745-8A5E-4C6462E9C718}" id="{B8807D1A-3E71-4EB4-B0F8-71AFCE7F1460}">
    <text>0 - o brawler não tem essa capacidade
1 - consegue manipular pouco e apenas de muito perto e não possui formas rápidas de se aproximar
2 - consegue manipular pouco e apenas de perto e não possui formas rápidas de se aproximar
3 - consegue manipular pouco e apenas de medio alcance e não possui formas rápidas de se aproximar
4 - consegue manipular pouco e apenas de perto mas possui formas de se aproximar
5 - o brawler consegue fazer de longas distancias mas manipula pouco
6 - o brawler consegue manipular muito a posição e de médias distâncias
7 - o brawler consegue manipular muito a posição e de longas distâncias
8 - o brawler consegue manipular um pouco a posição mas ignorando muros
9 - o brawler consegue manipular muito a posição e ignorando obstaculos a médio alcance
10 - o brawler consegue manipular muito a posição e ignorando obstáculos e objetos a longo alcance</text>
  </threadedComment>
  <threadedComment ref="AC2" dT="2026-06-02T02:23:23.46" personId="{B6012F0E-E5C6-4745-8A5E-4C6462E9C718}" id="{B5315BE0-2F85-45B7-B09C-0E003B466912}">
    <text>0 - absoluta incompetência
7 - altamente competente</text>
  </threadedComment>
  <threadedComment ref="AD2" dT="2026-06-02T02:23:42.82" personId="{B6012F0E-E5C6-4745-8A5E-4C6462E9C718}" id="{9495D7C6-77B4-4361-BC22-DC81D40D904F}">
    <text>0 - impossivel causar dano
1 - causa dano irrisório
2 - causa dano circunstancial
3 - causa dano ocasionalmente
4 - causa dano mortal as vezes
5 - causa dano mortal quase normalmente
6 - capaz de atacar o inimigo normalmente
7 - causa dano normalmente + anda na água tmb
8 - causa dano levemente superior
9 - causa dano muito maior a inimigos na água
10 - causa dano absurdamente maior
11...</text>
  </threadedComment>
  <threadedComment ref="AE2" dT="2026-06-02T02:25:21.34" personId="{B6012F0E-E5C6-4745-8A5E-4C6462E9C718}" id="{877F0BD9-4A91-4F4F-97CB-7E00545ABF77}">
    <text>0 - não quebra muros
1 - 1/35min
2 - 1/30s
3 - 1/25s
4 - 1/20s
5 - 1/15s
6 - 1/12s
7 - 1/9s
8 - 1/6s
9 - 1/3s
10 - 1/1s
11...
-1 se a destruição é pouco controlável
-2 se a destruição é quase incontrolável ou se o brawler não deveria gastar os recursos dele focando nessa destruição</text>
  </threadedComment>
  <threadedComment ref="AF2" dT="2026-06-02T02:25:58.83" personId="{B6012F0E-E5C6-4745-8A5E-4C6462E9C718}" id="{7684DC9F-CFC8-42FD-AFA9-27EE547BF146}">
    <text>0 - não quebra moitas
1 - 1/25min
2 - 1/16s
3 - 1/12s
4 - 1/10s
5 - 1/8s
6 - 1/6s
7 - 1/4s
8 - 1/3s
9 - 1/2s
10 - 1/1s
11...
-1 se a destruição é pouco controlável
-2 se a destruição é quase incontrolável ou se o brawler não deveria gastar os recursos dele focando nessa destruição</text>
  </threadedComment>
  <threadedComment ref="AG2" dT="2026-06-02T02:26:57.22" personId="{B6012F0E-E5C6-4745-8A5E-4C6462E9C718}" id="{05DFB8B4-8D2F-40C4-8A32-45AAC71336FE}">
    <text>0 - não constroi cover
1 - 1/25min
2 - 1/16s
3 - 1/12s
4 - 1/10s
5 - 1/8s
6 - 1/6s
7 - 1/4s
8 - 1/3s
9 - 1/2s
10 - 1/1s
11...
-1 se a construção é pouco controlável
-2 se a construção é quase incontrolável ou se o brawler não deveria gastar os recursos dele focando nessa construção</text>
  </threadedComment>
  <threadedComment ref="AH2" dT="2026-06-02T02:28:11.44" personId="{B6012F0E-E5C6-4745-8A5E-4C6462E9C718}" id="{1893A89C-A5C4-4CD4-A95B-BFB4D7F59DA8}">
    <text>1 - muito lento
2 - muito lento/lento
3 - lento
4 - lento/normal
5 - normal
6 - normal/rapido
7 - rapido
8 - rapido/muito rapido
9 - muito rapido
10 - suporter de velocidade
11...
-1 se a hitbox do brawler é do modelo maior</text>
  </threadedComment>
  <threadedComment ref="AI2" dT="2026-06-02T02:29:03.92" personId="{B6012F0E-E5C6-4745-8A5E-4C6462E9C718}" id="{95A94A9A-CD20-4F51-8C29-D91B04B25934}">
    <text>1 - ataque lento e ineficaz
2 - ataque ineficaz
3 - ataque poderoso, mas super lento
4 - ataque poderoso, mas lento
5 - ataque poderoso e rápido, mas facilmente contornável sem sequelas
6 - ataque poderoso, mas contornavel/counterável facilmente
7 - ataque poderoso. Contornavel apenas se não estiver vulnerável
8 - mesmo counters tem dificuldade em prever/reagir ao ataque antes de levar um bom dano
9 - mesmo counters recebem muito dano antes de conseguirem reagir
10 - counterar um ataque bem planejado é quase impossível para qualquer brawler
+1 se aplica velocidade após o ataque
-1 se alcance é normal/longo
-2 se o alcance é curto/normal
-3 se o alcance é muito curto/curto</text>
  </threadedComment>
  <threadedComment ref="AJ2" dT="2026-06-02T02:29:37.61" personId="{B6012F0E-E5C6-4745-8A5E-4C6462E9C718}" id="{86F620F7-F5B6-41D9-B545-2A5C4401D9A4}">
    <text>*fórmula pronta, utiliza stun como força adicional</text>
  </threadedComment>
  <threadedComment ref="AK2" dT="2026-06-02T02:31:13.55" personId="{B6012F0E-E5C6-4745-8A5E-4C6462E9C718}" id="{EA4EB7CB-F690-40F7-875A-AE65CACB2AF2}">
    <text>1 - 1/1min
2 - 1/50s
3 - 1/40s
4 - 1/30s
5 - 1/22s
6 - 1/15s
7 - 1/10s
8 - 1/7s
9 - 1/5s
10 - 1/3s
11...</text>
  </threadedComment>
  <threadedComment ref="AL2" dT="2026-06-02T02:31:34.22" personId="{B6012F0E-E5C6-4745-8A5E-4C6462E9C718}" id="{E72DC0A5-CE73-454E-B921-9CB3869A648F}">
    <text>1 - nunca acumula mais de 1
2 - raramente acumula mais de 1
3 - ocasionalmente acumula mais de 1
4 - frequentemente acumula ao menos 2
5 - raramente acumula mais de 2
6 - ocasionalmente acumula mais de 2
7 - frequentemente acumula ao menos 3
8 - ocasionalmente acumula mais de 3
9 - frequentemente acumula mais de 4
10 - frequentemente acumula mais de 5
11...</text>
  </threadedComment>
  <threadedComment ref="AM2" dT="2026-06-02T02:32:38.53" personId="{B6012F0E-E5C6-4745-8A5E-4C6462E9C718}" id="{AFB1A0E4-2D56-4CEA-AEE6-A4F5B5B34F04}">
    <text>0 - A vida do(s) pet(s) não se deteriora sozinha com o tempo
1 - A vida do(s) pet(s) é deteriorável</text>
  </threadedComment>
  <threadedComment ref="AN2" dT="2026-06-02T02:33:31.06" personId="{B6012F0E-E5C6-4745-8A5E-4C6462E9C718}" id="{4DA208C6-E492-4C9C-BA3D-D8DFF7E30A2D}">
    <text>1 - menos de 2000
2 - entre 2000 e 3000
3 - entre 3000 e 4000
4 - entre 4000 e 5000
5 - entre 5000 e 6000
6 - entre 6000 e 7000
7 - entre 7000 e 8000
8 - entre 8000 e 9000
9 - entre 9000 e 10000
10 - entre 10000 e 11000
11...</text>
  </threadedComment>
  <threadedComment ref="AO2" dT="2026-06-02T02:33:49.93" personId="{B6012F0E-E5C6-4745-8A5E-4C6462E9C718}" id="{1DA44273-7AB5-497A-9D96-014499B10C6D}">
    <text>0 - dano médio menor de 500
1 - dano médio 500-800
2 - dano médio 800-1100
3 - dano médio 1100-1400
4 - dano médio 1400-1700
5 - dano médio 1700-2000
6 - dano médio 2000-2300
7 - dano médio 2300-2600
8 - dano médio 2900-3200
9 - dano médio 3200-3500
10 - dano médio 3500-3800
11...</text>
  </threadedComment>
  <threadedComment ref="AP2" dT="2026-06-02T02:34:34.37" personId="{B6012F0E-E5C6-4745-8A5E-4C6462E9C718}" id="{AE55D4EC-4D8B-4265-A4A3-2F02654CFB7C}">
    <text>1 - distância curta
2 - distância curta/normal
3 - distância normal/curta
4 - distância normal
5 - distância normal/longa
6 - distância longa/normal
7 - distância longa
8 - distância longa/mtlonga
9 - distância mtlonga/longa
10 - distância mtlonga
11...
-1 se o tiro é lento ou -2 se muito lento. Use isso para distinguir alcances aparentemente iguais.</text>
  </threadedComment>
  <threadedComment ref="AQ2" dT="2026-06-02T02:34:54.40" personId="{B6012F0E-E5C6-4745-8A5E-4C6462E9C718}" id="{C4EEE4AF-4445-49D4-B0D7-902DE5FCD2F8}">
    <text>1 - muito lento
2 - muito lento/lento
3 - lento/normal
4 - lento
5 - lento/normal
6 - normal/lento
7 - normal
8 - normal/rapido
9 - rapido
10 - MUITO rapido
11...</text>
  </threadedComment>
  <threadedComment ref="AR2" dT="2026-06-02T02:39:21.86" personId="{B6012F0E-E5C6-4745-8A5E-4C6462E9C718}" id="{A5080B27-3471-4EED-91A5-71B0FA115539}">
    <text>0 - O dono não fica próximo ao pet em quase nenhum momento
2,5 - O dono fica próximo ao pet as vezes, mas raramente por muito tempo
5 - O dono fica próximo ao pet com alguma frequência, mas não é regra de usabilidade
7,5 - O dono fica próximo ao pet na maior parte do tempo, sendo grande parte da sua estratégia principal para avançar contra inimigos
10 - O dono fica próximo ao pet em quase todos os momentos. A exceção para esta regra resulta em inutilidade do pet na maior parte das vezes.</text>
  </threadedComment>
  <threadedComment ref="AS2" dT="2026-06-02T02:40:30.30" personId="{B6012F0E-E5C6-4745-8A5E-4C6462E9C718}" id="{C34BA8B9-04D5-4825-8508-A43BD13B9F50}">
    <text>0 - não é o caso para esse brawler
1 - chance levemente maior de causar dano ao todo
2 - chance relativamente maior de causar dano ao todo
3 - chance muito maior de causar mais dano ao todo
4 - atinge multiplos inimigos com a super
5 - atinge facilmente multiplos inimigos com a super
6 - atinge multiplos inimigos com o ataque principal
7 - atinge facilmente multiplos inimigos com o ataque
8 - causa mais dano por projétil
9 - causa mais do dobro de dano por projétil
10 - causa mais que o triplo do dano por projétil
11...</text>
  </threadedComment>
  <threadedComment ref="AT2" dT="2026-06-02T02:42:26.97" personId="{B6012F0E-E5C6-4745-8A5E-4C6462E9C718}" id="{97A98E9B-19E3-4AFE-BE9A-78EBB4116F16}">
    <text>(precisão + Área + duração + frequência)/4
Precisão:
3 - perseguição de pets
6 - precisão em posição fixa arremessavel
10 - precisão absoluta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
Duração:
1 - 3s
2 - 6s
3 - 9s
4 - 12s
5 - 15s
6 - 18s
7 - 21s
8 - 24s
9 - 27s
10 - infinito
11...
Frequência:
1 - 1/1min
2 - 1/50s
3 - 1/40s
4 - 1/30s
5 - 1/22s
6 - 1/15s
7 - 1/10s
8 - 1/7s
9 - 1/5s
10 - 1/3s
11...</text>
  </threadedComment>
  <threadedComment ref="AU2" dT="2026-06-02T02:50:25.74" personId="{B6012F0E-E5C6-4745-8A5E-4C6462E9C718}" id="{9757A7C1-1536-4550-8692-E71204F59585}">
    <text>0 - As informações do brawler/complemento não dependem de nenhuma forma da formação de inimigos ou terreno para que façam sentido
2,5 - As informações do brawler/complemento podem depender um pouco de formas de uso
5 - As informações do brawler/complemento podem depender um pouco de características de terreno, como presença de moitas/agua e/ou de formas de uso
7,5 - as informações dependem bastante de características externas como formas de uso, terreno e inimigos. A verificação humana é essencial para garantir que o brawler realmente seja bom.
10 - As informações dependem demais de fatores externos para funcionarem de forma adequada. Detalhes desses fatores devem ser destacados para o usuário.</text>
  </threadedComment>
  <threadedComment ref="AV2" dT="2026-06-02T02:56:43.63" personId="{B6012F0E-E5C6-4745-8A5E-4C6462E9C718}" id="{BA9408F7-257F-4DFD-9027-01F4C7DB27DA}">
    <text>(frequência + potência + velocidade) / 3
Frequência:
1 - 1/1min
2 - 1/50s
3 - 1/40s
4 - 1/30s
5 - 1/22s
6 - 1/15s
7 - 1/10s
8 - 1/7s
9 - 1/5s
10 - 1/3s
11...
Potência do hp:
1 - 1-500
2 - 500-1000
3 - 1000-1500
4 - 1500 - 2000
5 - 2000 - 2500
6 - 2500 - 3000
7 - 3000 - 3500
8 - 3500 - 4000
9 - 4000 - 4500
10 - 4500 - 5000
Velocidade da cura
3 - Lenta e parcelada
6 - Lenta ou muito circunstancial
9 - Instantânea e pouco circunstancial</text>
  </threadedComment>
  <threadedComment ref="AW2" dT="2026-06-02T02:57:40.08" personId="{B6012F0E-E5C6-4745-8A5E-4C6462E9C718}" id="{3BA07920-6923-430E-80C5-0C85D4AE2BA0}">
    <text>(duração + potência) / 2 
potência:
1 - até 10%
2 - até 20%
3 - até 30%
4 - até 40%
5 - até 50%
6 - até 60%
7 - até 70%
8 - até 80%
9 - até 90%
10 - até 100%
duração
1 - 1s
2 - 2s
3 - 3s
4 - 4s
5 - 5s
6 - 6s
7 - 7s
8 - 8s
9 - 9s
10 - 10s</text>
  </threadedComment>
  <threadedComment ref="AX2" dT="2026-06-02T03:00:04.34" personId="{B6012F0E-E5C6-4745-8A5E-4C6462E9C718}" id="{BFC5B272-7AB6-4AB7-B3DD-C0CB3C2D5EE4}">
    <text>(frequência + potência) / 2 
Frequência:
1 - 1/1min
2 - 1/50s
3 - 1/40s
4 - 1/30s
5 - 1/22s
6 - 1/15s
7 - 1/10s
8 - 1/7s
9 - 1/5s
10 - 1/3s
11...
Potência do escudo:
1 - 1-500
2 - 500-1000
3 - 1000-1500
4 - 1500 - 2000
5 - 2000 - 2500
6 - 2500 - 3000
7 - 3000 - 3500
8 - 3500 - 4000
9 - 4000 - 4500
10 - 4500 - 5000</text>
  </threadedComment>
  <threadedComment ref="AY2" dT="2026-06-02T03:02:46.74" personId="{B6012F0E-E5C6-4745-8A5E-4C6462E9C718}" id="{2F78080D-0BB4-4EDA-BC8B-BBA37D7DB7D8}">
    <text>(frequência + potência + duração)/3
0 - não tem essa capacidade
Frequência:
1 - 1/1min
2 - 1/50s
3 - 1/40s
4 - 1/30s
5 - 1/22s
6 - 1/15s
7 - 1/10s
8 - 1/7s
9 - 1/5s
10 - 1/3s
11...
Potência do aumento de dano:
1 - até 5%
2 - até 10%
3 - até 15%
4 - até 20%
5 - até 25%
6 - até 30%
7 - até 35%
8 - até 40%
9 - até 45%
10 - até 50%
11...
duração
1 - 1s
2 - 2s
3 - 3s
4 - 4s
5 - 5s
6 - 6s
7 - 7s
8 - 8s
9 - 9s
10 - 10s
11...</text>
  </threadedComment>
  <threadedComment ref="AZ2" dT="2026-06-02T03:03:24.08" personId="{B6012F0E-E5C6-4745-8A5E-4C6462E9C718}" id="{6A70DF2D-7FA9-4898-AF2E-503F0BD9C410}">
    <text>(duração + potência) / 2 
potência:
1 - até 8%
2 - até 16%
3 - até 24%
4 - até 32%
5 - até 40%
6 - até 48%
7 - até 56%
8 - até 64%
9 - até 72%
10 - até 80%
11...
duração
1 - 1s
2 - 2s
3 - 3s
4 - 4s
5 - 5s
6 - 6s
7 - 7s
8 - 8s
9 - 9s
10 - 10s</text>
  </threadedComment>
  <threadedComment ref="BA2" dT="2026-06-02T03:06:12.21" personId="{B6012F0E-E5C6-4745-8A5E-4C6462E9C718}" id="{E3B5C75E-A63E-4DF1-AB21-96072BE88947}">
    <text>(frequencia + duração) / 2 
Frequência
1 - 1/1min
2 - 1/50s
3 - 1/40s
4 - 1/30s
5 - 1/22s
6 - 1/15s
7 - 1/10s
8 - 1/7s
9 - 1/5s
10 - 1/3s
11...
Duração:
1 - 1s
2 - 2s
3 - 3s
4 - 4s
5 - 5s
6 - 6s
7 - 7s
8 - 8s
9 - 9s
10 - 10s
11...</text>
  </threadedComment>
  <threadedComment ref="BB2" dT="2026-06-02T03:20:06.88" personId="{B6012F0E-E5C6-4745-8A5E-4C6462E9C718}" id="{2C4F4EC5-6006-4309-8C21-C207444C929A}">
    <text>(frequência + duração + área) / 3
0 - não tem essa capacidade
Frequência:
1 - 1/1min
2 - 1/50s
3 - 1/40s
4 - 1/30s
5 - 1/22s
6 - 1/15s
7 - 1/10s
8 - 1/7s
9 - 1/5s
10 - 1/3s
11...
duração
1 - 1s
2 - 2s
3 - 3s
4 - 4s
5 - 5s
6 - 6s
7 - 7s
8 - 8s
9 - 9s
10 - 10s
11...
Area:
1 - diâmetro de 1 brawler
2 - diâmetro de 2 brawler
3 - diâmetro de 3 brawler
4 - diâmetro de 4 brawler
5 - diâmetro de 5 brawler
6 - diâmetro de 6 brawler
7 - diâmetro de 7 brawler
8 - diâmetro de 8 brawler9 - diâmetro de 9 brawler
10 - diâmetro de 10 brawler
11...</text>
  </threadedComment>
  <threadedComment ref="BD2" dT="2026-06-02T03:22:47.43" personId="{B6012F0E-E5C6-4745-8A5E-4C6462E9C718}" id="{BF3EF9EE-8771-4879-9B67-EA31C54B5816}">
    <text>0 - não aplica veneno
1 - duração de 1 hit
2 - duração de 2 hit
3 - duração de 3 hit
4 - duração de 4 hit
5 - duração de 5 hit
6 - duração de 6 hit
7 - duração de 7 hit
8 - duração de 8 hit
9 - duração de 9 hit
10 - duração de 10 hit
11...
/1 se proveniente do ataque principal
/2 se proveniente da super
/3 se proveniente de algo ainda mais ocasional</text>
  </threadedComment>
  <threadedComment ref="BE2" dT="2026-06-02T03:23:18.23" personId="{B6012F0E-E5C6-4745-8A5E-4C6462E9C718}" id="{98500EC3-98EB-46A3-9B91-2E318A31BEF2}">
    <text>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ext>
  </threadedComment>
  <threadedComment ref="BF2" dT="2026-06-02T03:24:11.83" personId="{B6012F0E-E5C6-4745-8A5E-4C6462E9C718}" id="{27889731-7270-4229-931F-CFAAA24CB773}">
    <text>1 - stun até 0.1s
2 - stun até 0.35s
3 - stun até 0.6s
4 - stun até 0.85s
5 - stun até 1.1s
6 - stun até 1.35s
7 - stun até 1.6s
8 - stun até 1.85s
9 - stun até 2.1s
10 - stun até 2.5s
11...</text>
  </threadedComment>
  <threadedComment ref="BG2" dT="2026-06-02T03:24:39.33" personId="{B6012F0E-E5C6-4745-8A5E-4C6462E9C718}" id="{532C8B5E-D4B0-45D9-A19A-AC90B97A1CE6}">
    <text>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ext>
  </threadedComment>
  <threadedComment ref="BH2" dT="2026-06-02T03:31:43.31" personId="{B6012F0E-E5C6-4745-8A5E-4C6462E9C718}" id="{2FCE083B-8685-4397-ABBD-1FAEA5F3C471}">
    <text>(frequência + potência + duração)/3
0 - não tem essa capacidade
Frequência:
1 - 1/1min
2 - 1/50s
3 - 1/40s
4 - 1/30s
5 - 1/22s
6 - 1/15s
7 - 1/10s
8 - 1/7s
9 - 1/5s
10 - 1/3s
11...
Potência da lentidão:
1 - até 5%
2 - até 10%
3 - até 15%
4 - até 20%
5 - até 25%
6 - até 30%
7 - até 35%
8 - até 40%
9 - até 45%
10 - até 50%
11...
duração
1 - 0.5s
2 - 1s
3 - 1.5s
4 - 2s
5 - 2.5s
6 - 3s
7 - 3.5s
8 - 4s
9 - 4.5s
10 - 5s
11...</text>
  </threadedComment>
  <threadedComment ref="BI2" dT="2026-06-02T03:32:49.52" personId="{B6012F0E-E5C6-4745-8A5E-4C6462E9C718}" id="{4F3C11AD-7618-48A2-8113-98DDD4BAAE2A}">
    <text>(poder-cancelamento + frequência) / 2
poder cancelamento
1 - até 11%
2 - até 22%
3 - até 33%
4 - até 44%
5 - até 55%
6 - até 66%
7 - até 77%
8 - até 88%
9 - até 99%
10 - limpeza completa
Frequência:
1 - 1/1min
2 - 1/50s
3 - 1/40s
4 - 1/30s
5 - 1/22s
6 - 1/15s
7 - 1/10s
8 - 1/7s
9 - 1/5s
10 - 1/3s
11...</text>
  </threadedComment>
  <threadedComment ref="BJ2" dT="2026-06-02T03:33:10.36" personId="{B6012F0E-E5C6-4745-8A5E-4C6462E9C718}" id="{6B8DA9B2-B31C-47E0-8E90-405EDA0F39F9}">
    <text>0 - o brawler não tem essa capacidade
1 - pouco e apenas de muito perto e não possui formas rápidas de se aproximar
2 - pouco e apenas de perto e não possui formas rápidas de se aproximar
3 - pouco e apenas de medio alcance e não possui formas rápidas de se aproximar
4 - pouco e apenas de perto mas possui formas de se aproximar
5 - pouco e apenas de perto mas possui formas de se aproximar rapidamente
6 - de médias/longas distâncias
7 - longas distâncias
8 - ignorando muros
9 - ignorando obstaculos a médio/longo alcance
10 - ignorando obstáculos e objetos a longo alcance
11...</text>
  </threadedComment>
  <threadedComment ref="BK2" dT="2026-06-02T03:33:36.55" personId="{B6012F0E-E5C6-4745-8A5E-4C6462E9C718}" id="{1AF3A5F1-F54A-45BB-BC53-D25CCAF0DA2C}">
    <text>Se o seu brawler não é especialmente afetado, assinale altamente competente (7). Caso seja (um frank por exemplo é muito afetado), tente medir o quão fácil é para o inimigo cancelar um ataque forte seu e te prejudicar.
6 - afetado levemente por demora até finalização do tiro
5 - afetado levemente numa situação específica
4 - afetado consideravelmente no super
3 - afetado consideravelmente no ataque principal
2 - afetado consideravelmente no super e ataque
-1 se dá mais de 1 segundo de tempo de reação na super
-2 se dá mais de 1 segundo de tempo de reação no ataque principal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00B00-423F-419C-BC3E-8C17D559405A}">
  <dimension ref="A9:G109"/>
  <sheetViews>
    <sheetView workbookViewId="0">
      <selection activeCell="B17" sqref="B17"/>
    </sheetView>
  </sheetViews>
  <sheetFormatPr defaultRowHeight="15"/>
  <cols>
    <col min="1" max="1" width="16.5703125" bestFit="1" customWidth="1"/>
    <col min="2" max="2" width="17.5703125" bestFit="1" customWidth="1"/>
    <col min="3" max="3" width="24.28515625" bestFit="1" customWidth="1"/>
    <col min="4" max="4" width="19.28515625" bestFit="1" customWidth="1"/>
    <col min="5" max="5" width="23.85546875" bestFit="1" customWidth="1"/>
    <col min="6" max="6" width="25.42578125" bestFit="1" customWidth="1"/>
    <col min="7" max="7" width="25.85546875" bestFit="1" customWidth="1"/>
    <col min="8" max="8" width="19.28515625" bestFit="1" customWidth="1"/>
    <col min="9" max="9" width="23.85546875" bestFit="1" customWidth="1"/>
    <col min="10" max="10" width="25.42578125" bestFit="1" customWidth="1"/>
    <col min="11" max="11" width="25.85546875" bestFit="1" customWidth="1"/>
    <col min="12" max="12" width="24.28515625" bestFit="1" customWidth="1"/>
    <col min="13" max="13" width="19.28515625" bestFit="1" customWidth="1"/>
    <col min="14" max="14" width="23.85546875" bestFit="1" customWidth="1"/>
    <col min="15" max="15" width="25.42578125" bestFit="1" customWidth="1"/>
    <col min="16" max="16" width="25.85546875" bestFit="1" customWidth="1"/>
    <col min="17" max="17" width="24.28515625" bestFit="1" customWidth="1"/>
    <col min="18" max="18" width="19.28515625" bestFit="1" customWidth="1"/>
    <col min="19" max="19" width="23.85546875" bestFit="1" customWidth="1"/>
    <col min="20" max="20" width="25.42578125" bestFit="1" customWidth="1"/>
    <col min="21" max="21" width="25.85546875" bestFit="1" customWidth="1"/>
    <col min="22" max="22" width="24.28515625" bestFit="1" customWidth="1"/>
    <col min="23" max="23" width="19.28515625" bestFit="1" customWidth="1"/>
    <col min="24" max="24" width="23.85546875" bestFit="1" customWidth="1"/>
    <col min="25" max="25" width="25.42578125" bestFit="1" customWidth="1"/>
    <col min="26" max="26" width="25.85546875" bestFit="1" customWidth="1"/>
    <col min="27" max="27" width="24.28515625" bestFit="1" customWidth="1"/>
    <col min="28" max="28" width="19.28515625" bestFit="1" customWidth="1"/>
    <col min="29" max="29" width="23.85546875" bestFit="1" customWidth="1"/>
    <col min="30" max="30" width="25.42578125" bestFit="1" customWidth="1"/>
    <col min="31" max="31" width="25.85546875" bestFit="1" customWidth="1"/>
    <col min="32" max="32" width="24.28515625" bestFit="1" customWidth="1"/>
    <col min="33" max="33" width="19.28515625" bestFit="1" customWidth="1"/>
    <col min="34" max="34" width="23.85546875" bestFit="1" customWidth="1"/>
    <col min="35" max="35" width="25.42578125" bestFit="1" customWidth="1"/>
    <col min="36" max="36" width="25.85546875" bestFit="1" customWidth="1"/>
    <col min="37" max="37" width="24.28515625" bestFit="1" customWidth="1"/>
    <col min="38" max="38" width="19.28515625" bestFit="1" customWidth="1"/>
    <col min="39" max="39" width="23.85546875" bestFit="1" customWidth="1"/>
    <col min="40" max="40" width="25.42578125" bestFit="1" customWidth="1"/>
    <col min="41" max="41" width="25.85546875" bestFit="1" customWidth="1"/>
    <col min="42" max="42" width="24.28515625" bestFit="1" customWidth="1"/>
    <col min="43" max="43" width="19.28515625" bestFit="1" customWidth="1"/>
    <col min="44" max="44" width="23.85546875" bestFit="1" customWidth="1"/>
    <col min="45" max="45" width="25.42578125" bestFit="1" customWidth="1"/>
    <col min="46" max="46" width="25.85546875" bestFit="1" customWidth="1"/>
    <col min="47" max="47" width="24.28515625" bestFit="1" customWidth="1"/>
    <col min="48" max="48" width="19.28515625" bestFit="1" customWidth="1"/>
    <col min="49" max="49" width="23.85546875" bestFit="1" customWidth="1"/>
    <col min="50" max="50" width="25.42578125" bestFit="1" customWidth="1"/>
    <col min="51" max="51" width="25.85546875" bestFit="1" customWidth="1"/>
    <col min="52" max="52" width="29" bestFit="1" customWidth="1"/>
    <col min="53" max="53" width="24.140625" bestFit="1" customWidth="1"/>
    <col min="54" max="54" width="28.5703125" bestFit="1" customWidth="1"/>
    <col min="55" max="55" width="30.140625" bestFit="1" customWidth="1"/>
    <col min="56" max="56" width="30.5703125" bestFit="1" customWidth="1"/>
  </cols>
  <sheetData>
    <row r="9" spans="1:7">
      <c r="A9" s="16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</row>
    <row r="10" spans="1:7">
      <c r="A10" t="s">
        <v>7</v>
      </c>
      <c r="B10" s="18">
        <v>7</v>
      </c>
      <c r="C10" s="18">
        <v>8</v>
      </c>
      <c r="D10" s="18">
        <v>6</v>
      </c>
      <c r="E10" s="18">
        <v>0</v>
      </c>
      <c r="F10" s="17">
        <v>1.9966666666666666</v>
      </c>
      <c r="G10" s="17">
        <v>7.3318518518518516</v>
      </c>
    </row>
    <row r="11" spans="1:7">
      <c r="A11" t="s">
        <v>8</v>
      </c>
      <c r="B11" s="18">
        <v>4</v>
      </c>
      <c r="C11" s="18">
        <v>1</v>
      </c>
      <c r="D11" s="18">
        <v>5</v>
      </c>
      <c r="E11" s="18">
        <v>6</v>
      </c>
      <c r="F11" s="17">
        <v>6.996666666666667</v>
      </c>
      <c r="G11" s="17">
        <v>5.5540740740740739</v>
      </c>
    </row>
    <row r="12" spans="1:7">
      <c r="A12" t="s">
        <v>9</v>
      </c>
      <c r="B12" s="18">
        <v>3</v>
      </c>
      <c r="C12" s="18">
        <v>7</v>
      </c>
      <c r="D12" s="18">
        <v>6</v>
      </c>
      <c r="E12" s="18">
        <v>0</v>
      </c>
      <c r="F12" s="17">
        <v>1.9966666666666666</v>
      </c>
      <c r="G12" s="17">
        <v>5.9985185185185186</v>
      </c>
    </row>
    <row r="13" spans="1:7">
      <c r="A13" t="s">
        <v>10</v>
      </c>
      <c r="B13" s="18">
        <v>3</v>
      </c>
      <c r="C13" s="18">
        <v>9</v>
      </c>
      <c r="D13" s="18">
        <v>6</v>
      </c>
      <c r="E13" s="18">
        <v>0</v>
      </c>
      <c r="F13" s="17">
        <v>3.33</v>
      </c>
      <c r="G13" s="17">
        <v>7.4799999999999995</v>
      </c>
    </row>
    <row r="14" spans="1:7">
      <c r="A14" t="s">
        <v>11</v>
      </c>
      <c r="B14" s="18">
        <v>9</v>
      </c>
      <c r="C14" s="18">
        <v>4</v>
      </c>
      <c r="D14" s="18">
        <v>5</v>
      </c>
      <c r="E14" s="18">
        <v>0</v>
      </c>
      <c r="F14" s="17">
        <v>3.996666666666667</v>
      </c>
      <c r="G14" s="17">
        <v>6.6651851851851847</v>
      </c>
    </row>
    <row r="15" spans="1:7">
      <c r="A15" t="s">
        <v>12</v>
      </c>
      <c r="B15" s="18">
        <v>2</v>
      </c>
      <c r="C15" s="18">
        <v>6</v>
      </c>
      <c r="D15" s="18">
        <v>5</v>
      </c>
      <c r="E15" s="18">
        <v>0</v>
      </c>
      <c r="F15" s="17">
        <v>1.6633333333333336</v>
      </c>
      <c r="G15" s="17">
        <v>4.9614814814814814</v>
      </c>
    </row>
    <row r="16" spans="1:7">
      <c r="A16" t="s">
        <v>13</v>
      </c>
      <c r="B16" s="18">
        <v>3</v>
      </c>
      <c r="C16" s="18">
        <v>8</v>
      </c>
      <c r="D16" s="18">
        <v>6</v>
      </c>
      <c r="E16" s="18">
        <v>0</v>
      </c>
      <c r="F16" s="17">
        <v>1.9966666666666666</v>
      </c>
      <c r="G16" s="17">
        <v>6.4429629629629623</v>
      </c>
    </row>
    <row r="17" spans="1:7">
      <c r="A17" t="s">
        <v>14</v>
      </c>
      <c r="B17" s="18">
        <v>2</v>
      </c>
      <c r="C17" s="18">
        <v>8</v>
      </c>
      <c r="D17" s="18">
        <v>4</v>
      </c>
      <c r="E17" s="18">
        <v>0</v>
      </c>
      <c r="F17" s="17">
        <v>1.6633333333333336</v>
      </c>
      <c r="G17" s="17">
        <v>5.6281481481481483</v>
      </c>
    </row>
    <row r="18" spans="1:7">
      <c r="A18" t="s">
        <v>15</v>
      </c>
      <c r="B18" s="18">
        <v>2</v>
      </c>
      <c r="C18" s="18">
        <v>5</v>
      </c>
      <c r="D18" s="18">
        <v>5</v>
      </c>
      <c r="E18" s="18">
        <v>7</v>
      </c>
      <c r="F18" s="17">
        <v>6.33</v>
      </c>
      <c r="G18" s="17">
        <v>6.5911111111111111</v>
      </c>
    </row>
    <row r="19" spans="1:7">
      <c r="A19" t="s">
        <v>16</v>
      </c>
      <c r="B19" s="18">
        <v>7</v>
      </c>
      <c r="C19" s="18">
        <v>2</v>
      </c>
      <c r="D19" s="18">
        <v>5</v>
      </c>
      <c r="E19" s="18">
        <v>0</v>
      </c>
      <c r="F19" s="17">
        <v>4.6633333333333331</v>
      </c>
      <c r="G19" s="17">
        <v>5.6281481481481483</v>
      </c>
    </row>
    <row r="20" spans="1:7">
      <c r="A20" t="s">
        <v>17</v>
      </c>
      <c r="B20" s="18">
        <v>4</v>
      </c>
      <c r="C20" s="18">
        <v>7</v>
      </c>
      <c r="D20" s="18">
        <v>5</v>
      </c>
      <c r="E20" s="18">
        <v>0</v>
      </c>
      <c r="F20" s="17">
        <v>2.33</v>
      </c>
      <c r="G20" s="17">
        <v>6.1466666666666665</v>
      </c>
    </row>
    <row r="21" spans="1:7">
      <c r="A21" t="s">
        <v>18</v>
      </c>
      <c r="B21" s="18">
        <v>6</v>
      </c>
      <c r="C21" s="18">
        <v>8</v>
      </c>
      <c r="D21" s="18">
        <v>5</v>
      </c>
      <c r="E21" s="18">
        <v>7</v>
      </c>
      <c r="F21" s="17">
        <v>6.996666666666667</v>
      </c>
      <c r="G21" s="17">
        <v>9.1096296296296302</v>
      </c>
    </row>
    <row r="22" spans="1:7">
      <c r="A22" t="s">
        <v>19</v>
      </c>
      <c r="B22" s="18">
        <v>3</v>
      </c>
      <c r="C22" s="18">
        <v>7</v>
      </c>
      <c r="D22" s="18">
        <v>6</v>
      </c>
      <c r="E22" s="18">
        <v>0</v>
      </c>
      <c r="F22" s="17">
        <v>1.9966666666666666</v>
      </c>
      <c r="G22" s="17">
        <v>5.9985185185185186</v>
      </c>
    </row>
    <row r="23" spans="1:7">
      <c r="A23" t="s">
        <v>20</v>
      </c>
      <c r="B23" s="18">
        <v>7</v>
      </c>
      <c r="C23" s="18">
        <v>2</v>
      </c>
      <c r="D23" s="18">
        <v>8</v>
      </c>
      <c r="E23" s="18">
        <v>4</v>
      </c>
      <c r="F23" s="17">
        <v>6.6633333333333331</v>
      </c>
      <c r="G23" s="17">
        <v>7.1837037037037037</v>
      </c>
    </row>
    <row r="24" spans="1:7">
      <c r="A24" t="s">
        <v>21</v>
      </c>
      <c r="B24" s="18">
        <v>7</v>
      </c>
      <c r="C24" s="18">
        <v>4</v>
      </c>
      <c r="D24" s="18">
        <v>4</v>
      </c>
      <c r="E24" s="18">
        <v>0</v>
      </c>
      <c r="F24" s="17">
        <v>3.996666666666667</v>
      </c>
      <c r="G24" s="17">
        <v>5.9985185185185186</v>
      </c>
    </row>
    <row r="25" spans="1:7">
      <c r="A25" t="s">
        <v>22</v>
      </c>
      <c r="B25" s="18">
        <v>7</v>
      </c>
      <c r="C25" s="18">
        <v>1</v>
      </c>
      <c r="D25" s="18">
        <v>6</v>
      </c>
      <c r="E25" s="18">
        <v>7</v>
      </c>
      <c r="F25" s="17">
        <v>8.663333333333334</v>
      </c>
      <c r="G25" s="17">
        <v>7.1837037037037037</v>
      </c>
    </row>
    <row r="26" spans="1:7">
      <c r="A26" t="s">
        <v>23</v>
      </c>
      <c r="B26" s="18">
        <v>2</v>
      </c>
      <c r="C26" s="18">
        <v>8</v>
      </c>
      <c r="D26" s="18">
        <v>4</v>
      </c>
      <c r="E26" s="18">
        <v>0</v>
      </c>
      <c r="F26" s="17">
        <v>1.6633333333333336</v>
      </c>
      <c r="G26" s="17">
        <v>5.6281481481481483</v>
      </c>
    </row>
    <row r="27" spans="1:7">
      <c r="A27" t="s">
        <v>24</v>
      </c>
      <c r="B27" s="18">
        <v>5</v>
      </c>
      <c r="C27" s="18">
        <v>7</v>
      </c>
      <c r="D27" s="18">
        <v>6</v>
      </c>
      <c r="E27" s="18">
        <v>0</v>
      </c>
      <c r="F27" s="17">
        <v>2.6633333333333336</v>
      </c>
      <c r="G27" s="17">
        <v>6.7392592592592599</v>
      </c>
    </row>
    <row r="28" spans="1:7">
      <c r="A28" t="s">
        <v>25</v>
      </c>
      <c r="B28" s="18">
        <v>4</v>
      </c>
      <c r="C28" s="18">
        <v>7</v>
      </c>
      <c r="D28" s="18">
        <v>5</v>
      </c>
      <c r="E28" s="18">
        <v>0</v>
      </c>
      <c r="F28" s="17">
        <v>2.33</v>
      </c>
      <c r="G28" s="17">
        <v>6.1466666666666665</v>
      </c>
    </row>
    <row r="29" spans="1:7">
      <c r="A29" t="s">
        <v>26</v>
      </c>
      <c r="B29" s="18">
        <v>4</v>
      </c>
      <c r="C29" s="18">
        <v>6</v>
      </c>
      <c r="D29" s="18">
        <v>7</v>
      </c>
      <c r="E29" s="18">
        <v>0</v>
      </c>
      <c r="F29" s="17">
        <v>2.9966666666666666</v>
      </c>
      <c r="G29" s="17">
        <v>6.4429629629629623</v>
      </c>
    </row>
    <row r="30" spans="1:7">
      <c r="A30" t="s">
        <v>27</v>
      </c>
      <c r="B30" s="18">
        <v>6</v>
      </c>
      <c r="C30" s="18">
        <v>4</v>
      </c>
      <c r="D30" s="18">
        <v>5</v>
      </c>
      <c r="E30" s="18">
        <v>5</v>
      </c>
      <c r="F30" s="17">
        <v>6.996666666666667</v>
      </c>
      <c r="G30" s="17">
        <v>7.3318518518518516</v>
      </c>
    </row>
    <row r="31" spans="1:7">
      <c r="A31" t="s">
        <v>28</v>
      </c>
      <c r="B31" s="18">
        <v>4</v>
      </c>
      <c r="C31" s="18">
        <v>7</v>
      </c>
      <c r="D31" s="18">
        <v>7</v>
      </c>
      <c r="E31" s="18">
        <v>0</v>
      </c>
      <c r="F31" s="17">
        <v>2.33</v>
      </c>
      <c r="G31" s="17">
        <v>6.5911111111111111</v>
      </c>
    </row>
    <row r="32" spans="1:7">
      <c r="A32" t="s">
        <v>29</v>
      </c>
      <c r="B32" s="18">
        <v>4</v>
      </c>
      <c r="C32" s="18">
        <v>8</v>
      </c>
      <c r="D32" s="18">
        <v>4</v>
      </c>
      <c r="E32" s="18">
        <v>0</v>
      </c>
      <c r="F32" s="17">
        <v>2.33</v>
      </c>
      <c r="G32" s="17">
        <v>6.3688888888888888</v>
      </c>
    </row>
    <row r="33" spans="1:7">
      <c r="A33" t="s">
        <v>30</v>
      </c>
      <c r="B33" s="18">
        <v>3</v>
      </c>
      <c r="C33" s="18">
        <v>8</v>
      </c>
      <c r="D33" s="18">
        <v>9</v>
      </c>
      <c r="E33" s="18">
        <v>0</v>
      </c>
      <c r="F33" s="17">
        <v>1.9966666666666666</v>
      </c>
      <c r="G33" s="17">
        <v>7.1096296296296293</v>
      </c>
    </row>
    <row r="34" spans="1:7">
      <c r="A34" t="s">
        <v>31</v>
      </c>
      <c r="B34" s="18">
        <v>4</v>
      </c>
      <c r="C34" s="18">
        <v>4</v>
      </c>
      <c r="D34" s="18">
        <v>6</v>
      </c>
      <c r="E34" s="18">
        <v>8</v>
      </c>
      <c r="F34" s="17">
        <v>8.9966666666666661</v>
      </c>
      <c r="G34" s="17">
        <v>7.9985185185185186</v>
      </c>
    </row>
    <row r="35" spans="1:7">
      <c r="A35" t="s">
        <v>32</v>
      </c>
      <c r="B35" s="18">
        <v>3</v>
      </c>
      <c r="C35" s="18">
        <v>6</v>
      </c>
      <c r="D35" s="18">
        <v>6</v>
      </c>
      <c r="E35" s="18">
        <v>7</v>
      </c>
      <c r="F35" s="17">
        <v>7.9966666666666661</v>
      </c>
      <c r="G35" s="17">
        <v>8.2207407407407409</v>
      </c>
    </row>
    <row r="36" spans="1:7">
      <c r="A36" t="s">
        <v>33</v>
      </c>
      <c r="B36" s="18">
        <v>8</v>
      </c>
      <c r="C36" s="18">
        <v>4</v>
      </c>
      <c r="D36" s="18">
        <v>5</v>
      </c>
      <c r="E36" s="18">
        <v>6</v>
      </c>
      <c r="F36" s="17">
        <v>8.33</v>
      </c>
      <c r="G36" s="17">
        <v>8.3688888888888879</v>
      </c>
    </row>
    <row r="37" spans="1:7">
      <c r="A37" t="s">
        <v>34</v>
      </c>
      <c r="B37" s="18">
        <v>7</v>
      </c>
      <c r="C37" s="18">
        <v>3</v>
      </c>
      <c r="D37" s="18">
        <v>5</v>
      </c>
      <c r="E37" s="18">
        <v>0</v>
      </c>
      <c r="F37" s="17">
        <v>3.996666666666667</v>
      </c>
      <c r="G37" s="17">
        <v>5.7762962962962963</v>
      </c>
    </row>
    <row r="38" spans="1:7">
      <c r="A38" t="s">
        <v>35</v>
      </c>
      <c r="B38" s="18">
        <v>8</v>
      </c>
      <c r="C38" s="18">
        <v>3</v>
      </c>
      <c r="D38" s="18">
        <v>5</v>
      </c>
      <c r="E38" s="18">
        <v>0</v>
      </c>
      <c r="F38" s="17">
        <v>3.6633333333333331</v>
      </c>
      <c r="G38" s="17">
        <v>5.8503703703703707</v>
      </c>
    </row>
    <row r="39" spans="1:7">
      <c r="A39" t="s">
        <v>36</v>
      </c>
      <c r="B39" s="18">
        <v>3</v>
      </c>
      <c r="C39" s="18">
        <v>6</v>
      </c>
      <c r="D39" s="18">
        <v>8</v>
      </c>
      <c r="E39" s="18">
        <v>0</v>
      </c>
      <c r="F39" s="17">
        <v>2.6633333333333336</v>
      </c>
      <c r="G39" s="17">
        <v>6.2948148148148153</v>
      </c>
    </row>
    <row r="40" spans="1:7">
      <c r="A40" t="s">
        <v>37</v>
      </c>
      <c r="B40" s="18">
        <v>4</v>
      </c>
      <c r="C40" s="18">
        <v>1</v>
      </c>
      <c r="D40" s="18">
        <v>5</v>
      </c>
      <c r="E40" s="18">
        <v>6</v>
      </c>
      <c r="F40" s="17">
        <v>7.663333333333334</v>
      </c>
      <c r="G40" s="17">
        <v>5.8503703703703707</v>
      </c>
    </row>
    <row r="41" spans="1:7">
      <c r="A41" t="s">
        <v>38</v>
      </c>
      <c r="B41" s="18">
        <v>10</v>
      </c>
      <c r="C41" s="18">
        <v>1</v>
      </c>
      <c r="D41" s="18">
        <v>5</v>
      </c>
      <c r="E41" s="18">
        <v>3</v>
      </c>
      <c r="F41" s="17">
        <v>6.996666666666667</v>
      </c>
      <c r="G41" s="17">
        <v>6.887407407407407</v>
      </c>
    </row>
    <row r="42" spans="1:7">
      <c r="A42" t="s">
        <v>39</v>
      </c>
      <c r="B42" s="18">
        <v>4</v>
      </c>
      <c r="C42" s="18">
        <v>5</v>
      </c>
      <c r="D42" s="18">
        <v>6</v>
      </c>
      <c r="E42" s="18">
        <v>0</v>
      </c>
      <c r="F42" s="17">
        <v>2.33</v>
      </c>
      <c r="G42" s="17">
        <v>5.48</v>
      </c>
    </row>
    <row r="43" spans="1:7">
      <c r="A43" t="s">
        <v>40</v>
      </c>
      <c r="B43" s="18">
        <v>3</v>
      </c>
      <c r="C43" s="18">
        <v>8</v>
      </c>
      <c r="D43" s="18">
        <v>4</v>
      </c>
      <c r="E43" s="18">
        <v>0</v>
      </c>
      <c r="F43" s="17">
        <v>1.9966666666666666</v>
      </c>
      <c r="G43" s="17">
        <v>5.9985185185185186</v>
      </c>
    </row>
    <row r="44" spans="1:7">
      <c r="A44" t="s">
        <v>41</v>
      </c>
      <c r="B44" s="18">
        <v>6</v>
      </c>
      <c r="C44" s="18">
        <v>8</v>
      </c>
      <c r="D44" s="18">
        <v>6</v>
      </c>
      <c r="E44" s="18">
        <v>8</v>
      </c>
      <c r="F44" s="17">
        <v>8.9966666666666661</v>
      </c>
      <c r="G44" s="17">
        <v>10.220740740740741</v>
      </c>
    </row>
    <row r="45" spans="1:7">
      <c r="A45" t="s">
        <v>42</v>
      </c>
      <c r="B45" s="18">
        <v>4</v>
      </c>
      <c r="C45" s="18">
        <v>6</v>
      </c>
      <c r="D45" s="18">
        <v>5</v>
      </c>
      <c r="E45" s="18">
        <v>0</v>
      </c>
      <c r="F45" s="17">
        <v>2.9966666666666666</v>
      </c>
      <c r="G45" s="17">
        <v>5.9985185185185186</v>
      </c>
    </row>
    <row r="46" spans="1:7">
      <c r="A46" t="s">
        <v>43</v>
      </c>
      <c r="B46" s="18">
        <v>10</v>
      </c>
      <c r="C46" s="18">
        <v>5</v>
      </c>
      <c r="D46" s="18">
        <v>5</v>
      </c>
      <c r="E46" s="18">
        <v>0</v>
      </c>
      <c r="F46" s="17">
        <v>4.996666666666667</v>
      </c>
      <c r="G46" s="17">
        <v>7.7762962962962963</v>
      </c>
    </row>
    <row r="47" spans="1:7">
      <c r="A47" t="s">
        <v>44</v>
      </c>
      <c r="B47" s="18">
        <v>5</v>
      </c>
      <c r="C47" s="18">
        <v>7</v>
      </c>
      <c r="D47" s="18">
        <v>5</v>
      </c>
      <c r="E47" s="18">
        <v>0</v>
      </c>
      <c r="F47" s="17">
        <v>2.6633333333333336</v>
      </c>
      <c r="G47" s="17">
        <v>6.5170370370370376</v>
      </c>
    </row>
    <row r="48" spans="1:7">
      <c r="A48" t="s">
        <v>45</v>
      </c>
      <c r="B48" s="18">
        <v>4</v>
      </c>
      <c r="C48" s="18">
        <v>9</v>
      </c>
      <c r="D48" s="18">
        <v>3</v>
      </c>
      <c r="E48" s="18">
        <v>0</v>
      </c>
      <c r="F48" s="17">
        <v>2.33</v>
      </c>
      <c r="G48" s="17">
        <v>6.5911111111111111</v>
      </c>
    </row>
    <row r="49" spans="1:7">
      <c r="A49" t="s">
        <v>46</v>
      </c>
      <c r="B49" s="18">
        <v>5</v>
      </c>
      <c r="C49" s="18">
        <v>1</v>
      </c>
      <c r="D49" s="18">
        <v>5</v>
      </c>
      <c r="E49" s="18">
        <v>6</v>
      </c>
      <c r="F49" s="17">
        <v>7.9966666666666661</v>
      </c>
      <c r="G49" s="17">
        <v>6.2207407407407409</v>
      </c>
    </row>
    <row r="50" spans="1:7">
      <c r="A50" t="s">
        <v>47</v>
      </c>
      <c r="B50" s="18">
        <v>4</v>
      </c>
      <c r="C50" s="18">
        <v>6</v>
      </c>
      <c r="D50" s="18">
        <v>3</v>
      </c>
      <c r="E50" s="18">
        <v>0</v>
      </c>
      <c r="F50" s="17">
        <v>2.9966666666666666</v>
      </c>
      <c r="G50" s="17">
        <v>5.5540740740740739</v>
      </c>
    </row>
    <row r="51" spans="1:7">
      <c r="A51" t="s">
        <v>48</v>
      </c>
      <c r="B51" s="18">
        <v>4</v>
      </c>
      <c r="C51" s="18">
        <v>7</v>
      </c>
      <c r="D51" s="18">
        <v>4</v>
      </c>
      <c r="E51" s="18">
        <v>7</v>
      </c>
      <c r="F51" s="17">
        <v>6.996666666666667</v>
      </c>
      <c r="G51" s="17">
        <v>7.9985185185185186</v>
      </c>
    </row>
    <row r="52" spans="1:7">
      <c r="A52" t="s">
        <v>49</v>
      </c>
      <c r="B52" s="18">
        <v>4</v>
      </c>
      <c r="C52" s="18">
        <v>7</v>
      </c>
      <c r="D52" s="18">
        <v>9</v>
      </c>
      <c r="E52" s="18">
        <v>0</v>
      </c>
      <c r="F52" s="17">
        <v>2.33</v>
      </c>
      <c r="G52" s="17">
        <v>7.0355555555555558</v>
      </c>
    </row>
    <row r="53" spans="1:7">
      <c r="A53" t="s">
        <v>50</v>
      </c>
      <c r="B53" s="18">
        <v>3</v>
      </c>
      <c r="C53" s="18">
        <v>7</v>
      </c>
      <c r="D53" s="18">
        <v>4</v>
      </c>
      <c r="E53" s="18">
        <v>0</v>
      </c>
      <c r="F53" s="17">
        <v>1.9966666666666666</v>
      </c>
      <c r="G53" s="17">
        <v>5.5540740740740739</v>
      </c>
    </row>
    <row r="54" spans="1:7">
      <c r="A54" t="s">
        <v>51</v>
      </c>
      <c r="B54" s="18">
        <v>3</v>
      </c>
      <c r="C54" s="18">
        <v>8</v>
      </c>
      <c r="D54" s="18">
        <v>4</v>
      </c>
      <c r="E54" s="18">
        <v>0</v>
      </c>
      <c r="F54" s="17">
        <v>1.9966666666666666</v>
      </c>
      <c r="G54" s="17">
        <v>5.9985185185185186</v>
      </c>
    </row>
    <row r="55" spans="1:7">
      <c r="A55" t="s">
        <v>52</v>
      </c>
      <c r="B55" s="18">
        <v>7</v>
      </c>
      <c r="C55" s="18">
        <v>4</v>
      </c>
      <c r="D55" s="18">
        <v>5</v>
      </c>
      <c r="E55" s="18">
        <v>0</v>
      </c>
      <c r="F55" s="17">
        <v>3.33</v>
      </c>
      <c r="G55" s="17">
        <v>5.9244444444444442</v>
      </c>
    </row>
    <row r="56" spans="1:7">
      <c r="A56" t="s">
        <v>53</v>
      </c>
      <c r="B56" s="18">
        <v>7</v>
      </c>
      <c r="C56" s="18">
        <v>3</v>
      </c>
      <c r="D56" s="18">
        <v>4</v>
      </c>
      <c r="E56" s="18">
        <v>0</v>
      </c>
      <c r="F56" s="17">
        <v>3.996666666666667</v>
      </c>
      <c r="G56" s="17">
        <v>5.5540740740740739</v>
      </c>
    </row>
    <row r="57" spans="1:7">
      <c r="A57" t="s">
        <v>54</v>
      </c>
      <c r="B57" s="18">
        <v>4</v>
      </c>
      <c r="C57" s="18">
        <v>7</v>
      </c>
      <c r="D57" s="18">
        <v>3</v>
      </c>
      <c r="E57" s="18">
        <v>0</v>
      </c>
      <c r="F57" s="17">
        <v>2.9966666666666666</v>
      </c>
      <c r="G57" s="17">
        <v>5.9985185185185186</v>
      </c>
    </row>
    <row r="58" spans="1:7">
      <c r="A58" t="s">
        <v>55</v>
      </c>
      <c r="B58" s="18">
        <v>3</v>
      </c>
      <c r="C58" s="18">
        <v>5</v>
      </c>
      <c r="D58" s="18">
        <v>4</v>
      </c>
      <c r="E58" s="18">
        <v>2</v>
      </c>
      <c r="F58" s="17">
        <v>3.33</v>
      </c>
      <c r="G58" s="17">
        <v>5.2577777777777781</v>
      </c>
    </row>
    <row r="59" spans="1:7">
      <c r="A59" t="s">
        <v>56</v>
      </c>
      <c r="B59" s="18">
        <v>3</v>
      </c>
      <c r="C59" s="18">
        <v>7</v>
      </c>
      <c r="D59" s="18">
        <v>6</v>
      </c>
      <c r="E59" s="18">
        <v>0</v>
      </c>
      <c r="F59" s="17">
        <v>1.9966666666666666</v>
      </c>
      <c r="G59" s="17">
        <v>5.9985185185185186</v>
      </c>
    </row>
    <row r="60" spans="1:7">
      <c r="A60" t="s">
        <v>57</v>
      </c>
      <c r="B60" s="18">
        <v>3</v>
      </c>
      <c r="C60" s="18">
        <v>7</v>
      </c>
      <c r="D60" s="18">
        <v>5</v>
      </c>
      <c r="E60" s="18">
        <v>0</v>
      </c>
      <c r="F60" s="17">
        <v>1.9966666666666666</v>
      </c>
      <c r="G60" s="17">
        <v>5.7762962962962963</v>
      </c>
    </row>
    <row r="61" spans="1:7">
      <c r="A61" t="s">
        <v>58</v>
      </c>
      <c r="B61" s="18">
        <v>5</v>
      </c>
      <c r="C61" s="18">
        <v>4</v>
      </c>
      <c r="D61" s="18">
        <v>6</v>
      </c>
      <c r="E61" s="18">
        <v>8</v>
      </c>
      <c r="F61" s="17">
        <v>9.33</v>
      </c>
      <c r="G61" s="17">
        <v>8.3688888888888879</v>
      </c>
    </row>
    <row r="62" spans="1:7">
      <c r="A62" t="s">
        <v>59</v>
      </c>
      <c r="B62" s="18">
        <v>5</v>
      </c>
      <c r="C62" s="18">
        <v>2</v>
      </c>
      <c r="D62" s="18">
        <v>4</v>
      </c>
      <c r="E62" s="18">
        <v>3</v>
      </c>
      <c r="F62" s="17">
        <v>5.996666666666667</v>
      </c>
      <c r="G62" s="17">
        <v>5.5540740740740739</v>
      </c>
    </row>
    <row r="63" spans="1:7">
      <c r="A63" t="s">
        <v>60</v>
      </c>
      <c r="B63" s="18">
        <v>3</v>
      </c>
      <c r="C63" s="18">
        <v>4</v>
      </c>
      <c r="D63" s="18">
        <v>5</v>
      </c>
      <c r="E63" s="18">
        <v>7</v>
      </c>
      <c r="F63" s="17">
        <v>7.9966666666666661</v>
      </c>
      <c r="G63" s="17">
        <v>7.1096296296296293</v>
      </c>
    </row>
    <row r="64" spans="1:7">
      <c r="A64" t="s">
        <v>61</v>
      </c>
      <c r="B64" s="18">
        <v>3</v>
      </c>
      <c r="C64" s="18">
        <v>5</v>
      </c>
      <c r="D64" s="18">
        <v>5</v>
      </c>
      <c r="E64" s="18">
        <v>0</v>
      </c>
      <c r="F64" s="17">
        <v>2.6633333333333336</v>
      </c>
      <c r="G64" s="17">
        <v>5.1837037037037037</v>
      </c>
    </row>
    <row r="65" spans="1:7">
      <c r="A65" t="s">
        <v>62</v>
      </c>
      <c r="B65" s="18">
        <v>4</v>
      </c>
      <c r="C65" s="18">
        <v>7</v>
      </c>
      <c r="D65" s="18">
        <v>4</v>
      </c>
      <c r="E65" s="18">
        <v>9</v>
      </c>
      <c r="F65" s="17">
        <v>9.663333333333334</v>
      </c>
      <c r="G65" s="17">
        <v>9.1837037037037046</v>
      </c>
    </row>
    <row r="66" spans="1:7">
      <c r="A66" t="s">
        <v>63</v>
      </c>
      <c r="B66" s="18">
        <v>5</v>
      </c>
      <c r="C66" s="18">
        <v>1</v>
      </c>
      <c r="D66" s="18">
        <v>6</v>
      </c>
      <c r="E66" s="18">
        <v>9</v>
      </c>
      <c r="F66" s="17">
        <v>9.9966666666666661</v>
      </c>
      <c r="G66" s="17">
        <v>7.3318518518518516</v>
      </c>
    </row>
    <row r="67" spans="1:7">
      <c r="A67" t="s">
        <v>64</v>
      </c>
      <c r="B67" s="18">
        <v>5</v>
      </c>
      <c r="C67" s="18">
        <v>7</v>
      </c>
      <c r="D67" s="18">
        <v>6</v>
      </c>
      <c r="E67" s="18">
        <v>0</v>
      </c>
      <c r="F67" s="17">
        <v>2.6633333333333336</v>
      </c>
      <c r="G67" s="17">
        <v>6.7392592592592599</v>
      </c>
    </row>
    <row r="68" spans="1:7">
      <c r="A68" t="s">
        <v>65</v>
      </c>
      <c r="B68" s="18">
        <v>4</v>
      </c>
      <c r="C68" s="18">
        <v>8</v>
      </c>
      <c r="D68" s="18">
        <v>5</v>
      </c>
      <c r="E68" s="18">
        <v>0</v>
      </c>
      <c r="F68" s="17">
        <v>2.33</v>
      </c>
      <c r="G68" s="17">
        <v>6.5911111111111111</v>
      </c>
    </row>
    <row r="69" spans="1:7">
      <c r="A69" t="s">
        <v>66</v>
      </c>
      <c r="B69" s="18">
        <v>3</v>
      </c>
      <c r="C69" s="18">
        <v>7</v>
      </c>
      <c r="D69" s="18">
        <v>5</v>
      </c>
      <c r="E69" s="18">
        <v>0</v>
      </c>
      <c r="F69" s="17">
        <v>1.9966666666666666</v>
      </c>
      <c r="G69" s="17">
        <v>5.7762962962962963</v>
      </c>
    </row>
    <row r="70" spans="1:7">
      <c r="A70" t="s">
        <v>67</v>
      </c>
      <c r="B70" s="18">
        <v>5</v>
      </c>
      <c r="C70" s="18">
        <v>7</v>
      </c>
      <c r="D70" s="18">
        <v>5</v>
      </c>
      <c r="E70" s="18">
        <v>0</v>
      </c>
      <c r="F70" s="17">
        <v>2.6633333333333336</v>
      </c>
      <c r="G70" s="17">
        <v>6.5170370370370376</v>
      </c>
    </row>
    <row r="71" spans="1:7">
      <c r="A71" t="s">
        <v>68</v>
      </c>
      <c r="B71" s="18">
        <v>3</v>
      </c>
      <c r="C71" s="18">
        <v>10</v>
      </c>
      <c r="D71" s="18">
        <v>6</v>
      </c>
      <c r="E71" s="18">
        <v>0</v>
      </c>
      <c r="F71" s="17">
        <v>1.9966666666666666</v>
      </c>
      <c r="G71" s="17">
        <v>7.3318518518518516</v>
      </c>
    </row>
    <row r="72" spans="1:7">
      <c r="A72" t="s">
        <v>69</v>
      </c>
      <c r="B72" s="18">
        <v>4</v>
      </c>
      <c r="C72" s="18">
        <v>7</v>
      </c>
      <c r="D72" s="18">
        <v>5</v>
      </c>
      <c r="E72" s="18">
        <v>0</v>
      </c>
      <c r="F72" s="17">
        <v>3.6633333333333331</v>
      </c>
      <c r="G72" s="17">
        <v>6.7392592592592599</v>
      </c>
    </row>
    <row r="73" spans="1:7">
      <c r="A73" t="s">
        <v>70</v>
      </c>
      <c r="B73" s="18">
        <v>3</v>
      </c>
      <c r="C73" s="18">
        <v>7</v>
      </c>
      <c r="D73" s="18">
        <v>4</v>
      </c>
      <c r="E73" s="18">
        <v>0</v>
      </c>
      <c r="F73" s="17">
        <v>1.9966666666666666</v>
      </c>
      <c r="G73" s="17">
        <v>5.5540740740740739</v>
      </c>
    </row>
    <row r="74" spans="1:7">
      <c r="A74" t="s">
        <v>71</v>
      </c>
      <c r="B74" s="18">
        <v>7</v>
      </c>
      <c r="C74" s="18">
        <v>6</v>
      </c>
      <c r="D74" s="18">
        <v>7</v>
      </c>
      <c r="E74" s="18">
        <v>0</v>
      </c>
      <c r="F74" s="17">
        <v>3.996666666666667</v>
      </c>
      <c r="G74" s="17">
        <v>7.5540740740740739</v>
      </c>
    </row>
    <row r="75" spans="1:7">
      <c r="A75" t="s">
        <v>72</v>
      </c>
      <c r="B75" s="18">
        <v>4</v>
      </c>
      <c r="C75" s="18">
        <v>6</v>
      </c>
      <c r="D75" s="18">
        <v>5</v>
      </c>
      <c r="E75" s="18">
        <v>4</v>
      </c>
      <c r="F75" s="17">
        <v>4.996666666666667</v>
      </c>
      <c r="G75" s="17">
        <v>6.887407407407407</v>
      </c>
    </row>
    <row r="76" spans="1:7">
      <c r="A76" t="s">
        <v>73</v>
      </c>
      <c r="B76" s="18">
        <v>4</v>
      </c>
      <c r="C76" s="18">
        <v>2</v>
      </c>
      <c r="D76" s="18">
        <v>4</v>
      </c>
      <c r="E76" s="18">
        <v>5</v>
      </c>
      <c r="F76" s="17">
        <v>6.996666666666667</v>
      </c>
      <c r="G76" s="17">
        <v>5.7762962962962963</v>
      </c>
    </row>
    <row r="77" spans="1:7">
      <c r="A77" t="s">
        <v>74</v>
      </c>
      <c r="B77" s="18">
        <v>4</v>
      </c>
      <c r="C77" s="18">
        <v>6</v>
      </c>
      <c r="D77" s="18">
        <v>5</v>
      </c>
      <c r="E77" s="18">
        <v>4</v>
      </c>
      <c r="F77" s="17">
        <v>5.6633333333333331</v>
      </c>
      <c r="G77" s="17">
        <v>7.1837037037037037</v>
      </c>
    </row>
    <row r="78" spans="1:7">
      <c r="A78" t="s">
        <v>75</v>
      </c>
      <c r="B78" s="18">
        <v>4</v>
      </c>
      <c r="C78" s="18">
        <v>7</v>
      </c>
      <c r="D78" s="18">
        <v>5</v>
      </c>
      <c r="E78" s="18">
        <v>0</v>
      </c>
      <c r="F78" s="17">
        <v>2.33</v>
      </c>
      <c r="G78" s="17">
        <v>6.1466666666666665</v>
      </c>
    </row>
    <row r="79" spans="1:7">
      <c r="A79" t="s">
        <v>76</v>
      </c>
      <c r="B79" s="18">
        <v>4</v>
      </c>
      <c r="C79" s="18">
        <v>6</v>
      </c>
      <c r="D79" s="18">
        <v>5</v>
      </c>
      <c r="E79" s="18">
        <v>6</v>
      </c>
      <c r="F79" s="17">
        <v>6.996666666666667</v>
      </c>
      <c r="G79" s="17">
        <v>7.7762962962962963</v>
      </c>
    </row>
    <row r="80" spans="1:7">
      <c r="A80" t="s">
        <v>77</v>
      </c>
      <c r="B80" s="18">
        <v>5</v>
      </c>
      <c r="C80" s="18">
        <v>1</v>
      </c>
      <c r="D80" s="18">
        <v>4</v>
      </c>
      <c r="E80" s="18">
        <v>4</v>
      </c>
      <c r="F80" s="17">
        <v>6.6633333333333331</v>
      </c>
      <c r="G80" s="17">
        <v>5.405925925925926</v>
      </c>
    </row>
    <row r="81" spans="1:7">
      <c r="A81" t="s">
        <v>78</v>
      </c>
      <c r="B81" s="18">
        <v>2</v>
      </c>
      <c r="C81" s="18">
        <v>10</v>
      </c>
      <c r="D81" s="18">
        <v>7</v>
      </c>
      <c r="E81" s="18">
        <v>0</v>
      </c>
      <c r="F81" s="17">
        <v>1.6633333333333336</v>
      </c>
      <c r="G81" s="17">
        <v>7.1837037037037037</v>
      </c>
    </row>
    <row r="82" spans="1:7">
      <c r="A82" t="s">
        <v>79</v>
      </c>
      <c r="B82" s="18">
        <v>5</v>
      </c>
      <c r="C82" s="18">
        <v>5</v>
      </c>
      <c r="D82" s="18">
        <v>6</v>
      </c>
      <c r="E82" s="18">
        <v>0</v>
      </c>
      <c r="F82" s="17">
        <v>2.6633333333333336</v>
      </c>
      <c r="G82" s="17">
        <v>5.8503703703703707</v>
      </c>
    </row>
    <row r="83" spans="1:7">
      <c r="A83" t="s">
        <v>80</v>
      </c>
      <c r="B83" s="18">
        <v>7</v>
      </c>
      <c r="C83" s="18">
        <v>4</v>
      </c>
      <c r="D83" s="18">
        <v>2</v>
      </c>
      <c r="E83" s="18">
        <v>4</v>
      </c>
      <c r="F83" s="17">
        <v>6.6633333333333331</v>
      </c>
      <c r="G83" s="17">
        <v>6.7392592592592599</v>
      </c>
    </row>
    <row r="84" spans="1:7">
      <c r="A84" t="s">
        <v>81</v>
      </c>
      <c r="B84" s="18">
        <v>4</v>
      </c>
      <c r="C84" s="18">
        <v>7</v>
      </c>
      <c r="D84" s="18">
        <v>5</v>
      </c>
      <c r="E84" s="18">
        <v>0</v>
      </c>
      <c r="F84" s="17">
        <v>2.33</v>
      </c>
      <c r="G84" s="17">
        <v>6.1466666666666665</v>
      </c>
    </row>
    <row r="85" spans="1:7">
      <c r="A85" t="s">
        <v>82</v>
      </c>
      <c r="B85" s="18">
        <v>7</v>
      </c>
      <c r="C85" s="18">
        <v>7</v>
      </c>
      <c r="D85" s="18">
        <v>5</v>
      </c>
      <c r="E85" s="18">
        <v>0</v>
      </c>
      <c r="F85" s="17">
        <v>3.33</v>
      </c>
      <c r="G85" s="17">
        <v>7.2577777777777772</v>
      </c>
    </row>
    <row r="86" spans="1:7">
      <c r="A86" t="s">
        <v>83</v>
      </c>
      <c r="B86" s="18">
        <v>5</v>
      </c>
      <c r="C86" s="18">
        <v>7</v>
      </c>
      <c r="D86" s="18">
        <v>6</v>
      </c>
      <c r="E86" s="18">
        <v>0</v>
      </c>
      <c r="F86" s="17">
        <v>2.6633333333333336</v>
      </c>
      <c r="G86" s="17">
        <v>6.7392592592592599</v>
      </c>
    </row>
    <row r="87" spans="1:7">
      <c r="A87" t="s">
        <v>84</v>
      </c>
      <c r="B87" s="18">
        <v>4</v>
      </c>
      <c r="C87" s="18">
        <v>6</v>
      </c>
      <c r="D87" s="18">
        <v>5</v>
      </c>
      <c r="E87" s="18">
        <v>0</v>
      </c>
      <c r="F87" s="17">
        <v>2.33</v>
      </c>
      <c r="G87" s="17">
        <v>5.7022222222222219</v>
      </c>
    </row>
    <row r="88" spans="1:7">
      <c r="A88" t="s">
        <v>85</v>
      </c>
      <c r="B88" s="18">
        <v>3</v>
      </c>
      <c r="C88" s="18">
        <v>9</v>
      </c>
      <c r="D88" s="18">
        <v>6</v>
      </c>
      <c r="E88" s="18">
        <v>0</v>
      </c>
      <c r="F88" s="17">
        <v>1.9966666666666666</v>
      </c>
      <c r="G88" s="17">
        <v>6.887407407407407</v>
      </c>
    </row>
    <row r="89" spans="1:7">
      <c r="A89" t="s">
        <v>86</v>
      </c>
      <c r="B89" s="18">
        <v>2</v>
      </c>
      <c r="C89" s="18">
        <v>9</v>
      </c>
      <c r="D89" s="18">
        <v>6</v>
      </c>
      <c r="E89" s="18">
        <v>1</v>
      </c>
      <c r="F89" s="17">
        <v>2.33</v>
      </c>
      <c r="G89" s="17">
        <v>6.8133333333333335</v>
      </c>
    </row>
    <row r="90" spans="1:7">
      <c r="A90" t="s">
        <v>87</v>
      </c>
      <c r="B90" s="18">
        <v>5</v>
      </c>
      <c r="C90" s="18">
        <v>6</v>
      </c>
      <c r="D90" s="18">
        <v>2</v>
      </c>
      <c r="E90" s="18">
        <v>0</v>
      </c>
      <c r="F90" s="17">
        <v>2.6633333333333336</v>
      </c>
      <c r="G90" s="17">
        <v>5.405925925925926</v>
      </c>
    </row>
    <row r="91" spans="1:7">
      <c r="A91" t="s">
        <v>88</v>
      </c>
      <c r="B91" s="18">
        <v>3</v>
      </c>
      <c r="C91" s="18">
        <v>8</v>
      </c>
      <c r="D91" s="18">
        <v>9</v>
      </c>
      <c r="E91" s="18">
        <v>0</v>
      </c>
      <c r="F91" s="17">
        <v>1.9966666666666666</v>
      </c>
      <c r="G91" s="17">
        <v>7.1096296296296293</v>
      </c>
    </row>
    <row r="92" spans="1:7">
      <c r="A92" t="s">
        <v>89</v>
      </c>
      <c r="B92" s="18">
        <v>7</v>
      </c>
      <c r="C92" s="18">
        <v>3</v>
      </c>
      <c r="D92" s="18">
        <v>4</v>
      </c>
      <c r="E92" s="18">
        <v>0</v>
      </c>
      <c r="F92" s="17">
        <v>3.996666666666667</v>
      </c>
      <c r="G92" s="17">
        <v>5.5540740740740739</v>
      </c>
    </row>
    <row r="93" spans="1:7">
      <c r="A93" t="s">
        <v>90</v>
      </c>
      <c r="B93" s="18">
        <v>5</v>
      </c>
      <c r="C93" s="18">
        <v>8</v>
      </c>
      <c r="D93" s="18">
        <v>7</v>
      </c>
      <c r="E93" s="18">
        <v>0</v>
      </c>
      <c r="F93" s="17">
        <v>2.6633333333333336</v>
      </c>
      <c r="G93" s="17">
        <v>7.405925925925926</v>
      </c>
    </row>
    <row r="94" spans="1:7">
      <c r="A94" t="s">
        <v>91</v>
      </c>
      <c r="B94" s="18">
        <v>3</v>
      </c>
      <c r="C94" s="18">
        <v>7</v>
      </c>
      <c r="D94" s="18">
        <v>5</v>
      </c>
      <c r="E94" s="18">
        <v>0</v>
      </c>
      <c r="F94" s="17">
        <v>1.9966666666666666</v>
      </c>
      <c r="G94" s="17">
        <v>5.7762962962962963</v>
      </c>
    </row>
    <row r="95" spans="1:7">
      <c r="A95" t="s">
        <v>92</v>
      </c>
      <c r="B95" s="18">
        <v>8</v>
      </c>
      <c r="C95" s="18">
        <v>3</v>
      </c>
      <c r="D95" s="18">
        <v>4</v>
      </c>
      <c r="E95" s="18">
        <v>0</v>
      </c>
      <c r="F95" s="17">
        <v>4.33</v>
      </c>
      <c r="G95" s="17">
        <v>5.9244444444444442</v>
      </c>
    </row>
    <row r="96" spans="1:7">
      <c r="A96" t="s">
        <v>93</v>
      </c>
      <c r="B96" s="18">
        <v>5</v>
      </c>
      <c r="C96" s="18">
        <v>4</v>
      </c>
      <c r="D96" s="18">
        <v>3</v>
      </c>
      <c r="E96" s="18">
        <v>0</v>
      </c>
      <c r="F96" s="17">
        <v>3.33</v>
      </c>
      <c r="G96" s="17">
        <v>5.0355555555555558</v>
      </c>
    </row>
    <row r="97" spans="1:7">
      <c r="A97" t="s">
        <v>94</v>
      </c>
      <c r="B97" s="18">
        <v>4</v>
      </c>
      <c r="C97" s="18">
        <v>2</v>
      </c>
      <c r="D97" s="18">
        <v>4</v>
      </c>
      <c r="E97" s="18">
        <v>5</v>
      </c>
      <c r="F97" s="17">
        <v>6.996666666666667</v>
      </c>
      <c r="G97" s="17">
        <v>5.7762962962962963</v>
      </c>
    </row>
    <row r="98" spans="1:7">
      <c r="A98" t="s">
        <v>95</v>
      </c>
      <c r="B98" s="18">
        <v>4</v>
      </c>
      <c r="C98" s="18">
        <v>6</v>
      </c>
      <c r="D98" s="18">
        <v>8</v>
      </c>
      <c r="E98" s="18">
        <v>0</v>
      </c>
      <c r="F98" s="17">
        <v>2.9966666666666666</v>
      </c>
      <c r="G98" s="17">
        <v>6.6651851851851847</v>
      </c>
    </row>
    <row r="99" spans="1:7">
      <c r="A99" t="s">
        <v>96</v>
      </c>
      <c r="B99" s="18">
        <v>3</v>
      </c>
      <c r="C99" s="18">
        <v>7</v>
      </c>
      <c r="D99" s="18">
        <v>7</v>
      </c>
      <c r="E99" s="18">
        <v>0</v>
      </c>
      <c r="F99" s="17">
        <v>1.9966666666666666</v>
      </c>
      <c r="G99" s="17">
        <v>6.2207407407407409</v>
      </c>
    </row>
    <row r="100" spans="1:7">
      <c r="A100" t="s">
        <v>97</v>
      </c>
      <c r="B100" s="18">
        <v>3</v>
      </c>
      <c r="C100" s="18">
        <v>6</v>
      </c>
      <c r="D100" s="18">
        <v>4</v>
      </c>
      <c r="E100" s="18">
        <v>0</v>
      </c>
      <c r="F100" s="17">
        <v>1.9966666666666666</v>
      </c>
      <c r="G100" s="17">
        <v>5.1096296296296293</v>
      </c>
    </row>
    <row r="101" spans="1:7">
      <c r="A101" t="s">
        <v>98</v>
      </c>
      <c r="B101" s="18">
        <v>4</v>
      </c>
      <c r="C101" s="18">
        <v>7</v>
      </c>
      <c r="D101" s="18">
        <v>6</v>
      </c>
      <c r="E101" s="18">
        <v>0</v>
      </c>
      <c r="F101" s="17">
        <v>2.33</v>
      </c>
      <c r="G101" s="17">
        <v>6.3688888888888888</v>
      </c>
    </row>
    <row r="102" spans="1:7">
      <c r="A102" t="s">
        <v>99</v>
      </c>
      <c r="B102" s="18">
        <v>4</v>
      </c>
      <c r="C102" s="18">
        <v>6</v>
      </c>
      <c r="D102" s="18">
        <v>4</v>
      </c>
      <c r="E102" s="18">
        <v>3</v>
      </c>
      <c r="F102" s="17">
        <v>4.33</v>
      </c>
      <c r="G102" s="17">
        <v>6.3688888888888888</v>
      </c>
    </row>
    <row r="103" spans="1:7">
      <c r="A103" t="s">
        <v>100</v>
      </c>
      <c r="B103" s="18">
        <v>3</v>
      </c>
      <c r="C103" s="18">
        <v>6</v>
      </c>
      <c r="D103" s="18">
        <v>4</v>
      </c>
      <c r="E103" s="18">
        <v>0</v>
      </c>
      <c r="F103" s="17">
        <v>1.9966666666666666</v>
      </c>
      <c r="G103" s="17">
        <v>5.1096296296296293</v>
      </c>
    </row>
    <row r="104" spans="1:7">
      <c r="A104" t="s">
        <v>101</v>
      </c>
      <c r="B104" s="18">
        <v>1</v>
      </c>
      <c r="C104" s="18">
        <v>7</v>
      </c>
      <c r="D104" s="18">
        <v>5</v>
      </c>
      <c r="E104" s="18">
        <v>0</v>
      </c>
      <c r="F104" s="17">
        <v>1.33</v>
      </c>
      <c r="G104" s="17">
        <v>5.0355555555555558</v>
      </c>
    </row>
    <row r="105" spans="1:7">
      <c r="A105" t="s">
        <v>102</v>
      </c>
      <c r="B105" s="18">
        <v>7</v>
      </c>
      <c r="C105" s="18">
        <v>3</v>
      </c>
      <c r="D105" s="18">
        <v>6</v>
      </c>
      <c r="E105" s="18">
        <v>6</v>
      </c>
      <c r="F105" s="17">
        <v>7.9966666666666661</v>
      </c>
      <c r="G105" s="17">
        <v>7.7762962962962963</v>
      </c>
    </row>
    <row r="106" spans="1:7">
      <c r="A106" t="s">
        <v>103</v>
      </c>
      <c r="B106" s="18">
        <v>3</v>
      </c>
      <c r="C106" s="18">
        <v>7</v>
      </c>
      <c r="D106" s="18">
        <v>5</v>
      </c>
      <c r="E106" s="18">
        <v>2</v>
      </c>
      <c r="F106" s="17">
        <v>2.9966666666666666</v>
      </c>
      <c r="G106" s="17">
        <v>6.2207407407407409</v>
      </c>
    </row>
    <row r="107" spans="1:7">
      <c r="A107" t="s">
        <v>104</v>
      </c>
      <c r="B107" s="18">
        <v>3</v>
      </c>
      <c r="C107" s="18">
        <v>6</v>
      </c>
      <c r="D107" s="18">
        <v>4</v>
      </c>
      <c r="E107" s="18">
        <v>0</v>
      </c>
      <c r="F107" s="17">
        <v>1.9966666666666666</v>
      </c>
      <c r="G107" s="17">
        <v>5.1096296296296293</v>
      </c>
    </row>
    <row r="108" spans="1:7">
      <c r="A108" t="s">
        <v>105</v>
      </c>
      <c r="B108" s="18">
        <v>3</v>
      </c>
      <c r="C108" s="18">
        <v>7</v>
      </c>
      <c r="D108" s="18">
        <v>5</v>
      </c>
      <c r="E108" s="18">
        <v>0</v>
      </c>
      <c r="F108" s="17">
        <v>2.6633333333333336</v>
      </c>
      <c r="G108" s="17">
        <v>6.072592592592593</v>
      </c>
    </row>
    <row r="109" spans="1:7">
      <c r="A109" t="s">
        <v>106</v>
      </c>
      <c r="B109" s="18">
        <v>442</v>
      </c>
      <c r="C109" s="18">
        <v>570</v>
      </c>
      <c r="D109" s="18">
        <v>514</v>
      </c>
      <c r="E109" s="18">
        <v>169</v>
      </c>
      <c r="F109" s="17">
        <v>394.33666666666687</v>
      </c>
      <c r="G109" s="17">
        <v>641.0385185185188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F132"/>
  <sheetViews>
    <sheetView topLeftCell="A105" workbookViewId="0">
      <selection activeCell="B114" sqref="B114"/>
    </sheetView>
  </sheetViews>
  <sheetFormatPr defaultRowHeight="15"/>
  <cols>
    <col min="2" max="2" width="16" style="3" customWidth="1"/>
    <col min="3" max="3" width="15.5703125" style="3" bestFit="1" customWidth="1"/>
    <col min="4" max="7" width="6.5703125" style="3" customWidth="1"/>
    <col min="8" max="8" width="7.7109375" style="3" customWidth="1"/>
    <col min="9" max="9" width="7.42578125" style="3" customWidth="1"/>
    <col min="10" max="10" width="7.85546875" style="3" customWidth="1"/>
    <col min="11" max="11" width="7.42578125" style="3" customWidth="1"/>
    <col min="12" max="12" width="6.7109375" style="3" customWidth="1"/>
    <col min="13" max="13" width="8.28515625" style="3" customWidth="1"/>
    <col min="14" max="14" width="7.5703125" style="3" customWidth="1"/>
    <col min="15" max="16" width="8.140625" style="3" customWidth="1"/>
    <col min="17" max="17" width="6.85546875" style="3" customWidth="1"/>
    <col min="18" max="18" width="7" style="3" customWidth="1"/>
    <col min="19" max="19" width="7.5703125" style="3" customWidth="1"/>
    <col min="20" max="20" width="7.28515625" style="3" customWidth="1"/>
    <col min="21" max="21" width="6.42578125" style="3" customWidth="1"/>
    <col min="22" max="22" width="7" style="3" customWidth="1"/>
    <col min="23" max="23" width="6.28515625" style="3" customWidth="1"/>
    <col min="24" max="24" width="6.5703125" style="3" customWidth="1"/>
    <col min="25" max="25" width="6" style="3" customWidth="1"/>
    <col min="26" max="26" width="5.42578125" style="3" customWidth="1"/>
    <col min="27" max="27" width="5.5703125" style="12" customWidth="1"/>
    <col min="28" max="28" width="5.5703125" style="3" customWidth="1"/>
    <col min="29" max="29" width="5.7109375" style="3" customWidth="1"/>
    <col min="30" max="30" width="5.42578125" style="3" customWidth="1"/>
    <col min="31" max="31" width="5.85546875" style="3" customWidth="1"/>
    <col min="32" max="32" width="6.28515625" style="3" customWidth="1"/>
    <col min="33" max="33" width="6.42578125" style="3" customWidth="1"/>
    <col min="34" max="34" width="6.5703125" style="3" customWidth="1"/>
    <col min="35" max="35" width="6.7109375" style="3" customWidth="1"/>
    <col min="36" max="36" width="6.5703125" style="3" customWidth="1"/>
    <col min="37" max="37" width="6.140625" style="3" customWidth="1"/>
    <col min="38" max="39" width="6.42578125" style="3" customWidth="1"/>
    <col min="40" max="40" width="7" style="3" customWidth="1"/>
    <col min="41" max="41" width="7.28515625" style="3" customWidth="1"/>
    <col min="42" max="42" width="7" style="3" customWidth="1"/>
    <col min="43" max="43" width="7.85546875" customWidth="1"/>
    <col min="53" max="53" width="5.5703125" style="3" customWidth="1"/>
  </cols>
  <sheetData>
    <row r="1" spans="2:53" ht="44.25" customHeight="1">
      <c r="W1" s="19" t="s">
        <v>107</v>
      </c>
      <c r="X1" s="19"/>
      <c r="Y1" s="19"/>
      <c r="Z1" s="19"/>
      <c r="AA1" s="15" t="s">
        <v>108</v>
      </c>
      <c r="AB1" s="15" t="s">
        <v>109</v>
      </c>
      <c r="AC1" s="19" t="s">
        <v>110</v>
      </c>
    </row>
    <row r="2" spans="2:53"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AB2" s="12"/>
      <c r="AO2" s="6"/>
      <c r="BA2" s="6"/>
    </row>
    <row r="3" spans="2:53">
      <c r="B3" s="2" t="s">
        <v>111</v>
      </c>
      <c r="C3" s="7" t="s">
        <v>0</v>
      </c>
      <c r="D3" s="20"/>
      <c r="E3" s="20"/>
      <c r="F3" s="20"/>
      <c r="G3" s="20"/>
      <c r="H3" s="20" t="s">
        <v>112</v>
      </c>
      <c r="I3" s="20"/>
      <c r="J3" s="20" t="s">
        <v>113</v>
      </c>
      <c r="K3" s="20"/>
      <c r="L3" s="20"/>
      <c r="M3" s="20"/>
      <c r="N3" s="20"/>
      <c r="O3" s="20"/>
      <c r="P3" s="20" t="s">
        <v>114</v>
      </c>
      <c r="Q3" s="20"/>
      <c r="R3" s="20"/>
      <c r="S3" s="20"/>
      <c r="T3" s="20"/>
      <c r="U3" s="20"/>
      <c r="V3" s="20"/>
      <c r="W3" s="8" t="s">
        <v>115</v>
      </c>
      <c r="X3" s="8" t="s">
        <v>116</v>
      </c>
      <c r="Y3" s="8" t="s">
        <v>117</v>
      </c>
      <c r="Z3" s="8" t="s">
        <v>118</v>
      </c>
      <c r="AA3" s="13" t="s">
        <v>119</v>
      </c>
      <c r="AB3" s="13" t="s">
        <v>120</v>
      </c>
      <c r="AC3" s="8" t="s">
        <v>121</v>
      </c>
      <c r="AO3" s="6"/>
      <c r="BA3" s="6"/>
    </row>
    <row r="4" spans="2:53">
      <c r="B4" s="4">
        <v>1</v>
      </c>
      <c r="C4" s="10" t="s">
        <v>95</v>
      </c>
      <c r="D4" s="22"/>
      <c r="E4" s="22"/>
      <c r="F4" s="22"/>
      <c r="G4" s="22"/>
      <c r="H4" s="22">
        <v>7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9">
        <v>4</v>
      </c>
      <c r="X4" s="9">
        <v>6</v>
      </c>
      <c r="Y4" s="9">
        <v>8</v>
      </c>
      <c r="Z4" s="9">
        <v>0</v>
      </c>
      <c r="AA4" s="14">
        <f>SUM(Z4, AVERAGE(7, W4))/1.5-0.67</f>
        <v>2.9966666666666666</v>
      </c>
      <c r="AB4" s="14">
        <f>SUM(X4, AA4, AVERAGE(Y4, W4))/2.25</f>
        <v>6.6651851851851847</v>
      </c>
      <c r="AC4" s="23">
        <f>SUM(AVERAGE(Y4, W4), AVERAGE(Y4, 7))/1.5</f>
        <v>9</v>
      </c>
      <c r="AO4" s="6"/>
      <c r="BA4" s="6"/>
    </row>
    <row r="5" spans="2:53">
      <c r="B5" s="4">
        <v>2</v>
      </c>
      <c r="C5" s="11" t="s">
        <v>79</v>
      </c>
      <c r="D5" s="21"/>
      <c r="E5" s="21"/>
      <c r="F5" s="21"/>
      <c r="G5" s="21"/>
      <c r="H5" s="21">
        <v>9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9">
        <v>5</v>
      </c>
      <c r="X5" s="9">
        <v>5</v>
      </c>
      <c r="Y5" s="9">
        <v>6</v>
      </c>
      <c r="Z5" s="9">
        <v>0</v>
      </c>
      <c r="AA5" s="14">
        <f>SUM(Z5, AVERAGE(5, W5))/1.5-0.67</f>
        <v>2.6633333333333336</v>
      </c>
      <c r="AB5" s="14">
        <f>SUM(X5, AA5, AVERAGE(Y5, W5))/2.25</f>
        <v>5.8503703703703707</v>
      </c>
      <c r="AC5" s="23">
        <f>SUM(AVERAGE(Y5, W5), AVERAGE(Y5, 9))/1.5</f>
        <v>8.6666666666666661</v>
      </c>
      <c r="AO5" s="6"/>
      <c r="BA5" s="6"/>
    </row>
    <row r="6" spans="2:53">
      <c r="B6" s="4">
        <v>3</v>
      </c>
      <c r="C6" s="10" t="s">
        <v>30</v>
      </c>
      <c r="D6" s="22"/>
      <c r="E6" s="22"/>
      <c r="F6" s="22"/>
      <c r="G6" s="22"/>
      <c r="H6" s="22">
        <v>6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9">
        <v>3</v>
      </c>
      <c r="X6" s="9">
        <v>8</v>
      </c>
      <c r="Y6" s="9">
        <v>9</v>
      </c>
      <c r="Z6" s="9">
        <v>0</v>
      </c>
      <c r="AA6" s="14">
        <f>SUM(Z6, AVERAGE(5, W6))/1.5-0.67</f>
        <v>1.9966666666666666</v>
      </c>
      <c r="AB6" s="14">
        <f>SUM(X6, AA6, AVERAGE(Y6, W6))/2.25</f>
        <v>7.1096296296296293</v>
      </c>
      <c r="AC6" s="23">
        <f>SUM(AVERAGE(Y6, W6), AVERAGE(Y6, 6))/1.5</f>
        <v>9</v>
      </c>
      <c r="AO6" s="6"/>
      <c r="BA6" s="6"/>
    </row>
    <row r="7" spans="2:53">
      <c r="B7" s="4">
        <v>4</v>
      </c>
      <c r="C7" s="10" t="s">
        <v>20</v>
      </c>
      <c r="D7" s="22"/>
      <c r="E7" s="22"/>
      <c r="F7" s="22"/>
      <c r="G7" s="22"/>
      <c r="H7" s="22">
        <v>7</v>
      </c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9">
        <v>7</v>
      </c>
      <c r="X7" s="9">
        <v>2</v>
      </c>
      <c r="Y7" s="9">
        <v>8</v>
      </c>
      <c r="Z7" s="9">
        <v>4</v>
      </c>
      <c r="AA7" s="14">
        <f>SUM(Z7, AVERAGE(7, W7))/1.5-0.67</f>
        <v>6.6633333333333331</v>
      </c>
      <c r="AB7" s="14">
        <f>SUM(X7, AA7, AVERAGE(Y7, W7))/2.25</f>
        <v>7.1837037037037037</v>
      </c>
      <c r="AC7" s="23">
        <f>SUM(AVERAGE(Y7, W7), AVERAGE(Y7, 7))/1.5</f>
        <v>10</v>
      </c>
      <c r="AO7" s="6"/>
      <c r="BA7" s="6"/>
    </row>
    <row r="8" spans="2:53">
      <c r="B8" s="4">
        <v>5</v>
      </c>
      <c r="C8" s="11" t="s">
        <v>19</v>
      </c>
      <c r="D8" s="21"/>
      <c r="E8" s="21"/>
      <c r="F8" s="21"/>
      <c r="G8" s="21"/>
      <c r="H8" s="21">
        <v>7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9">
        <v>3</v>
      </c>
      <c r="X8" s="9">
        <v>7</v>
      </c>
      <c r="Y8" s="9">
        <v>6</v>
      </c>
      <c r="Z8" s="9">
        <v>0</v>
      </c>
      <c r="AA8" s="14">
        <f>SUM(Z8, AVERAGE(5, W8))/1.5-0.67</f>
        <v>1.9966666666666666</v>
      </c>
      <c r="AB8" s="14">
        <f>SUM(X8, AA8, AVERAGE(Y8, W8))/2.25</f>
        <v>5.9985185185185186</v>
      </c>
      <c r="AC8" s="23">
        <f>SUM(AVERAGE(Y8, W8), AVERAGE(Y8, 7))/1.5</f>
        <v>7.333333333333333</v>
      </c>
      <c r="AO8" s="6"/>
      <c r="BA8" s="6"/>
    </row>
    <row r="9" spans="2:53">
      <c r="B9" s="4">
        <v>6</v>
      </c>
      <c r="C9" s="10" t="s">
        <v>38</v>
      </c>
      <c r="D9" s="22"/>
      <c r="E9" s="22"/>
      <c r="F9" s="22"/>
      <c r="G9" s="22"/>
      <c r="H9" s="22">
        <v>7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9">
        <v>10</v>
      </c>
      <c r="X9" s="9">
        <v>1</v>
      </c>
      <c r="Y9" s="9">
        <v>5</v>
      </c>
      <c r="Z9" s="9">
        <v>3</v>
      </c>
      <c r="AA9" s="14">
        <f>SUM(Z9, AVERAGE(7, W9))/1.5-0.67</f>
        <v>6.996666666666667</v>
      </c>
      <c r="AB9" s="14">
        <f>SUM(X9, AA9, AVERAGE(Y9, W9))/2.25</f>
        <v>6.887407407407407</v>
      </c>
      <c r="AC9" s="23">
        <f>SUM(AVERAGE(Y9, W9), AVERAGE(Y9, 7))/1.5</f>
        <v>9</v>
      </c>
      <c r="AO9" s="6"/>
      <c r="BA9" s="6"/>
    </row>
    <row r="10" spans="2:53">
      <c r="B10" s="4">
        <v>7</v>
      </c>
      <c r="C10" s="10" t="s">
        <v>12</v>
      </c>
      <c r="D10" s="22"/>
      <c r="E10" s="22"/>
      <c r="F10" s="22"/>
      <c r="G10" s="22"/>
      <c r="H10" s="22">
        <v>5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9">
        <v>2</v>
      </c>
      <c r="X10" s="9">
        <v>6</v>
      </c>
      <c r="Y10" s="9">
        <v>5</v>
      </c>
      <c r="Z10" s="9">
        <v>0</v>
      </c>
      <c r="AA10" s="14">
        <f>SUM(Z10, AVERAGE(5, W10))/1.5-0.67</f>
        <v>1.6633333333333336</v>
      </c>
      <c r="AB10" s="14">
        <f>SUM(X10, AA10, AVERAGE(Y10, W10))/2.25</f>
        <v>4.9614814814814814</v>
      </c>
      <c r="AC10" s="23">
        <f>SUM(AVERAGE(Y10, W10), AVERAGE(Y10, 5))/1.5</f>
        <v>5.666666666666667</v>
      </c>
      <c r="AO10" s="6"/>
      <c r="BA10" s="6"/>
    </row>
    <row r="11" spans="2:53">
      <c r="B11" s="4">
        <v>8</v>
      </c>
      <c r="C11" s="10" t="s">
        <v>87</v>
      </c>
      <c r="D11" s="22"/>
      <c r="E11" s="22"/>
      <c r="F11" s="22"/>
      <c r="G11" s="22"/>
      <c r="H11" s="22">
        <v>9</v>
      </c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9">
        <v>5</v>
      </c>
      <c r="X11" s="9">
        <v>6</v>
      </c>
      <c r="Y11" s="9">
        <v>2</v>
      </c>
      <c r="Z11" s="9">
        <v>0</v>
      </c>
      <c r="AA11" s="14">
        <f>SUM(Z11, AVERAGE(5, W11))/1.5-0.67</f>
        <v>2.6633333333333336</v>
      </c>
      <c r="AB11" s="14">
        <f>SUM(X11, AA11, AVERAGE(Y11, W11))/2.25</f>
        <v>5.405925925925926</v>
      </c>
      <c r="AC11" s="23">
        <f>SUM(AVERAGE(Y11, W11), AVERAGE(Y11, 9))/1.5</f>
        <v>6</v>
      </c>
      <c r="AO11" s="6"/>
      <c r="BA11" s="6"/>
    </row>
    <row r="12" spans="2:53">
      <c r="B12" s="4">
        <v>9</v>
      </c>
      <c r="C12" s="11" t="s">
        <v>89</v>
      </c>
      <c r="D12" s="21"/>
      <c r="E12" s="21"/>
      <c r="F12" s="21"/>
      <c r="G12" s="21"/>
      <c r="H12" s="21">
        <v>8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9">
        <v>7</v>
      </c>
      <c r="X12" s="9">
        <v>3</v>
      </c>
      <c r="Y12" s="9">
        <v>4</v>
      </c>
      <c r="Z12" s="9">
        <v>0</v>
      </c>
      <c r="AA12" s="14">
        <f>SUM(Z12, AVERAGE(7, W12))/1.5-0.67</f>
        <v>3.996666666666667</v>
      </c>
      <c r="AB12" s="14">
        <f>SUM(X12, AA12, AVERAGE(Y12, W12))/2.25</f>
        <v>5.5540740740740739</v>
      </c>
      <c r="AC12" s="23">
        <f>SUM(AVERAGE(Y12, W12), AVERAGE(Y12, 8))/1.5</f>
        <v>7.666666666666667</v>
      </c>
      <c r="AO12" s="6"/>
      <c r="BA12" s="6"/>
    </row>
    <row r="13" spans="2:53">
      <c r="B13" s="4">
        <v>10</v>
      </c>
      <c r="C13" s="10" t="s">
        <v>56</v>
      </c>
      <c r="D13" s="22"/>
      <c r="E13" s="22"/>
      <c r="F13" s="22"/>
      <c r="G13" s="22"/>
      <c r="H13" s="22">
        <v>8</v>
      </c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9">
        <v>3</v>
      </c>
      <c r="X13" s="9">
        <v>7</v>
      </c>
      <c r="Y13" s="9">
        <v>6</v>
      </c>
      <c r="Z13" s="9">
        <v>0</v>
      </c>
      <c r="AA13" s="14">
        <f>SUM(Z13, AVERAGE(5, W13))/1.5-0.67</f>
        <v>1.9966666666666666</v>
      </c>
      <c r="AB13" s="14">
        <f>SUM(X13, AA13, AVERAGE(Y13, W13))/2.25</f>
        <v>5.9985185185185186</v>
      </c>
      <c r="AC13" s="23">
        <f>SUM(AVERAGE(Y13, W13), AVERAGE(Y13, 8))/1.5</f>
        <v>7.666666666666667</v>
      </c>
      <c r="AO13" s="6"/>
      <c r="BA13" s="6"/>
    </row>
    <row r="14" spans="2:53">
      <c r="B14" s="4">
        <v>11</v>
      </c>
      <c r="C14" s="10" t="s">
        <v>36</v>
      </c>
      <c r="D14" s="22"/>
      <c r="E14" s="22"/>
      <c r="F14" s="22"/>
      <c r="G14" s="22"/>
      <c r="H14" s="22">
        <v>3</v>
      </c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9">
        <v>3</v>
      </c>
      <c r="X14" s="9">
        <v>6</v>
      </c>
      <c r="Y14" s="9">
        <v>8</v>
      </c>
      <c r="Z14" s="9">
        <v>0</v>
      </c>
      <c r="AA14" s="14">
        <f>SUM(Z14, AVERAGE(7, W14))/1.5-0.67</f>
        <v>2.6633333333333336</v>
      </c>
      <c r="AB14" s="14">
        <f>SUM(X14, AA14, AVERAGE(Y14, W14))/2.25</f>
        <v>6.2948148148148153</v>
      </c>
      <c r="AC14" s="23">
        <f>SUM(AVERAGE(Y14, W14), AVERAGE(Y14, 3))/1.5</f>
        <v>7.333333333333333</v>
      </c>
      <c r="AO14" s="6"/>
      <c r="BA14" s="6"/>
    </row>
    <row r="15" spans="2:53">
      <c r="B15" s="4">
        <v>12</v>
      </c>
      <c r="C15" s="10" t="s">
        <v>101</v>
      </c>
      <c r="D15" s="22"/>
      <c r="E15" s="22"/>
      <c r="F15" s="22"/>
      <c r="G15" s="22"/>
      <c r="H15" s="22">
        <v>4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9">
        <v>1</v>
      </c>
      <c r="X15" s="9">
        <v>7</v>
      </c>
      <c r="Y15" s="9">
        <v>5</v>
      </c>
      <c r="Z15" s="9">
        <v>0</v>
      </c>
      <c r="AA15" s="14">
        <f>SUM(Z15, AVERAGE(5, W15))/1.5-0.67</f>
        <v>1.33</v>
      </c>
      <c r="AB15" s="14">
        <f>SUM(X15, AA15, AVERAGE(Y15, W15))/2.25</f>
        <v>5.0355555555555558</v>
      </c>
      <c r="AC15" s="23">
        <f>SUM(AVERAGE(Y15, W15), AVERAGE(Y15, 4))/1.5</f>
        <v>5</v>
      </c>
      <c r="AO15" s="6"/>
      <c r="BA15" s="6"/>
    </row>
    <row r="16" spans="2:53">
      <c r="B16" s="4">
        <v>13</v>
      </c>
      <c r="C16" s="11" t="s">
        <v>7</v>
      </c>
      <c r="D16" s="21"/>
      <c r="E16" s="21"/>
      <c r="F16" s="21"/>
      <c r="G16" s="21"/>
      <c r="H16" s="21">
        <v>5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9">
        <v>7</v>
      </c>
      <c r="X16" s="9">
        <v>8</v>
      </c>
      <c r="Y16" s="9">
        <v>6</v>
      </c>
      <c r="Z16" s="9">
        <v>0</v>
      </c>
      <c r="AA16" s="14">
        <f>SUM(Z16, AVERAGE(1, W16))/1.5-0.67</f>
        <v>1.9966666666666666</v>
      </c>
      <c r="AB16" s="14">
        <f>SUM(X16, AA16, AVERAGE(Y16, W16))/2.25</f>
        <v>7.3318518518518516</v>
      </c>
      <c r="AC16" s="23">
        <f>SUM(AVERAGE(Y16, W16), AVERAGE(Y16, 5))/1.5</f>
        <v>8</v>
      </c>
      <c r="AO16" s="6"/>
      <c r="BA16" s="6"/>
    </row>
    <row r="17" spans="2:53">
      <c r="B17" s="4">
        <v>14</v>
      </c>
      <c r="C17" s="10" t="s">
        <v>88</v>
      </c>
      <c r="D17" s="22"/>
      <c r="E17" s="22"/>
      <c r="F17" s="22"/>
      <c r="G17" s="22"/>
      <c r="H17" s="22">
        <v>6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9">
        <v>3</v>
      </c>
      <c r="X17" s="9">
        <v>8</v>
      </c>
      <c r="Y17" s="9">
        <v>9</v>
      </c>
      <c r="Z17" s="9">
        <v>0</v>
      </c>
      <c r="AA17" s="14">
        <f>SUM(Z17, AVERAGE(5, W17))/1.5-0.67</f>
        <v>1.9966666666666666</v>
      </c>
      <c r="AB17" s="14">
        <f>SUM(X17, AA17, AVERAGE(Y17, W17))/2.25</f>
        <v>7.1096296296296293</v>
      </c>
      <c r="AC17" s="23">
        <f>SUM(AVERAGE(Y17, W17), AVERAGE(Y17, 6))/1.5</f>
        <v>9</v>
      </c>
      <c r="AO17" s="6"/>
      <c r="BA17" s="6"/>
    </row>
    <row r="18" spans="2:53">
      <c r="B18" s="4">
        <v>15</v>
      </c>
      <c r="C18" s="10" t="s">
        <v>33</v>
      </c>
      <c r="D18" s="22"/>
      <c r="E18" s="22"/>
      <c r="F18" s="22"/>
      <c r="G18" s="22"/>
      <c r="H18" s="22">
        <v>7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9">
        <v>8</v>
      </c>
      <c r="X18" s="9">
        <v>4</v>
      </c>
      <c r="Y18" s="9">
        <v>5</v>
      </c>
      <c r="Z18" s="9">
        <v>6</v>
      </c>
      <c r="AA18" s="14">
        <f>SUM(Z18, AVERAGE(7, W18))/1.5-0.67</f>
        <v>8.33</v>
      </c>
      <c r="AB18" s="14">
        <f>SUM(X18, AA18, AVERAGE(Y18, W18))/2.25</f>
        <v>8.3688888888888879</v>
      </c>
      <c r="AC18" s="23">
        <f>SUM(AVERAGE(Y18, W18), AVERAGE(Y18, 7))/1.5</f>
        <v>8.3333333333333339</v>
      </c>
      <c r="AO18" s="6"/>
      <c r="BA18" s="6"/>
    </row>
    <row r="19" spans="2:53">
      <c r="B19" s="4">
        <v>16</v>
      </c>
      <c r="C19" s="10" t="s">
        <v>84</v>
      </c>
      <c r="D19" s="22"/>
      <c r="E19" s="22"/>
      <c r="F19" s="22"/>
      <c r="G19" s="22"/>
      <c r="H19" s="22">
        <v>8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9">
        <v>4</v>
      </c>
      <c r="X19" s="9">
        <v>6</v>
      </c>
      <c r="Y19" s="9">
        <v>5</v>
      </c>
      <c r="Z19" s="9">
        <v>0</v>
      </c>
      <c r="AA19" s="14">
        <f>SUM(Z19, AVERAGE(5, W19))/1.5-0.67</f>
        <v>2.33</v>
      </c>
      <c r="AB19" s="14">
        <f>SUM(X19, AA19, AVERAGE(Y19, W19))/2.25</f>
        <v>5.7022222222222219</v>
      </c>
      <c r="AC19" s="23">
        <f>SUM(AVERAGE(Y19, W19), AVERAGE(Y19, 8))/1.5</f>
        <v>7.333333333333333</v>
      </c>
      <c r="AO19" s="6"/>
      <c r="BA19" s="6"/>
    </row>
    <row r="20" spans="2:53">
      <c r="B20" s="4">
        <v>17</v>
      </c>
      <c r="C20" s="10" t="s">
        <v>24</v>
      </c>
      <c r="D20" s="22"/>
      <c r="E20" s="22"/>
      <c r="F20" s="22"/>
      <c r="G20" s="22"/>
      <c r="H20" s="22">
        <v>6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9">
        <v>5</v>
      </c>
      <c r="X20" s="9">
        <v>7</v>
      </c>
      <c r="Y20" s="9">
        <v>6</v>
      </c>
      <c r="Z20" s="9">
        <v>0</v>
      </c>
      <c r="AA20" s="14">
        <f>SUM(Z20, AVERAGE(5, W20))/1.5-0.67</f>
        <v>2.6633333333333336</v>
      </c>
      <c r="AB20" s="14">
        <f>SUM(X20, AA20, AVERAGE(Y20, W20))/2.25</f>
        <v>6.7392592592592599</v>
      </c>
      <c r="AC20" s="23">
        <f>SUM(AVERAGE(Y20, W20), AVERAGE(Y20, 6))/1.5</f>
        <v>7.666666666666667</v>
      </c>
      <c r="AO20" s="6"/>
      <c r="BA20" s="6"/>
    </row>
    <row r="21" spans="2:53">
      <c r="B21" s="4">
        <v>18</v>
      </c>
      <c r="C21" s="10" t="s">
        <v>53</v>
      </c>
      <c r="D21" s="22"/>
      <c r="E21" s="22"/>
      <c r="F21" s="22"/>
      <c r="G21" s="22"/>
      <c r="H21" s="22">
        <v>8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9">
        <v>7</v>
      </c>
      <c r="X21" s="9">
        <v>3</v>
      </c>
      <c r="Y21" s="9">
        <v>4</v>
      </c>
      <c r="Z21" s="9">
        <v>0</v>
      </c>
      <c r="AA21" s="14">
        <f>SUM(Z21, AVERAGE(7, W21))/1.5-0.67</f>
        <v>3.996666666666667</v>
      </c>
      <c r="AB21" s="14">
        <f>SUM(X21, AA21, AVERAGE(Y21, W21))/2.25</f>
        <v>5.5540740740740739</v>
      </c>
      <c r="AC21" s="23">
        <f>SUM(AVERAGE(Y21, W21), AVERAGE(Y21, 8))/1.5</f>
        <v>7.666666666666667</v>
      </c>
      <c r="AO21" s="6"/>
      <c r="BA21" s="6"/>
    </row>
    <row r="22" spans="2:53">
      <c r="B22" s="4">
        <v>19</v>
      </c>
      <c r="C22" s="11" t="s">
        <v>51</v>
      </c>
      <c r="D22" s="21"/>
      <c r="E22" s="21"/>
      <c r="F22" s="21"/>
      <c r="G22" s="21"/>
      <c r="H22" s="21">
        <v>8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9">
        <v>3</v>
      </c>
      <c r="X22" s="9">
        <v>8</v>
      </c>
      <c r="Y22" s="9">
        <v>4</v>
      </c>
      <c r="Z22" s="9">
        <v>0</v>
      </c>
      <c r="AA22" s="14">
        <f>SUM(Z22, AVERAGE(5, W22))/1.5-0.67</f>
        <v>1.9966666666666666</v>
      </c>
      <c r="AB22" s="14">
        <f>SUM(X22, AA22, AVERAGE(Y22, W22))/2.25</f>
        <v>5.9985185185185186</v>
      </c>
      <c r="AC22" s="23">
        <f>SUM(AVERAGE(Y22, W22), AVERAGE(Y22, 8))/1.5</f>
        <v>6.333333333333333</v>
      </c>
      <c r="AO22" s="6"/>
      <c r="BA22" s="6"/>
    </row>
    <row r="23" spans="2:53">
      <c r="B23" s="4">
        <v>20</v>
      </c>
      <c r="C23" s="10" t="s">
        <v>17</v>
      </c>
      <c r="D23" s="22"/>
      <c r="E23" s="22"/>
      <c r="F23" s="22"/>
      <c r="G23" s="22"/>
      <c r="H23" s="22">
        <v>8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9">
        <v>4</v>
      </c>
      <c r="X23" s="9">
        <v>7</v>
      </c>
      <c r="Y23" s="9">
        <v>5</v>
      </c>
      <c r="Z23" s="9">
        <v>0</v>
      </c>
      <c r="AA23" s="14">
        <f>SUM(Z23, AVERAGE(5, W23))/1.5-0.67</f>
        <v>2.33</v>
      </c>
      <c r="AB23" s="14">
        <f>SUM(X23, AA23, AVERAGE(Y23, W23))/2.25</f>
        <v>6.1466666666666665</v>
      </c>
      <c r="AC23" s="23">
        <f>SUM(AVERAGE(Y23, W23), AVERAGE(Y23, 8))/1.5</f>
        <v>7.333333333333333</v>
      </c>
      <c r="AO23" s="6"/>
      <c r="BA23" s="6"/>
    </row>
    <row r="24" spans="2:53">
      <c r="B24" s="4">
        <v>21</v>
      </c>
      <c r="C24" s="10" t="s">
        <v>39</v>
      </c>
      <c r="D24" s="22"/>
      <c r="E24" s="22"/>
      <c r="F24" s="22"/>
      <c r="G24" s="22"/>
      <c r="H24" s="22">
        <v>6</v>
      </c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9">
        <v>4</v>
      </c>
      <c r="X24" s="9">
        <v>5</v>
      </c>
      <c r="Y24" s="9">
        <v>6</v>
      </c>
      <c r="Z24" s="9">
        <v>0</v>
      </c>
      <c r="AA24" s="14">
        <f>SUM(Z24, AVERAGE(5, W24))/1.5-0.67</f>
        <v>2.33</v>
      </c>
      <c r="AB24" s="14">
        <f>SUM(X24, AA24, AVERAGE(Y24, W24))/2.25</f>
        <v>5.48</v>
      </c>
      <c r="AC24" s="23">
        <f>SUM(AVERAGE(Y24, W24), AVERAGE(Y24, 6))/1.5</f>
        <v>7.333333333333333</v>
      </c>
      <c r="AO24" s="6"/>
      <c r="BA24" s="6"/>
    </row>
    <row r="25" spans="2:53">
      <c r="B25" s="4">
        <v>22</v>
      </c>
      <c r="C25" s="10" t="s">
        <v>99</v>
      </c>
      <c r="D25" s="22"/>
      <c r="E25" s="22"/>
      <c r="F25" s="22"/>
      <c r="G25" s="22"/>
      <c r="H25" s="22">
        <v>8</v>
      </c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9">
        <v>4</v>
      </c>
      <c r="X25" s="9">
        <v>6</v>
      </c>
      <c r="Y25" s="9">
        <v>4</v>
      </c>
      <c r="Z25" s="9">
        <v>3</v>
      </c>
      <c r="AA25" s="14">
        <f>SUM(Z25, AVERAGE(5, W25))/1.5-0.67</f>
        <v>4.33</v>
      </c>
      <c r="AB25" s="14">
        <f>SUM(X25, AA25, AVERAGE(Y25, W25))/2.25</f>
        <v>6.3688888888888888</v>
      </c>
      <c r="AC25" s="23">
        <f>SUM(AVERAGE(Y25, W25), AVERAGE(Y25, 8))/1.5</f>
        <v>6.666666666666667</v>
      </c>
      <c r="AO25" s="6"/>
      <c r="BA25" s="6"/>
    </row>
    <row r="26" spans="2:53">
      <c r="B26" s="4">
        <v>23</v>
      </c>
      <c r="C26" s="10" t="s">
        <v>86</v>
      </c>
      <c r="D26" s="22"/>
      <c r="E26" s="22"/>
      <c r="F26" s="22"/>
      <c r="G26" s="22"/>
      <c r="H26" s="22">
        <v>4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9">
        <v>2</v>
      </c>
      <c r="X26" s="9">
        <v>9</v>
      </c>
      <c r="Y26" s="9">
        <v>6</v>
      </c>
      <c r="Z26" s="9">
        <v>1</v>
      </c>
      <c r="AA26" s="14">
        <f>SUM(Z26, AVERAGE(5, W26))/1.5-0.67</f>
        <v>2.33</v>
      </c>
      <c r="AB26" s="14">
        <f>SUM(X26, AA26, AVERAGE(Y26, W26))/2.25</f>
        <v>6.8133333333333335</v>
      </c>
      <c r="AC26" s="23">
        <f>SUM(AVERAGE(Y26, W26), AVERAGE(Y26, 4))/1.5</f>
        <v>6</v>
      </c>
      <c r="AO26" s="6"/>
      <c r="BA26" s="6"/>
    </row>
    <row r="27" spans="2:53">
      <c r="B27" s="4">
        <v>24</v>
      </c>
      <c r="C27" s="11" t="s">
        <v>82</v>
      </c>
      <c r="D27" s="21"/>
      <c r="E27" s="21"/>
      <c r="F27" s="21"/>
      <c r="G27" s="21"/>
      <c r="H27" s="21">
        <v>6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9">
        <v>7</v>
      </c>
      <c r="X27" s="9">
        <v>7</v>
      </c>
      <c r="Y27" s="9">
        <v>5</v>
      </c>
      <c r="Z27" s="9">
        <v>0</v>
      </c>
      <c r="AA27" s="14">
        <f>SUM(Z27, AVERAGE(5, W27))/1.5-0.67</f>
        <v>3.33</v>
      </c>
      <c r="AB27" s="14">
        <f>SUM(X27, AA27, AVERAGE(Y27, W27))/2.25</f>
        <v>7.2577777777777772</v>
      </c>
      <c r="AC27" s="23">
        <f>SUM(AVERAGE(Y27, W27), AVERAGE(Y27, 6))/1.5</f>
        <v>7.666666666666667</v>
      </c>
      <c r="AO27" s="6"/>
      <c r="BA27" s="6"/>
    </row>
    <row r="28" spans="2:53">
      <c r="B28" s="4">
        <v>25</v>
      </c>
      <c r="C28" s="10" t="s">
        <v>43</v>
      </c>
      <c r="D28" s="22"/>
      <c r="E28" s="22"/>
      <c r="F28" s="22"/>
      <c r="G28" s="22"/>
      <c r="H28" s="22">
        <v>8</v>
      </c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9">
        <v>10</v>
      </c>
      <c r="X28" s="9">
        <v>5</v>
      </c>
      <c r="Y28" s="9">
        <v>5</v>
      </c>
      <c r="Z28" s="9">
        <v>0</v>
      </c>
      <c r="AA28" s="14">
        <f>SUM(Z28, AVERAGE(7, W28))/1.5-0.67</f>
        <v>4.996666666666667</v>
      </c>
      <c r="AB28" s="14">
        <f>SUM(X28, AA28, AVERAGE(Y28, W28))/2.25</f>
        <v>7.7762962962962963</v>
      </c>
      <c r="AC28" s="23">
        <f>SUM(AVERAGE(Y28, W28), AVERAGE(Y28, 8))/1.5</f>
        <v>9.3333333333333339</v>
      </c>
      <c r="AO28" s="6"/>
      <c r="BA28" s="6"/>
    </row>
    <row r="29" spans="2:53">
      <c r="B29" s="4">
        <v>26</v>
      </c>
      <c r="C29" s="10" t="s">
        <v>16</v>
      </c>
      <c r="D29" s="22"/>
      <c r="E29" s="22"/>
      <c r="F29" s="22"/>
      <c r="G29" s="22"/>
      <c r="H29" s="22">
        <v>8</v>
      </c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9">
        <v>7</v>
      </c>
      <c r="X29" s="9">
        <v>2</v>
      </c>
      <c r="Y29" s="9">
        <v>5</v>
      </c>
      <c r="Z29" s="9">
        <v>0</v>
      </c>
      <c r="AA29" s="14">
        <f>SUM(Z29, AVERAGE(9, W29))/1.5-0.67</f>
        <v>4.6633333333333331</v>
      </c>
      <c r="AB29" s="14">
        <f>SUM(X29, AA29, AVERAGE(Y29, W29))/2.25</f>
        <v>5.6281481481481483</v>
      </c>
      <c r="AC29" s="23">
        <f>SUM(AVERAGE(Y29, W29), AVERAGE(Y29, 8))/1.5</f>
        <v>8.3333333333333339</v>
      </c>
      <c r="AO29" s="6"/>
      <c r="BA29" s="6"/>
    </row>
    <row r="30" spans="2:53">
      <c r="B30" s="4">
        <v>27</v>
      </c>
      <c r="C30" s="10" t="s">
        <v>13</v>
      </c>
      <c r="D30" s="22"/>
      <c r="E30" s="22"/>
      <c r="F30" s="22"/>
      <c r="G30" s="22"/>
      <c r="H30" s="22">
        <v>8</v>
      </c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9">
        <v>3</v>
      </c>
      <c r="X30" s="9">
        <v>8</v>
      </c>
      <c r="Y30" s="9">
        <v>6</v>
      </c>
      <c r="Z30" s="9">
        <v>0</v>
      </c>
      <c r="AA30" s="14">
        <f>SUM(Z30, AVERAGE(5, W30))/1.5-0.67</f>
        <v>1.9966666666666666</v>
      </c>
      <c r="AB30" s="14">
        <f>SUM(X30, AA30, AVERAGE(Y30, W30))/2.25</f>
        <v>6.4429629629629623</v>
      </c>
      <c r="AC30" s="23">
        <f>SUM(AVERAGE(Y30, W30), AVERAGE(Y30, 8))/1.5</f>
        <v>7.666666666666667</v>
      </c>
      <c r="AO30" s="6"/>
      <c r="BA30" s="6"/>
    </row>
    <row r="31" spans="2:53">
      <c r="B31" s="4">
        <v>28</v>
      </c>
      <c r="C31" s="11" t="s">
        <v>78</v>
      </c>
      <c r="D31" s="21"/>
      <c r="E31" s="21"/>
      <c r="F31" s="21"/>
      <c r="G31" s="21"/>
      <c r="H31" s="21">
        <v>8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9">
        <v>2</v>
      </c>
      <c r="X31" s="9">
        <v>10</v>
      </c>
      <c r="Y31" s="9">
        <v>7</v>
      </c>
      <c r="Z31" s="9">
        <v>0</v>
      </c>
      <c r="AA31" s="14">
        <f>SUM(Z31, AVERAGE(5, W31))/1.5-0.67</f>
        <v>1.6633333333333336</v>
      </c>
      <c r="AB31" s="14">
        <f>SUM(X31, AA31, AVERAGE(Y31, W31))/2.25</f>
        <v>7.1837037037037037</v>
      </c>
      <c r="AC31" s="23">
        <f>SUM(AVERAGE(Y31, W31), AVERAGE(Y31, 8))/1.5</f>
        <v>8</v>
      </c>
    </row>
    <row r="32" spans="2:53">
      <c r="B32" s="4">
        <v>29</v>
      </c>
      <c r="C32" s="11" t="s">
        <v>37</v>
      </c>
      <c r="D32" s="21"/>
      <c r="E32" s="21"/>
      <c r="F32" s="21"/>
      <c r="G32" s="21"/>
      <c r="H32" s="21">
        <v>7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9">
        <v>4</v>
      </c>
      <c r="X32" s="9">
        <v>1</v>
      </c>
      <c r="Y32" s="9">
        <v>5</v>
      </c>
      <c r="Z32" s="9">
        <v>6</v>
      </c>
      <c r="AA32" s="14">
        <f>SUM(Z32, AVERAGE(9, W32))/1.5-0.67</f>
        <v>7.663333333333334</v>
      </c>
      <c r="AB32" s="14">
        <f>SUM(X32, AA32, AVERAGE(Y32, W32))/2.25</f>
        <v>5.8503703703703707</v>
      </c>
      <c r="AC32" s="23">
        <f>SUM(AVERAGE(Y32, W32), AVERAGE(Y32, 7))/1.5</f>
        <v>7</v>
      </c>
      <c r="AO32" s="6"/>
    </row>
    <row r="33" spans="2:41">
      <c r="B33" s="4">
        <v>30</v>
      </c>
      <c r="C33" s="11" t="s">
        <v>49</v>
      </c>
      <c r="D33" s="21"/>
      <c r="E33" s="21"/>
      <c r="F33" s="21"/>
      <c r="G33" s="21"/>
      <c r="H33" s="21">
        <v>8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9">
        <v>4</v>
      </c>
      <c r="X33" s="9">
        <v>7</v>
      </c>
      <c r="Y33" s="9">
        <v>9</v>
      </c>
      <c r="Z33" s="9">
        <v>0</v>
      </c>
      <c r="AA33" s="14">
        <f>SUM(Z33, AVERAGE(5, W33))/1.5-0.67</f>
        <v>2.33</v>
      </c>
      <c r="AB33" s="14">
        <f>SUM(X33, AA33, AVERAGE(Y33, W33))/2.25</f>
        <v>7.0355555555555558</v>
      </c>
      <c r="AC33" s="23">
        <f>SUM(AVERAGE(Y33, W33), AVERAGE(Y33, 8))/1.5</f>
        <v>10</v>
      </c>
      <c r="AO33" s="6"/>
    </row>
    <row r="34" spans="2:41">
      <c r="B34" s="4">
        <v>31</v>
      </c>
      <c r="C34" s="11" t="s">
        <v>50</v>
      </c>
      <c r="D34" s="21"/>
      <c r="E34" s="21"/>
      <c r="F34" s="21"/>
      <c r="G34" s="21"/>
      <c r="H34" s="21">
        <v>4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9">
        <v>3</v>
      </c>
      <c r="X34" s="9">
        <v>7</v>
      </c>
      <c r="Y34" s="9">
        <v>4</v>
      </c>
      <c r="Z34" s="9">
        <v>0</v>
      </c>
      <c r="AA34" s="14">
        <f>SUM(Z34, AVERAGE(5, W34))/1.5-0.67</f>
        <v>1.9966666666666666</v>
      </c>
      <c r="AB34" s="14">
        <f>SUM(X34, AA34, AVERAGE(Y34, W34))/2.25</f>
        <v>5.5540740740740739</v>
      </c>
      <c r="AC34" s="23">
        <f>SUM(AVERAGE(Y34, W34), AVERAGE(Y34, 4))/1.5</f>
        <v>5</v>
      </c>
      <c r="AO34" s="6"/>
    </row>
    <row r="35" spans="2:41">
      <c r="B35" s="4">
        <v>32</v>
      </c>
      <c r="C35" s="11" t="s">
        <v>18</v>
      </c>
      <c r="D35" s="21"/>
      <c r="E35" s="21"/>
      <c r="F35" s="21"/>
      <c r="G35" s="21"/>
      <c r="H35" s="21">
        <v>9</v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9">
        <v>6</v>
      </c>
      <c r="X35" s="9">
        <v>8</v>
      </c>
      <c r="Y35" s="9">
        <v>5</v>
      </c>
      <c r="Z35" s="9">
        <v>7</v>
      </c>
      <c r="AA35" s="14">
        <f>SUM(Z35, AVERAGE(3, W35))/1.5-0.67</f>
        <v>6.996666666666667</v>
      </c>
      <c r="AB35" s="14">
        <f>SUM(X35, AA35, AVERAGE(Y35, W35))/2.25</f>
        <v>9.1096296296296302</v>
      </c>
      <c r="AC35" s="23">
        <f>SUM(AVERAGE(Y35, W35), AVERAGE(Y35, 9))/1.5</f>
        <v>8.3333333333333339</v>
      </c>
      <c r="AE35" s="1"/>
      <c r="AO35" s="6"/>
    </row>
    <row r="36" spans="2:41">
      <c r="B36" s="4">
        <v>33</v>
      </c>
      <c r="C36" s="11" t="s">
        <v>44</v>
      </c>
      <c r="D36" s="21"/>
      <c r="E36" s="21"/>
      <c r="F36" s="21"/>
      <c r="G36" s="21"/>
      <c r="H36" s="21">
        <v>6</v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9">
        <v>5</v>
      </c>
      <c r="X36" s="9">
        <v>7</v>
      </c>
      <c r="Y36" s="9">
        <v>5</v>
      </c>
      <c r="Z36" s="9">
        <v>0</v>
      </c>
      <c r="AA36" s="14">
        <f>SUM(Z36, AVERAGE(5, W36))/1.5-0.67</f>
        <v>2.6633333333333336</v>
      </c>
      <c r="AB36" s="14">
        <f>SUM(X36, AA36, AVERAGE(Y36, W36))/2.25</f>
        <v>6.5170370370370376</v>
      </c>
      <c r="AC36" s="23">
        <f>SUM(AVERAGE(Y36, W36), AVERAGE(Y36, 6))/1.5</f>
        <v>7</v>
      </c>
      <c r="AO36" s="6"/>
    </row>
    <row r="37" spans="2:41">
      <c r="B37" s="4">
        <v>34</v>
      </c>
      <c r="C37" s="11" t="s">
        <v>29</v>
      </c>
      <c r="D37" s="21"/>
      <c r="E37" s="21"/>
      <c r="F37" s="21"/>
      <c r="G37" s="21"/>
      <c r="H37" s="21">
        <v>9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9">
        <v>4</v>
      </c>
      <c r="X37" s="9">
        <v>8</v>
      </c>
      <c r="Y37" s="9">
        <v>4</v>
      </c>
      <c r="Z37" s="9">
        <v>0</v>
      </c>
      <c r="AA37" s="14">
        <f>SUM(Z37, AVERAGE(5, W37))/1.5-0.67</f>
        <v>2.33</v>
      </c>
      <c r="AB37" s="14">
        <f>SUM(X37, AA37, AVERAGE(Y37, W37))/2.25</f>
        <v>6.3688888888888888</v>
      </c>
      <c r="AC37" s="23">
        <f>SUM(AVERAGE(Y37, W37), AVERAGE(Y37, 9))/1.5</f>
        <v>7</v>
      </c>
      <c r="AO37" s="6"/>
    </row>
    <row r="38" spans="2:41">
      <c r="B38" s="4">
        <v>35</v>
      </c>
      <c r="C38" s="11" t="s">
        <v>14</v>
      </c>
      <c r="D38" s="21"/>
      <c r="E38" s="21"/>
      <c r="F38" s="21"/>
      <c r="G38" s="21"/>
      <c r="H38" s="21">
        <v>8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9">
        <v>2</v>
      </c>
      <c r="X38" s="9">
        <v>8</v>
      </c>
      <c r="Y38" s="9">
        <v>4</v>
      </c>
      <c r="Z38" s="9">
        <v>0</v>
      </c>
      <c r="AA38" s="14">
        <f>SUM(Z38, AVERAGE(5, W38))/1.5-0.67</f>
        <v>1.6633333333333336</v>
      </c>
      <c r="AB38" s="14">
        <f>SUM(X38, AA38, AVERAGE(Y38, W38))/2.25</f>
        <v>5.6281481481481483</v>
      </c>
      <c r="AC38" s="23">
        <f>SUM(AVERAGE(Y38, W38), AVERAGE(Y38, 8))/1.5</f>
        <v>6</v>
      </c>
      <c r="AO38" s="6"/>
    </row>
    <row r="39" spans="2:41">
      <c r="B39" s="4">
        <v>36</v>
      </c>
      <c r="C39" s="11" t="s">
        <v>11</v>
      </c>
      <c r="D39" s="21"/>
      <c r="E39" s="21"/>
      <c r="F39" s="21"/>
      <c r="G39" s="21"/>
      <c r="H39" s="21">
        <v>8</v>
      </c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9">
        <v>9</v>
      </c>
      <c r="X39" s="9">
        <v>4</v>
      </c>
      <c r="Y39" s="9">
        <v>5</v>
      </c>
      <c r="Z39" s="9">
        <v>0</v>
      </c>
      <c r="AA39" s="14">
        <f>SUM(Z39, AVERAGE(5, W39))/1.5-0.67</f>
        <v>3.996666666666667</v>
      </c>
      <c r="AB39" s="14">
        <f>SUM(X39, AA39, AVERAGE(Y39, W39))/2.25</f>
        <v>6.6651851851851847</v>
      </c>
      <c r="AC39" s="23">
        <f>SUM(AVERAGE(Y39, W39), AVERAGE(Y39, 8))/1.5</f>
        <v>9</v>
      </c>
      <c r="AO39" s="6"/>
    </row>
    <row r="40" spans="2:41">
      <c r="B40" s="4">
        <v>37</v>
      </c>
      <c r="C40" s="11" t="s">
        <v>64</v>
      </c>
      <c r="D40" s="21"/>
      <c r="E40" s="21"/>
      <c r="F40" s="21"/>
      <c r="G40" s="21"/>
      <c r="H40" s="21">
        <v>7</v>
      </c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9">
        <v>5</v>
      </c>
      <c r="X40" s="9">
        <v>7</v>
      </c>
      <c r="Y40" s="9">
        <v>6</v>
      </c>
      <c r="Z40" s="9">
        <v>0</v>
      </c>
      <c r="AA40" s="14">
        <f>SUM(Z40, AVERAGE(5, W40))/1.5-0.67</f>
        <v>2.6633333333333336</v>
      </c>
      <c r="AB40" s="14">
        <f>SUM(X40, AA40, AVERAGE(Y40, W40))/2.25</f>
        <v>6.7392592592592599</v>
      </c>
      <c r="AC40" s="23">
        <f>SUM(AVERAGE(Y40, W40), AVERAGE(Y40, 7))/1.5</f>
        <v>8</v>
      </c>
      <c r="AO40" s="6"/>
    </row>
    <row r="41" spans="2:41">
      <c r="B41" s="4">
        <v>38</v>
      </c>
      <c r="C41" s="11" t="s">
        <v>92</v>
      </c>
      <c r="D41" s="21"/>
      <c r="E41" s="21"/>
      <c r="F41" s="21"/>
      <c r="G41" s="21"/>
      <c r="H41" s="21">
        <v>8</v>
      </c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9">
        <v>8</v>
      </c>
      <c r="X41" s="9">
        <v>3</v>
      </c>
      <c r="Y41" s="9">
        <v>4</v>
      </c>
      <c r="Z41" s="9">
        <v>0</v>
      </c>
      <c r="AA41" s="14">
        <f>SUM(Z41, AVERAGE(7, W41))/1.5-0.67</f>
        <v>4.33</v>
      </c>
      <c r="AB41" s="14">
        <f>SUM(X41, AA41, AVERAGE(Y41, W41))/2.25</f>
        <v>5.9244444444444442</v>
      </c>
      <c r="AC41" s="23">
        <f>SUM(AVERAGE(Y41, W41), AVERAGE(Y41, 8))/1.5</f>
        <v>8</v>
      </c>
      <c r="AO41" s="6"/>
    </row>
    <row r="42" spans="2:41">
      <c r="B42" s="4">
        <v>39</v>
      </c>
      <c r="C42" s="11" t="s">
        <v>68</v>
      </c>
      <c r="D42" s="21"/>
      <c r="E42" s="21"/>
      <c r="F42" s="21"/>
      <c r="G42" s="21"/>
      <c r="H42" s="21">
        <v>9</v>
      </c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9">
        <v>3</v>
      </c>
      <c r="X42" s="9">
        <v>10</v>
      </c>
      <c r="Y42" s="9">
        <v>6</v>
      </c>
      <c r="Z42" s="9">
        <v>0</v>
      </c>
      <c r="AA42" s="14">
        <f>SUM(Z42, AVERAGE(5, W42))/1.5-0.67</f>
        <v>1.9966666666666666</v>
      </c>
      <c r="AB42" s="14">
        <f>SUM(X42, AA42, AVERAGE(Y42, W42))/2.25</f>
        <v>7.3318518518518516</v>
      </c>
      <c r="AC42" s="23">
        <f>SUM(AVERAGE(Y42, W42), AVERAGE(Y42, 9))/1.5</f>
        <v>8</v>
      </c>
      <c r="AO42" s="6"/>
    </row>
    <row r="43" spans="2:41">
      <c r="B43" s="4">
        <v>40</v>
      </c>
      <c r="C43" s="11" t="s">
        <v>67</v>
      </c>
      <c r="D43" s="21"/>
      <c r="E43" s="21"/>
      <c r="F43" s="21"/>
      <c r="G43" s="21"/>
      <c r="H43" s="21">
        <v>7</v>
      </c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9">
        <v>5</v>
      </c>
      <c r="X43" s="9">
        <v>7</v>
      </c>
      <c r="Y43" s="9">
        <v>5</v>
      </c>
      <c r="Z43" s="9">
        <v>0</v>
      </c>
      <c r="AA43" s="14">
        <f>SUM(Z43, AVERAGE(5, W43))/1.5-0.67</f>
        <v>2.6633333333333336</v>
      </c>
      <c r="AB43" s="14">
        <f>SUM(X43, AA43, AVERAGE(Y43, W43))/2.25</f>
        <v>6.5170370370370376</v>
      </c>
      <c r="AC43" s="23">
        <f>SUM(AVERAGE(Y43, W43), AVERAGE(Y43, 7))/1.5</f>
        <v>7.333333333333333</v>
      </c>
      <c r="AO43" s="6"/>
    </row>
    <row r="44" spans="2:41">
      <c r="B44" s="4">
        <v>41</v>
      </c>
      <c r="C44" s="11" t="s">
        <v>52</v>
      </c>
      <c r="D44" s="21"/>
      <c r="E44" s="21"/>
      <c r="F44" s="21"/>
      <c r="G44" s="21"/>
      <c r="H44" s="21">
        <v>9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9">
        <v>7</v>
      </c>
      <c r="X44" s="9">
        <v>4</v>
      </c>
      <c r="Y44" s="9">
        <v>5</v>
      </c>
      <c r="Z44" s="9">
        <v>0</v>
      </c>
      <c r="AA44" s="14">
        <f>SUM(Z44, AVERAGE(5, W44))/1.5-0.67</f>
        <v>3.33</v>
      </c>
      <c r="AB44" s="14">
        <f>SUM(X44, AA44, AVERAGE(Y44, W44))/2.25</f>
        <v>5.9244444444444442</v>
      </c>
      <c r="AC44" s="23">
        <f>SUM(AVERAGE(Y44, W44), AVERAGE(Y44, 9))/1.5</f>
        <v>8.6666666666666661</v>
      </c>
      <c r="AO44" s="6"/>
    </row>
    <row r="45" spans="2:41">
      <c r="B45" s="4">
        <v>42</v>
      </c>
      <c r="C45" s="11" t="s">
        <v>83</v>
      </c>
      <c r="D45" s="21"/>
      <c r="E45" s="21"/>
      <c r="F45" s="21"/>
      <c r="G45" s="21"/>
      <c r="H45" s="21">
        <v>7</v>
      </c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9">
        <v>5</v>
      </c>
      <c r="X45" s="9">
        <v>7</v>
      </c>
      <c r="Y45" s="9">
        <v>6</v>
      </c>
      <c r="Z45" s="9">
        <v>0</v>
      </c>
      <c r="AA45" s="14">
        <f>SUM(Z45, AVERAGE(5, W45))/1.5-0.67</f>
        <v>2.6633333333333336</v>
      </c>
      <c r="AB45" s="14">
        <f>SUM(X45, AA45, AVERAGE(Y45, W45))/2.25</f>
        <v>6.7392592592592599</v>
      </c>
      <c r="AC45" s="23">
        <f>SUM(AVERAGE(Y45, W45), AVERAGE(Y45, 7))/1.5</f>
        <v>8</v>
      </c>
    </row>
    <row r="46" spans="2:41">
      <c r="B46" s="4">
        <v>43</v>
      </c>
      <c r="C46" s="11" t="s">
        <v>61</v>
      </c>
      <c r="D46" s="21"/>
      <c r="E46" s="21"/>
      <c r="F46" s="21"/>
      <c r="G46" s="21"/>
      <c r="H46" s="21">
        <v>5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9">
        <v>3</v>
      </c>
      <c r="X46" s="9">
        <v>5</v>
      </c>
      <c r="Y46" s="9">
        <v>5</v>
      </c>
      <c r="Z46" s="9">
        <v>0</v>
      </c>
      <c r="AA46" s="14">
        <f>SUM(Z46, AVERAGE(7, W46))/1.5-0.67</f>
        <v>2.6633333333333336</v>
      </c>
      <c r="AB46" s="14">
        <f>SUM(X46, AA46, AVERAGE(Y46, W46))/2.25</f>
        <v>5.1837037037037037</v>
      </c>
      <c r="AC46" s="23">
        <f>SUM(AVERAGE(Y46, W46), AVERAGE(Y46, 5))/1.5</f>
        <v>6</v>
      </c>
    </row>
    <row r="47" spans="2:41">
      <c r="B47" s="4">
        <v>44</v>
      </c>
      <c r="C47" s="11" t="s">
        <v>10</v>
      </c>
      <c r="D47" s="21"/>
      <c r="E47" s="21"/>
      <c r="F47" s="21"/>
      <c r="G47" s="21"/>
      <c r="H47" s="21">
        <v>9</v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9">
        <v>3</v>
      </c>
      <c r="X47" s="9">
        <v>9</v>
      </c>
      <c r="Y47" s="9">
        <v>6</v>
      </c>
      <c r="Z47" s="9">
        <v>0</v>
      </c>
      <c r="AA47" s="14">
        <f>SUM(Z47, AVERAGE(9, W47))/1.5-0.67</f>
        <v>3.33</v>
      </c>
      <c r="AB47" s="14">
        <f>SUM(X47, AA47, AVERAGE(Y47, W47))/2.25</f>
        <v>7.4799999999999995</v>
      </c>
      <c r="AC47" s="23">
        <f>SUM(AVERAGE(Y47, W47), AVERAGE(Y47, 9))/1.5</f>
        <v>8</v>
      </c>
    </row>
    <row r="48" spans="2:41">
      <c r="B48" s="4">
        <v>45</v>
      </c>
      <c r="C48" s="11" t="s">
        <v>15</v>
      </c>
      <c r="D48" s="21"/>
      <c r="E48" s="21"/>
      <c r="F48" s="21"/>
      <c r="G48" s="21"/>
      <c r="H48" s="21">
        <v>5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9">
        <v>2</v>
      </c>
      <c r="X48" s="9">
        <v>5</v>
      </c>
      <c r="Y48" s="9">
        <v>5</v>
      </c>
      <c r="Z48" s="9">
        <v>7</v>
      </c>
      <c r="AA48" s="14">
        <f>SUM(Z48, AVERAGE(5, W48))/1.5-0.67</f>
        <v>6.33</v>
      </c>
      <c r="AB48" s="14">
        <f>SUM(X48, AA48, AVERAGE(Y48, W48))/2.25</f>
        <v>6.5911111111111111</v>
      </c>
      <c r="AC48" s="23">
        <f>SUM(AVERAGE(Y48, W48), AVERAGE(Y48, 5))/1.5</f>
        <v>5.666666666666667</v>
      </c>
    </row>
    <row r="49" spans="2:29">
      <c r="B49" s="4">
        <v>46</v>
      </c>
      <c r="C49" s="11" t="s">
        <v>94</v>
      </c>
      <c r="D49" s="21"/>
      <c r="E49" s="21"/>
      <c r="F49" s="21"/>
      <c r="G49" s="21"/>
      <c r="H49" s="21">
        <v>8</v>
      </c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9">
        <v>4</v>
      </c>
      <c r="X49" s="9">
        <v>2</v>
      </c>
      <c r="Y49" s="9">
        <v>4</v>
      </c>
      <c r="Z49" s="9">
        <v>5</v>
      </c>
      <c r="AA49" s="14">
        <f>SUM(Z49, AVERAGE(9, W49))/1.5-0.67</f>
        <v>6.996666666666667</v>
      </c>
      <c r="AB49" s="14">
        <f>SUM(X49, AA49, AVERAGE(Y49, W49))/2.25</f>
        <v>5.7762962962962963</v>
      </c>
      <c r="AC49" s="23">
        <f>SUM(AVERAGE(Y49, W49), AVERAGE(Y49, 8))/1.5</f>
        <v>6.666666666666667</v>
      </c>
    </row>
    <row r="50" spans="2:29">
      <c r="B50" s="4">
        <v>47</v>
      </c>
      <c r="C50" s="11" t="s">
        <v>70</v>
      </c>
      <c r="D50" s="21"/>
      <c r="E50" s="21"/>
      <c r="F50" s="21"/>
      <c r="G50" s="21"/>
      <c r="H50" s="21">
        <v>9</v>
      </c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9">
        <v>3</v>
      </c>
      <c r="X50" s="9">
        <v>7</v>
      </c>
      <c r="Y50" s="9">
        <v>4</v>
      </c>
      <c r="Z50" s="9">
        <v>0</v>
      </c>
      <c r="AA50" s="14">
        <f>SUM(Z50, AVERAGE(5, W50))/1.5-0.67</f>
        <v>1.9966666666666666</v>
      </c>
      <c r="AB50" s="14">
        <f>SUM(X50, AA50, AVERAGE(Y50, W50))/2.25</f>
        <v>5.5540740740740739</v>
      </c>
      <c r="AC50" s="23">
        <f>SUM(AVERAGE(Y50, W50), AVERAGE(Y50, 9))/1.5</f>
        <v>6.666666666666667</v>
      </c>
    </row>
    <row r="51" spans="2:29">
      <c r="B51" s="4">
        <v>48</v>
      </c>
      <c r="C51" s="11" t="s">
        <v>102</v>
      </c>
      <c r="D51" s="21"/>
      <c r="E51" s="21"/>
      <c r="F51" s="21"/>
      <c r="G51" s="21"/>
      <c r="H51" s="21">
        <v>8</v>
      </c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9">
        <v>7</v>
      </c>
      <c r="X51" s="9">
        <v>3</v>
      </c>
      <c r="Y51" s="9">
        <v>6</v>
      </c>
      <c r="Z51" s="9">
        <v>6</v>
      </c>
      <c r="AA51" s="14">
        <f>SUM(Z51, AVERAGE(7, W51))/1.5-0.67</f>
        <v>7.9966666666666661</v>
      </c>
      <c r="AB51" s="14">
        <f>SUM(X51, AA51, AVERAGE(Y51, W51))/2.25</f>
        <v>7.7762962962962963</v>
      </c>
      <c r="AC51" s="23">
        <f>SUM(AVERAGE(Y51, W51), AVERAGE(Y51, 8))/1.5</f>
        <v>9</v>
      </c>
    </row>
    <row r="52" spans="2:29">
      <c r="B52" s="4">
        <v>49</v>
      </c>
      <c r="C52" s="11" t="s">
        <v>77</v>
      </c>
      <c r="D52" s="21"/>
      <c r="E52" s="21"/>
      <c r="F52" s="21"/>
      <c r="G52" s="21"/>
      <c r="H52" s="21">
        <v>7</v>
      </c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9">
        <v>5</v>
      </c>
      <c r="X52" s="9">
        <v>1</v>
      </c>
      <c r="Y52" s="9">
        <v>4</v>
      </c>
      <c r="Z52" s="9">
        <v>4</v>
      </c>
      <c r="AA52" s="14">
        <f>SUM(Z52, AVERAGE(9, W52))/1.5-0.67</f>
        <v>6.6633333333333331</v>
      </c>
      <c r="AB52" s="14">
        <f>SUM(X52, AA52, AVERAGE(Y52, W52))/2.25</f>
        <v>5.405925925925926</v>
      </c>
      <c r="AC52" s="23">
        <f>SUM(AVERAGE(Y52, W52), AVERAGE(Y52, 7))/1.5</f>
        <v>6.666666666666667</v>
      </c>
    </row>
    <row r="53" spans="2:29">
      <c r="B53" s="4">
        <v>50</v>
      </c>
      <c r="C53" s="11" t="s">
        <v>100</v>
      </c>
      <c r="D53" s="21"/>
      <c r="E53" s="21"/>
      <c r="F53" s="21"/>
      <c r="G53" s="21"/>
      <c r="H53" s="21">
        <v>7</v>
      </c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9">
        <v>3</v>
      </c>
      <c r="X53" s="9">
        <v>6</v>
      </c>
      <c r="Y53" s="9">
        <v>4</v>
      </c>
      <c r="Z53" s="9">
        <v>0</v>
      </c>
      <c r="AA53" s="14">
        <f>SUM(Z53, AVERAGE(5, W53))/1.5-0.67</f>
        <v>1.9966666666666666</v>
      </c>
      <c r="AB53" s="14">
        <f>SUM(X53, AA53, AVERAGE(Y53, W53))/2.25</f>
        <v>5.1096296296296293</v>
      </c>
      <c r="AC53" s="23">
        <f>SUM(AVERAGE(Y53, W53), AVERAGE(Y53, 7))/1.5</f>
        <v>6</v>
      </c>
    </row>
    <row r="54" spans="2:29">
      <c r="B54" s="4">
        <v>51</v>
      </c>
      <c r="C54" s="11" t="s">
        <v>45</v>
      </c>
      <c r="D54" s="21"/>
      <c r="E54" s="21"/>
      <c r="F54" s="21"/>
      <c r="G54" s="21"/>
      <c r="H54" s="21">
        <v>9</v>
      </c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9">
        <v>4</v>
      </c>
      <c r="X54" s="9">
        <v>9</v>
      </c>
      <c r="Y54" s="9">
        <v>3</v>
      </c>
      <c r="Z54" s="9">
        <v>0</v>
      </c>
      <c r="AA54" s="14">
        <f>SUM(Z54, AVERAGE(5, W54))/1.5-0.67</f>
        <v>2.33</v>
      </c>
      <c r="AB54" s="14">
        <f>SUM(X54, AA54, AVERAGE(Y54, W54))/2.25</f>
        <v>6.5911111111111111</v>
      </c>
      <c r="AC54" s="23">
        <f>SUM(AVERAGE(Y54, W54), AVERAGE(Y54, 9))/1.5</f>
        <v>6.333333333333333</v>
      </c>
    </row>
    <row r="55" spans="2:29">
      <c r="B55" s="4">
        <v>52</v>
      </c>
      <c r="C55" s="11" t="s">
        <v>69</v>
      </c>
      <c r="D55" s="21"/>
      <c r="E55" s="21"/>
      <c r="F55" s="21"/>
      <c r="G55" s="21"/>
      <c r="H55" s="21">
        <v>8</v>
      </c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9">
        <v>4</v>
      </c>
      <c r="X55" s="9">
        <v>7</v>
      </c>
      <c r="Y55" s="9">
        <v>5</v>
      </c>
      <c r="Z55" s="9">
        <v>0</v>
      </c>
      <c r="AA55" s="14">
        <f>SUM(Z55, AVERAGE(9, W55))/1.5-0.67</f>
        <v>3.6633333333333331</v>
      </c>
      <c r="AB55" s="14">
        <f>SUM(X55, AA55, AVERAGE(Y55, W55))/2.25</f>
        <v>6.7392592592592599</v>
      </c>
      <c r="AC55" s="23">
        <f>SUM(AVERAGE(Y55, W55), AVERAGE(Y55, 8))/1.5</f>
        <v>7.333333333333333</v>
      </c>
    </row>
    <row r="56" spans="2:29">
      <c r="B56" s="4">
        <v>53</v>
      </c>
      <c r="C56" s="11" t="s">
        <v>75</v>
      </c>
      <c r="D56" s="21"/>
      <c r="E56" s="21"/>
      <c r="F56" s="21"/>
      <c r="G56" s="21"/>
      <c r="H56" s="21">
        <v>9</v>
      </c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9">
        <v>4</v>
      </c>
      <c r="X56" s="9">
        <v>7</v>
      </c>
      <c r="Y56" s="9">
        <v>5</v>
      </c>
      <c r="Z56" s="9">
        <v>0</v>
      </c>
      <c r="AA56" s="14">
        <f>SUM(Z56, AVERAGE(5, W56))/1.5-0.67</f>
        <v>2.33</v>
      </c>
      <c r="AB56" s="14">
        <f>SUM(X56, AA56, AVERAGE(Y56, W56))/2.25</f>
        <v>6.1466666666666665</v>
      </c>
      <c r="AC56" s="23">
        <f>SUM(AVERAGE(Y56, W56), AVERAGE(Y56, 9))/1.5</f>
        <v>7.666666666666667</v>
      </c>
    </row>
    <row r="57" spans="2:29">
      <c r="B57" s="4">
        <v>54</v>
      </c>
      <c r="C57" s="11" t="s">
        <v>97</v>
      </c>
      <c r="D57" s="21"/>
      <c r="E57" s="21"/>
      <c r="F57" s="21"/>
      <c r="G57" s="21"/>
      <c r="H57" s="21">
        <v>2</v>
      </c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9">
        <v>3</v>
      </c>
      <c r="X57" s="9">
        <v>6</v>
      </c>
      <c r="Y57" s="9">
        <v>4</v>
      </c>
      <c r="Z57" s="9">
        <v>0</v>
      </c>
      <c r="AA57" s="14">
        <f>SUM(Z57, AVERAGE(5, W57))/1.5-0.67</f>
        <v>1.9966666666666666</v>
      </c>
      <c r="AB57" s="14">
        <f>SUM(X57, AA57, AVERAGE(Y57, W57))/2.25</f>
        <v>5.1096296296296293</v>
      </c>
      <c r="AC57" s="23">
        <f>SUM(AVERAGE(Y57, W57), AVERAGE(Y57, 2))/1.5</f>
        <v>4.333333333333333</v>
      </c>
    </row>
    <row r="58" spans="2:29">
      <c r="B58" s="4">
        <v>55</v>
      </c>
      <c r="C58" s="11" t="s">
        <v>23</v>
      </c>
      <c r="D58" s="21"/>
      <c r="E58" s="21"/>
      <c r="F58" s="21"/>
      <c r="G58" s="21"/>
      <c r="H58" s="21">
        <v>8</v>
      </c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9">
        <v>2</v>
      </c>
      <c r="X58" s="9">
        <v>8</v>
      </c>
      <c r="Y58" s="9">
        <v>4</v>
      </c>
      <c r="Z58" s="9">
        <v>0</v>
      </c>
      <c r="AA58" s="14">
        <f>SUM(Z58, AVERAGE(5, W58))/1.5-0.67</f>
        <v>1.6633333333333336</v>
      </c>
      <c r="AB58" s="14">
        <f>SUM(X58, AA58, AVERAGE(Y58, W58))/2.25</f>
        <v>5.6281481481481483</v>
      </c>
      <c r="AC58" s="23">
        <f>SUM(AVERAGE(Y58, W58), AVERAGE(Y58, 8))/1.5</f>
        <v>6</v>
      </c>
    </row>
    <row r="59" spans="2:29">
      <c r="B59" s="4">
        <v>56</v>
      </c>
      <c r="C59" s="11" t="s">
        <v>98</v>
      </c>
      <c r="D59" s="21"/>
      <c r="E59" s="21"/>
      <c r="F59" s="21"/>
      <c r="G59" s="21"/>
      <c r="H59" s="21">
        <v>8</v>
      </c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9">
        <v>4</v>
      </c>
      <c r="X59" s="9">
        <v>7</v>
      </c>
      <c r="Y59" s="9">
        <v>6</v>
      </c>
      <c r="Z59" s="9">
        <v>0</v>
      </c>
      <c r="AA59" s="14">
        <f>SUM(Z59, AVERAGE(5, W59))/1.5-0.67</f>
        <v>2.33</v>
      </c>
      <c r="AB59" s="14">
        <f>SUM(X59, AA59, AVERAGE(Y59, W59))/2.25</f>
        <v>6.3688888888888888</v>
      </c>
      <c r="AC59" s="23">
        <f>SUM(AVERAGE(Y59, W59), AVERAGE(Y59, 8))/1.5</f>
        <v>8</v>
      </c>
    </row>
    <row r="60" spans="2:29">
      <c r="B60" s="4">
        <v>57</v>
      </c>
      <c r="C60" s="11" t="s">
        <v>65</v>
      </c>
      <c r="D60" s="21"/>
      <c r="E60" s="21"/>
      <c r="F60" s="21"/>
      <c r="G60" s="21"/>
      <c r="H60" s="21">
        <v>8</v>
      </c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9">
        <v>4</v>
      </c>
      <c r="X60" s="9">
        <v>8</v>
      </c>
      <c r="Y60" s="9">
        <v>5</v>
      </c>
      <c r="Z60" s="9">
        <v>0</v>
      </c>
      <c r="AA60" s="14">
        <f>SUM(Z60, AVERAGE(5, W60))/1.5-0.67</f>
        <v>2.33</v>
      </c>
      <c r="AB60" s="14">
        <f>SUM(X60, AA60, AVERAGE(Y60, W60))/2.25</f>
        <v>6.5911111111111111</v>
      </c>
      <c r="AC60" s="23">
        <f>SUM(AVERAGE(Y60, W60), AVERAGE(Y60, 8))/1.5</f>
        <v>7.333333333333333</v>
      </c>
    </row>
    <row r="61" spans="2:29">
      <c r="B61" s="4">
        <v>58</v>
      </c>
      <c r="C61" s="11" t="s">
        <v>91</v>
      </c>
      <c r="D61" s="21"/>
      <c r="E61" s="21"/>
      <c r="F61" s="21"/>
      <c r="G61" s="21"/>
      <c r="H61" s="21">
        <v>8</v>
      </c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9">
        <v>3</v>
      </c>
      <c r="X61" s="9">
        <v>7</v>
      </c>
      <c r="Y61" s="9">
        <v>5</v>
      </c>
      <c r="Z61" s="9">
        <v>0</v>
      </c>
      <c r="AA61" s="14">
        <f>SUM(Z61, AVERAGE(5, W61))/1.5-0.67</f>
        <v>1.9966666666666666</v>
      </c>
      <c r="AB61" s="14">
        <f>SUM(X61, AA61, AVERAGE(Y61, W61))/2.25</f>
        <v>5.7762962962962963</v>
      </c>
      <c r="AC61" s="23">
        <f>SUM(AVERAGE(Y61, W61), AVERAGE(Y61, 8))/1.5</f>
        <v>7</v>
      </c>
    </row>
    <row r="62" spans="2:29">
      <c r="B62" s="4">
        <v>59</v>
      </c>
      <c r="C62" s="11" t="s">
        <v>22</v>
      </c>
      <c r="D62" s="21"/>
      <c r="E62" s="21"/>
      <c r="F62" s="21"/>
      <c r="G62" s="21"/>
      <c r="H62" s="21">
        <v>7</v>
      </c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9">
        <v>7</v>
      </c>
      <c r="X62" s="9">
        <v>1</v>
      </c>
      <c r="Y62" s="9">
        <v>6</v>
      </c>
      <c r="Z62" s="9">
        <v>7</v>
      </c>
      <c r="AA62" s="14">
        <f>SUM(Z62, AVERAGE(7, W62))/1.5-0.67</f>
        <v>8.663333333333334</v>
      </c>
      <c r="AB62" s="14">
        <f>SUM(X62, AA62, AVERAGE(Y62, W62))/2.25</f>
        <v>7.1837037037037037</v>
      </c>
      <c r="AC62" s="23">
        <f>SUM(AVERAGE(Y62, W62), AVERAGE(Y62, 7))/1.5</f>
        <v>8.6666666666666661</v>
      </c>
    </row>
    <row r="63" spans="2:29">
      <c r="B63" s="4">
        <v>60</v>
      </c>
      <c r="C63" s="11" t="s">
        <v>41</v>
      </c>
      <c r="D63" s="21"/>
      <c r="E63" s="21"/>
      <c r="F63" s="21"/>
      <c r="G63" s="21"/>
      <c r="H63" s="21">
        <v>7</v>
      </c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9">
        <v>6</v>
      </c>
      <c r="X63" s="9">
        <v>8</v>
      </c>
      <c r="Y63" s="9">
        <v>6</v>
      </c>
      <c r="Z63" s="9">
        <v>8</v>
      </c>
      <c r="AA63" s="14">
        <f>SUM(Z63, AVERAGE(7, W63))/1.5-0.67</f>
        <v>8.9966666666666661</v>
      </c>
      <c r="AB63" s="14">
        <f>SUM(X63, AA63, AVERAGE(Y63, W63))/2.25</f>
        <v>10.220740740740741</v>
      </c>
      <c r="AC63" s="23">
        <f>SUM(AVERAGE(Y63, W63), AVERAGE(Y63, 7))/1.5</f>
        <v>8.3333333333333339</v>
      </c>
    </row>
    <row r="64" spans="2:29">
      <c r="B64" s="4">
        <v>61</v>
      </c>
      <c r="C64" s="11" t="s">
        <v>40</v>
      </c>
      <c r="D64" s="21"/>
      <c r="E64" s="21"/>
      <c r="F64" s="21"/>
      <c r="G64" s="21"/>
      <c r="H64" s="21">
        <v>6</v>
      </c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9">
        <v>3</v>
      </c>
      <c r="X64" s="9">
        <v>8</v>
      </c>
      <c r="Y64" s="9">
        <v>4</v>
      </c>
      <c r="Z64" s="9">
        <v>0</v>
      </c>
      <c r="AA64" s="14">
        <f>SUM(Z64, AVERAGE(5, W64))/1.5-0.67</f>
        <v>1.9966666666666666</v>
      </c>
      <c r="AB64" s="14">
        <f>SUM(X64, AA64, AVERAGE(Y64, W64))/2.25</f>
        <v>5.9985185185185186</v>
      </c>
      <c r="AC64" s="23">
        <f>SUM(AVERAGE(Y64, W64), AVERAGE(Y64, 6))/1.5</f>
        <v>5.666666666666667</v>
      </c>
    </row>
    <row r="65" spans="2:29">
      <c r="B65" s="4">
        <v>62</v>
      </c>
      <c r="C65" s="11" t="s">
        <v>55</v>
      </c>
      <c r="D65" s="21"/>
      <c r="E65" s="21"/>
      <c r="F65" s="21"/>
      <c r="G65" s="21"/>
      <c r="H65" s="21">
        <v>9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9">
        <v>3</v>
      </c>
      <c r="X65" s="9">
        <v>5</v>
      </c>
      <c r="Y65" s="9">
        <v>4</v>
      </c>
      <c r="Z65" s="9">
        <v>2</v>
      </c>
      <c r="AA65" s="14">
        <f>SUM(Z65, AVERAGE(5, W65))/1.5-0.67</f>
        <v>3.33</v>
      </c>
      <c r="AB65" s="14">
        <f>SUM(X65, AA65, AVERAGE(Y65, W65))/2.25</f>
        <v>5.2577777777777781</v>
      </c>
      <c r="AC65" s="23">
        <f>SUM(AVERAGE(Y65, W65), AVERAGE(Y65, 9))/1.5</f>
        <v>6.666666666666667</v>
      </c>
    </row>
    <row r="66" spans="2:29">
      <c r="B66" s="4">
        <v>63</v>
      </c>
      <c r="C66" s="11" t="s">
        <v>81</v>
      </c>
      <c r="D66" s="21"/>
      <c r="E66" s="21"/>
      <c r="F66" s="21"/>
      <c r="G66" s="21"/>
      <c r="H66" s="21">
        <v>8</v>
      </c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9">
        <v>4</v>
      </c>
      <c r="X66" s="9">
        <v>7</v>
      </c>
      <c r="Y66" s="9">
        <v>5</v>
      </c>
      <c r="Z66" s="9">
        <v>0</v>
      </c>
      <c r="AA66" s="14">
        <f>SUM(Z66, AVERAGE(5, W66))/1.5-0.67</f>
        <v>2.33</v>
      </c>
      <c r="AB66" s="14">
        <f>SUM(X66, AA66, AVERAGE(Y66, W66))/2.25</f>
        <v>6.1466666666666665</v>
      </c>
      <c r="AC66" s="23">
        <f>SUM(AVERAGE(Y66, W66), AVERAGE(Y66, 8))/1.5</f>
        <v>7.333333333333333</v>
      </c>
    </row>
    <row r="67" spans="2:29">
      <c r="B67" s="4">
        <v>64</v>
      </c>
      <c r="C67" s="11" t="s">
        <v>21</v>
      </c>
      <c r="D67" s="21"/>
      <c r="E67" s="21"/>
      <c r="F67" s="21"/>
      <c r="G67" s="21"/>
      <c r="H67" s="21">
        <v>8</v>
      </c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9">
        <v>7</v>
      </c>
      <c r="X67" s="9">
        <v>4</v>
      </c>
      <c r="Y67" s="9">
        <v>4</v>
      </c>
      <c r="Z67" s="9">
        <v>0</v>
      </c>
      <c r="AA67" s="14">
        <f>SUM(Z67, AVERAGE(7, W67))/1.5-0.67</f>
        <v>3.996666666666667</v>
      </c>
      <c r="AB67" s="14">
        <f>SUM(X67, AA67, AVERAGE(Y67, W67))/2.25</f>
        <v>5.9985185185185186</v>
      </c>
      <c r="AC67" s="23">
        <f>SUM(AVERAGE(Y67, W67), AVERAGE(Y67, 8))/1.5</f>
        <v>7.666666666666667</v>
      </c>
    </row>
    <row r="68" spans="2:29">
      <c r="B68" s="4">
        <v>65</v>
      </c>
      <c r="C68" s="11" t="s">
        <v>48</v>
      </c>
      <c r="D68" s="21"/>
      <c r="E68" s="21"/>
      <c r="F68" s="21"/>
      <c r="G68" s="21"/>
      <c r="H68" s="21">
        <v>8</v>
      </c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9">
        <v>4</v>
      </c>
      <c r="X68" s="9">
        <v>7</v>
      </c>
      <c r="Y68" s="9">
        <v>4</v>
      </c>
      <c r="Z68" s="9">
        <v>7</v>
      </c>
      <c r="AA68" s="14">
        <f>SUM(Z68, AVERAGE(5, W68))/1.5-0.67</f>
        <v>6.996666666666667</v>
      </c>
      <c r="AB68" s="14">
        <f>SUM(X68, AA68, AVERAGE(Y68, W68))/2.25</f>
        <v>7.9985185185185186</v>
      </c>
      <c r="AC68" s="23">
        <f>SUM(AVERAGE(Y68, W68), AVERAGE(Y68, 8))/1.5</f>
        <v>6.666666666666667</v>
      </c>
    </row>
    <row r="69" spans="2:29">
      <c r="B69" s="4">
        <v>66</v>
      </c>
      <c r="C69" s="11" t="s">
        <v>90</v>
      </c>
      <c r="D69" s="21"/>
      <c r="E69" s="21"/>
      <c r="F69" s="21"/>
      <c r="G69" s="21"/>
      <c r="H69" s="21">
        <v>8</v>
      </c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9">
        <v>5</v>
      </c>
      <c r="X69" s="9">
        <v>8</v>
      </c>
      <c r="Y69" s="9">
        <v>7</v>
      </c>
      <c r="Z69" s="9">
        <v>0</v>
      </c>
      <c r="AA69" s="14">
        <f>SUM(Z69, AVERAGE(5, W69))/1.5-0.67</f>
        <v>2.6633333333333336</v>
      </c>
      <c r="AB69" s="14">
        <f>SUM(X69, AA69, AVERAGE(Y69, W69))/2.25</f>
        <v>7.405925925925926</v>
      </c>
      <c r="AC69" s="23">
        <f>SUM(AVERAGE(Y69, W69), AVERAGE(Y69, 8))/1.5</f>
        <v>9</v>
      </c>
    </row>
    <row r="70" spans="2:29">
      <c r="B70" s="4">
        <v>67</v>
      </c>
      <c r="C70" s="11" t="s">
        <v>104</v>
      </c>
      <c r="D70" s="21"/>
      <c r="E70" s="21"/>
      <c r="F70" s="21"/>
      <c r="G70" s="21"/>
      <c r="H70" s="21">
        <v>8</v>
      </c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9">
        <v>3</v>
      </c>
      <c r="X70" s="9">
        <v>6</v>
      </c>
      <c r="Y70" s="9">
        <v>4</v>
      </c>
      <c r="Z70" s="9">
        <v>0</v>
      </c>
      <c r="AA70" s="14">
        <f>SUM(Z70, AVERAGE(5, W70))/1.5-0.67</f>
        <v>1.9966666666666666</v>
      </c>
      <c r="AB70" s="14">
        <f>SUM(X70, AA70, AVERAGE(Y70, W70))/2.25</f>
        <v>5.1096296296296293</v>
      </c>
      <c r="AC70" s="23">
        <f>SUM(AVERAGE(Y70, W70), AVERAGE(Y70, 8))/1.5</f>
        <v>6.333333333333333</v>
      </c>
    </row>
    <row r="71" spans="2:29">
      <c r="B71" s="4">
        <v>68</v>
      </c>
      <c r="C71" s="11" t="s">
        <v>34</v>
      </c>
      <c r="D71" s="21"/>
      <c r="E71" s="21"/>
      <c r="F71" s="21"/>
      <c r="G71" s="21"/>
      <c r="H71" s="21">
        <v>8</v>
      </c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9">
        <v>7</v>
      </c>
      <c r="X71" s="9">
        <v>3</v>
      </c>
      <c r="Y71" s="9">
        <v>5</v>
      </c>
      <c r="Z71" s="9">
        <v>0</v>
      </c>
      <c r="AA71" s="14">
        <f>SUM(Z71, AVERAGE(7, W71))/1.5-0.67</f>
        <v>3.996666666666667</v>
      </c>
      <c r="AB71" s="14">
        <f>SUM(X71, AA71, AVERAGE(Y71, W71))/2.25</f>
        <v>5.7762962962962963</v>
      </c>
      <c r="AC71" s="23">
        <f>SUM(AVERAGE(Y71, W71), AVERAGE(Y71, 8))/1.5</f>
        <v>8.3333333333333339</v>
      </c>
    </row>
    <row r="72" spans="2:29">
      <c r="B72" s="4">
        <v>69</v>
      </c>
      <c r="C72" s="11" t="s">
        <v>27</v>
      </c>
      <c r="D72" s="21"/>
      <c r="E72" s="21"/>
      <c r="F72" s="21"/>
      <c r="G72" s="21"/>
      <c r="H72" s="21">
        <v>7</v>
      </c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9">
        <v>6</v>
      </c>
      <c r="X72" s="9">
        <v>4</v>
      </c>
      <c r="Y72" s="9">
        <v>5</v>
      </c>
      <c r="Z72" s="9">
        <v>5</v>
      </c>
      <c r="AA72" s="14">
        <f>SUM(Z72, AVERAGE(7, W72))/1.5-0.67</f>
        <v>6.996666666666667</v>
      </c>
      <c r="AB72" s="14">
        <f>SUM(X72, AA72, AVERAGE(Y72, W72))/2.25</f>
        <v>7.3318518518518516</v>
      </c>
      <c r="AC72" s="23">
        <f>SUM(AVERAGE(Y72, W72), AVERAGE(Y72, 7))/1.5</f>
        <v>7.666666666666667</v>
      </c>
    </row>
    <row r="73" spans="2:29">
      <c r="B73" s="4">
        <v>70</v>
      </c>
      <c r="C73" s="11" t="s">
        <v>25</v>
      </c>
      <c r="D73" s="21"/>
      <c r="E73" s="21"/>
      <c r="F73" s="21"/>
      <c r="G73" s="21"/>
      <c r="H73" s="21">
        <v>8</v>
      </c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9">
        <v>4</v>
      </c>
      <c r="X73" s="9">
        <v>7</v>
      </c>
      <c r="Y73" s="9">
        <v>5</v>
      </c>
      <c r="Z73" s="9">
        <v>0</v>
      </c>
      <c r="AA73" s="14">
        <f>SUM(Z73, AVERAGE(5, W73))/1.5-0.67</f>
        <v>2.33</v>
      </c>
      <c r="AB73" s="14">
        <f>SUM(X73, AA73, AVERAGE(Y73, W73))/2.25</f>
        <v>6.1466666666666665</v>
      </c>
      <c r="AC73" s="23">
        <f>SUM(AVERAGE(Y73, W73), AVERAGE(Y73, 8))/1.5</f>
        <v>7.333333333333333</v>
      </c>
    </row>
    <row r="74" spans="2:29">
      <c r="B74" s="4">
        <v>71</v>
      </c>
      <c r="C74" s="11" t="s">
        <v>73</v>
      </c>
      <c r="D74" s="21"/>
      <c r="E74" s="21"/>
      <c r="F74" s="21"/>
      <c r="G74" s="21"/>
      <c r="H74" s="21">
        <v>7</v>
      </c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9">
        <v>4</v>
      </c>
      <c r="X74" s="9">
        <v>2</v>
      </c>
      <c r="Y74" s="9">
        <v>4</v>
      </c>
      <c r="Z74" s="9">
        <v>5</v>
      </c>
      <c r="AA74" s="14">
        <f>SUM(Z74, AVERAGE(9, W74))/1.5-0.67</f>
        <v>6.996666666666667</v>
      </c>
      <c r="AB74" s="14">
        <f>SUM(X74, AA74, AVERAGE(Y74, W74))/2.25</f>
        <v>5.7762962962962963</v>
      </c>
      <c r="AC74" s="23">
        <f>SUM(AVERAGE(Y74, W74), AVERAGE(Y74, 7))/1.5</f>
        <v>6.333333333333333</v>
      </c>
    </row>
    <row r="75" spans="2:29">
      <c r="B75" s="4">
        <v>72</v>
      </c>
      <c r="C75" s="11" t="s">
        <v>72</v>
      </c>
      <c r="D75" s="21"/>
      <c r="E75" s="21"/>
      <c r="F75" s="21"/>
      <c r="G75" s="21"/>
      <c r="H75" s="21">
        <v>8</v>
      </c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9">
        <v>4</v>
      </c>
      <c r="X75" s="9">
        <v>6</v>
      </c>
      <c r="Y75" s="9">
        <v>5</v>
      </c>
      <c r="Z75" s="9">
        <v>4</v>
      </c>
      <c r="AA75" s="14">
        <f>SUM(Z75, AVERAGE(5, W75))/1.5-0.67</f>
        <v>4.996666666666667</v>
      </c>
      <c r="AB75" s="14">
        <f>SUM(X75, AA75, AVERAGE(Y75, W75))/2.25</f>
        <v>6.887407407407407</v>
      </c>
      <c r="AC75" s="23">
        <f>SUM(AVERAGE(Y75, W75), AVERAGE(Y75, 8))/1.5</f>
        <v>7.333333333333333</v>
      </c>
    </row>
    <row r="76" spans="2:29">
      <c r="B76" s="4">
        <v>73</v>
      </c>
      <c r="C76" s="11" t="s">
        <v>63</v>
      </c>
      <c r="D76" s="21"/>
      <c r="E76" s="21"/>
      <c r="F76" s="21"/>
      <c r="G76" s="21"/>
      <c r="H76" s="21">
        <v>7</v>
      </c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9">
        <v>5</v>
      </c>
      <c r="X76" s="9">
        <v>1</v>
      </c>
      <c r="Y76" s="9">
        <v>6</v>
      </c>
      <c r="Z76" s="9">
        <v>9</v>
      </c>
      <c r="AA76" s="14">
        <f>SUM(Z76, AVERAGE(9, W76))/1.5-0.67</f>
        <v>9.9966666666666661</v>
      </c>
      <c r="AB76" s="14">
        <f>SUM(X76, AA76, AVERAGE(Y76, W76))/2.25</f>
        <v>7.3318518518518516</v>
      </c>
      <c r="AC76" s="23">
        <f>SUM(AVERAGE(Y76, W76), AVERAGE(Y76, 7))/1.5</f>
        <v>8</v>
      </c>
    </row>
    <row r="77" spans="2:29">
      <c r="B77" s="4">
        <v>74</v>
      </c>
      <c r="C77" s="11" t="s">
        <v>28</v>
      </c>
      <c r="D77" s="21"/>
      <c r="E77" s="21"/>
      <c r="F77" s="21"/>
      <c r="G77" s="21"/>
      <c r="H77" s="21">
        <v>8</v>
      </c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9">
        <v>4</v>
      </c>
      <c r="X77" s="9">
        <v>7</v>
      </c>
      <c r="Y77" s="9">
        <v>7</v>
      </c>
      <c r="Z77" s="9">
        <v>0</v>
      </c>
      <c r="AA77" s="14">
        <f>SUM(Z77, AVERAGE(5, W77))/1.5-0.67</f>
        <v>2.33</v>
      </c>
      <c r="AB77" s="14">
        <f>SUM(X77, AA77, AVERAGE(Y77, W77))/2.25</f>
        <v>6.5911111111111111</v>
      </c>
      <c r="AC77" s="23">
        <f>SUM(AVERAGE(Y77, W77), AVERAGE(Y77, 8))/1.5</f>
        <v>8.6666666666666661</v>
      </c>
    </row>
    <row r="78" spans="2:29">
      <c r="B78" s="4">
        <v>75</v>
      </c>
      <c r="C78" s="11" t="s">
        <v>76</v>
      </c>
      <c r="D78" s="21"/>
      <c r="E78" s="21"/>
      <c r="F78" s="21"/>
      <c r="G78" s="21"/>
      <c r="H78" s="21">
        <v>3</v>
      </c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9">
        <v>4</v>
      </c>
      <c r="X78" s="9">
        <v>6</v>
      </c>
      <c r="Y78" s="9">
        <v>5</v>
      </c>
      <c r="Z78" s="9">
        <v>6</v>
      </c>
      <c r="AA78" s="14">
        <f>SUM(Z78, AVERAGE(7, W78))/1.5-0.67</f>
        <v>6.996666666666667</v>
      </c>
      <c r="AB78" s="14">
        <f>SUM(X78, AA78, AVERAGE(Y78, W78))/2.25</f>
        <v>7.7762962962962963</v>
      </c>
      <c r="AC78" s="23">
        <f>SUM(AVERAGE(Y78, W78), AVERAGE(Y78, 3))/1.5</f>
        <v>5.666666666666667</v>
      </c>
    </row>
    <row r="79" spans="2:29">
      <c r="B79" s="4">
        <v>76</v>
      </c>
      <c r="C79" s="11" t="s">
        <v>57</v>
      </c>
      <c r="D79" s="21"/>
      <c r="E79" s="21"/>
      <c r="F79" s="21"/>
      <c r="G79" s="21"/>
      <c r="H79" s="21">
        <v>8</v>
      </c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9">
        <v>3</v>
      </c>
      <c r="X79" s="9">
        <v>7</v>
      </c>
      <c r="Y79" s="9">
        <v>5</v>
      </c>
      <c r="Z79" s="9">
        <v>0</v>
      </c>
      <c r="AA79" s="14">
        <f>SUM(Z79, AVERAGE(5, W79))/1.5-0.67</f>
        <v>1.9966666666666666</v>
      </c>
      <c r="AB79" s="14">
        <f>SUM(X79, AA79, AVERAGE(Y79, W79))/2.25</f>
        <v>5.7762962962962963</v>
      </c>
      <c r="AC79" s="23">
        <f>SUM(AVERAGE(Y79, W79), AVERAGE(Y79, 8))/1.5</f>
        <v>7</v>
      </c>
    </row>
    <row r="80" spans="2:29">
      <c r="B80" s="4">
        <v>77</v>
      </c>
      <c r="C80" s="11" t="s">
        <v>80</v>
      </c>
      <c r="D80" s="21"/>
      <c r="E80" s="21"/>
      <c r="F80" s="21"/>
      <c r="G80" s="21"/>
      <c r="H80" s="21">
        <v>8</v>
      </c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9">
        <v>7</v>
      </c>
      <c r="X80" s="9">
        <v>4</v>
      </c>
      <c r="Y80" s="9">
        <v>2</v>
      </c>
      <c r="Z80" s="9">
        <v>4</v>
      </c>
      <c r="AA80" s="14">
        <f>SUM(Z80, AVERAGE(7, W80))/1.5-0.67</f>
        <v>6.6633333333333331</v>
      </c>
      <c r="AB80" s="14">
        <f>SUM(X80, AA80, AVERAGE(Y80, W80))/2.25</f>
        <v>6.7392592592592599</v>
      </c>
      <c r="AC80" s="23">
        <f>SUM(AVERAGE(Y80, W80), AVERAGE(Y80, 8))/1.5</f>
        <v>6.333333333333333</v>
      </c>
    </row>
    <row r="81" spans="2:29">
      <c r="B81" s="4">
        <v>78</v>
      </c>
      <c r="C81" s="11" t="s">
        <v>66</v>
      </c>
      <c r="D81" s="21"/>
      <c r="E81" s="21"/>
      <c r="F81" s="21"/>
      <c r="G81" s="21"/>
      <c r="H81" s="21">
        <v>8</v>
      </c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9">
        <v>3</v>
      </c>
      <c r="X81" s="9">
        <v>7</v>
      </c>
      <c r="Y81" s="9">
        <v>5</v>
      </c>
      <c r="Z81" s="9">
        <v>0</v>
      </c>
      <c r="AA81" s="14">
        <f>SUM(Z81, AVERAGE(5, W81))/1.5-0.67</f>
        <v>1.9966666666666666</v>
      </c>
      <c r="AB81" s="14">
        <f>SUM(X81, AA81, AVERAGE(Y81, W81))/2.25</f>
        <v>5.7762962962962963</v>
      </c>
      <c r="AC81" s="23">
        <f>SUM(AVERAGE(Y81, W81), AVERAGE(Y81, 8))/1.5</f>
        <v>7</v>
      </c>
    </row>
    <row r="82" spans="2:29">
      <c r="B82" s="4">
        <v>79</v>
      </c>
      <c r="C82" s="11" t="s">
        <v>42</v>
      </c>
      <c r="D82" s="21"/>
      <c r="E82" s="21"/>
      <c r="F82" s="21"/>
      <c r="G82" s="21"/>
      <c r="H82" s="21">
        <v>6</v>
      </c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9">
        <v>4</v>
      </c>
      <c r="X82" s="9">
        <v>6</v>
      </c>
      <c r="Y82" s="9">
        <v>5</v>
      </c>
      <c r="Z82" s="9">
        <v>0</v>
      </c>
      <c r="AA82" s="14">
        <f>SUM(Z82, AVERAGE(7, W82))/1.5-0.67</f>
        <v>2.9966666666666666</v>
      </c>
      <c r="AB82" s="14">
        <f>SUM(X82, AA82, AVERAGE(Y82, W82))/2.25</f>
        <v>5.9985185185185186</v>
      </c>
      <c r="AC82" s="23">
        <f>SUM(AVERAGE(Y82, W82), AVERAGE(Y82, 6))/1.5</f>
        <v>6.666666666666667</v>
      </c>
    </row>
    <row r="83" spans="2:29">
      <c r="B83" s="4">
        <v>80</v>
      </c>
      <c r="C83" s="11" t="s">
        <v>54</v>
      </c>
      <c r="D83" s="21"/>
      <c r="E83" s="21"/>
      <c r="F83" s="21"/>
      <c r="G83" s="21"/>
      <c r="H83" s="21">
        <v>8</v>
      </c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9">
        <v>4</v>
      </c>
      <c r="X83" s="9">
        <v>7</v>
      </c>
      <c r="Y83" s="9">
        <v>3</v>
      </c>
      <c r="Z83" s="9">
        <v>0</v>
      </c>
      <c r="AA83" s="14">
        <f>SUM(Z83, AVERAGE(7, W83))/1.5-0.67</f>
        <v>2.9966666666666666</v>
      </c>
      <c r="AB83" s="14">
        <f>SUM(X83, AA83, AVERAGE(Y83, W83))/2.25</f>
        <v>5.9985185185185186</v>
      </c>
      <c r="AC83" s="23">
        <f>SUM(AVERAGE(Y83, W83), AVERAGE(Y83, 8))/1.5</f>
        <v>6</v>
      </c>
    </row>
    <row r="84" spans="2:29">
      <c r="B84" s="4">
        <v>81</v>
      </c>
      <c r="C84" s="11" t="s">
        <v>8</v>
      </c>
      <c r="D84" s="21"/>
      <c r="E84" s="21"/>
      <c r="F84" s="21"/>
      <c r="G84" s="21"/>
      <c r="H84" s="21">
        <v>7</v>
      </c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9">
        <v>4</v>
      </c>
      <c r="X84" s="9">
        <v>1</v>
      </c>
      <c r="Y84" s="9">
        <v>5</v>
      </c>
      <c r="Z84" s="9">
        <v>6</v>
      </c>
      <c r="AA84" s="14">
        <f>SUM(Z84, AVERAGE(7, W84))/1.5-0.67</f>
        <v>6.996666666666667</v>
      </c>
      <c r="AB84" s="14">
        <f>SUM(X84, AA84, AVERAGE(Y84, W84))/2.25</f>
        <v>5.5540740740740739</v>
      </c>
      <c r="AC84" s="23">
        <f>SUM(AVERAGE(Y84, W84), AVERAGE(Y84, 7))/1.5</f>
        <v>7</v>
      </c>
    </row>
    <row r="85" spans="2:29">
      <c r="B85" s="4">
        <v>82</v>
      </c>
      <c r="C85" s="11" t="s">
        <v>74</v>
      </c>
      <c r="D85" s="21"/>
      <c r="E85" s="21"/>
      <c r="F85" s="21"/>
      <c r="G85" s="21"/>
      <c r="H85" s="21">
        <v>8</v>
      </c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9">
        <v>4</v>
      </c>
      <c r="X85" s="9">
        <v>6</v>
      </c>
      <c r="Y85" s="9">
        <v>5</v>
      </c>
      <c r="Z85" s="9">
        <v>4</v>
      </c>
      <c r="AA85" s="14">
        <f>SUM(Z85, AVERAGE(7, W85))/1.5-0.67</f>
        <v>5.6633333333333331</v>
      </c>
      <c r="AB85" s="14">
        <f>SUM(X85, AA85, AVERAGE(Y85, W85))/2.25</f>
        <v>7.1837037037037037</v>
      </c>
      <c r="AC85" s="23">
        <f>SUM(AVERAGE(Y85, W85), AVERAGE(Y85, 8))/1.5</f>
        <v>7.333333333333333</v>
      </c>
    </row>
    <row r="86" spans="2:29">
      <c r="B86" s="4">
        <v>83</v>
      </c>
      <c r="C86" s="11" t="s">
        <v>105</v>
      </c>
      <c r="D86" s="21"/>
      <c r="E86" s="21"/>
      <c r="F86" s="21"/>
      <c r="G86" s="21"/>
      <c r="H86" s="21">
        <v>3</v>
      </c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9">
        <v>3</v>
      </c>
      <c r="X86" s="9">
        <v>7</v>
      </c>
      <c r="Y86" s="9">
        <v>5</v>
      </c>
      <c r="Z86" s="9">
        <v>0</v>
      </c>
      <c r="AA86" s="14">
        <f>SUM(Z86, AVERAGE(7, W86))/1.5-0.67</f>
        <v>2.6633333333333336</v>
      </c>
      <c r="AB86" s="14">
        <f>SUM(X86, AA86, AVERAGE(Y86, W86))/2.25</f>
        <v>6.072592592592593</v>
      </c>
      <c r="AC86" s="23">
        <f>SUM(AVERAGE(Y86, W86), AVERAGE(Y86, 3))/1.5</f>
        <v>5.333333333333333</v>
      </c>
    </row>
    <row r="87" spans="2:29">
      <c r="B87" s="4">
        <v>84</v>
      </c>
      <c r="C87" s="11" t="s">
        <v>46</v>
      </c>
      <c r="D87" s="21"/>
      <c r="E87" s="21"/>
      <c r="F87" s="21"/>
      <c r="G87" s="21"/>
      <c r="H87" s="21">
        <v>7</v>
      </c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9">
        <v>5</v>
      </c>
      <c r="X87" s="9">
        <v>1</v>
      </c>
      <c r="Y87" s="9">
        <v>5</v>
      </c>
      <c r="Z87" s="9">
        <v>6</v>
      </c>
      <c r="AA87" s="14">
        <f>SUM(Z87, AVERAGE(9, W87))/1.5-0.67</f>
        <v>7.9966666666666661</v>
      </c>
      <c r="AB87" s="14">
        <f>SUM(X87, AA87, AVERAGE(Y87, W87))/2.25</f>
        <v>6.2207407407407409</v>
      </c>
      <c r="AC87" s="23">
        <f>SUM(AVERAGE(Y87, W87), AVERAGE(Y87, 7))/1.5</f>
        <v>7.333333333333333</v>
      </c>
    </row>
    <row r="88" spans="2:29">
      <c r="B88" s="4">
        <v>85</v>
      </c>
      <c r="C88" s="11" t="s">
        <v>47</v>
      </c>
      <c r="D88" s="21"/>
      <c r="E88" s="21"/>
      <c r="F88" s="21"/>
      <c r="G88" s="21"/>
      <c r="H88" s="21">
        <v>8</v>
      </c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9">
        <v>4</v>
      </c>
      <c r="X88" s="9">
        <v>6</v>
      </c>
      <c r="Y88" s="9">
        <v>3</v>
      </c>
      <c r="Z88" s="9">
        <v>0</v>
      </c>
      <c r="AA88" s="14">
        <f>SUM(Z88, AVERAGE(7, W88))/1.5-0.67</f>
        <v>2.9966666666666666</v>
      </c>
      <c r="AB88" s="14">
        <f>SUM(X88, AA88, AVERAGE(Y88, W88))/2.25</f>
        <v>5.5540740740740739</v>
      </c>
      <c r="AC88" s="23">
        <f>SUM(AVERAGE(Y88, W88), AVERAGE(Y88, 8))/1.5</f>
        <v>6</v>
      </c>
    </row>
    <row r="89" spans="2:29">
      <c r="B89" s="4">
        <v>86</v>
      </c>
      <c r="C89" s="11" t="s">
        <v>96</v>
      </c>
      <c r="D89" s="21"/>
      <c r="E89" s="21"/>
      <c r="F89" s="21"/>
      <c r="G89" s="21"/>
      <c r="H89" s="21">
        <v>8</v>
      </c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9">
        <v>3</v>
      </c>
      <c r="X89" s="9">
        <v>7</v>
      </c>
      <c r="Y89" s="9">
        <v>7</v>
      </c>
      <c r="Z89" s="9">
        <v>0</v>
      </c>
      <c r="AA89" s="14">
        <f>SUM(Z89, AVERAGE(5, W89))/1.5-0.67</f>
        <v>1.9966666666666666</v>
      </c>
      <c r="AB89" s="14">
        <f>SUM(X89, AA89, AVERAGE(Y89, W89))/2.25</f>
        <v>6.2207407407407409</v>
      </c>
      <c r="AC89" s="23">
        <f>SUM(AVERAGE(Y89, W89), AVERAGE(Y89, 8))/1.5</f>
        <v>8.3333333333333339</v>
      </c>
    </row>
    <row r="90" spans="2:29">
      <c r="B90" s="4">
        <v>87</v>
      </c>
      <c r="C90" s="11" t="s">
        <v>32</v>
      </c>
      <c r="D90" s="21"/>
      <c r="E90" s="21"/>
      <c r="F90" s="21"/>
      <c r="G90" s="21"/>
      <c r="H90" s="21">
        <v>7</v>
      </c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9">
        <v>3</v>
      </c>
      <c r="X90" s="9">
        <v>6</v>
      </c>
      <c r="Y90" s="9">
        <v>6</v>
      </c>
      <c r="Z90" s="9">
        <v>7</v>
      </c>
      <c r="AA90" s="14">
        <f>SUM(Z90, AVERAGE(9, W90))/1.5-0.67</f>
        <v>7.9966666666666661</v>
      </c>
      <c r="AB90" s="14">
        <f>SUM(X90, AA90, AVERAGE(Y90, W90))/2.25</f>
        <v>8.2207407407407409</v>
      </c>
      <c r="AC90" s="23">
        <f>SUM(AVERAGE(Y90, W90), AVERAGE(Y90, 7))/1.5</f>
        <v>7.333333333333333</v>
      </c>
    </row>
    <row r="91" spans="2:29">
      <c r="B91" s="4">
        <v>88</v>
      </c>
      <c r="C91" s="11" t="s">
        <v>62</v>
      </c>
      <c r="D91" s="21"/>
      <c r="E91" s="21"/>
      <c r="F91" s="21"/>
      <c r="G91" s="21"/>
      <c r="H91" s="21">
        <v>8</v>
      </c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9">
        <v>4</v>
      </c>
      <c r="X91" s="9">
        <v>7</v>
      </c>
      <c r="Y91" s="9">
        <v>4</v>
      </c>
      <c r="Z91" s="9">
        <v>9</v>
      </c>
      <c r="AA91" s="14">
        <f>SUM(Z91, AVERAGE(9, W91))/1.5-0.67</f>
        <v>9.663333333333334</v>
      </c>
      <c r="AB91" s="14">
        <f>SUM(X91, AA91, AVERAGE(Y91, W91))/2.25</f>
        <v>9.1837037037037046</v>
      </c>
      <c r="AC91" s="23">
        <f>SUM(AVERAGE(Y91, W91), AVERAGE(Y91, 8))/1.5</f>
        <v>6.666666666666667</v>
      </c>
    </row>
    <row r="92" spans="2:29">
      <c r="B92" s="4">
        <v>89</v>
      </c>
      <c r="C92" s="11" t="s">
        <v>93</v>
      </c>
      <c r="D92" s="21"/>
      <c r="E92" s="21"/>
      <c r="F92" s="21"/>
      <c r="G92" s="21"/>
      <c r="H92" s="21">
        <v>9</v>
      </c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9">
        <v>5</v>
      </c>
      <c r="X92" s="9">
        <v>4</v>
      </c>
      <c r="Y92" s="9">
        <v>3</v>
      </c>
      <c r="Z92" s="9">
        <v>0</v>
      </c>
      <c r="AA92" s="14">
        <f>SUM(Z92, AVERAGE(7, W92))/1.5-0.67</f>
        <v>3.33</v>
      </c>
      <c r="AB92" s="14">
        <f>SUM(X92, AA92, AVERAGE(Y92, W92))/2.25</f>
        <v>5.0355555555555558</v>
      </c>
      <c r="AC92" s="23">
        <f>SUM(AVERAGE(Y92, W92), AVERAGE(Y92, 9))/1.5</f>
        <v>6.666666666666667</v>
      </c>
    </row>
    <row r="93" spans="2:29">
      <c r="B93" s="4">
        <v>90</v>
      </c>
      <c r="C93" s="11" t="s">
        <v>9</v>
      </c>
      <c r="D93" s="21"/>
      <c r="E93" s="21"/>
      <c r="F93" s="21"/>
      <c r="G93" s="21"/>
      <c r="H93" s="21">
        <v>7</v>
      </c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9">
        <v>3</v>
      </c>
      <c r="X93" s="9">
        <v>7</v>
      </c>
      <c r="Y93" s="9">
        <v>6</v>
      </c>
      <c r="Z93" s="9">
        <v>0</v>
      </c>
      <c r="AA93" s="14">
        <f>SUM(Z93, AVERAGE(5, W93))/1.5-0.67</f>
        <v>1.9966666666666666</v>
      </c>
      <c r="AB93" s="14">
        <f>SUM(X93, AA93, AVERAGE(Y93, W93))/2.25</f>
        <v>5.9985185185185186</v>
      </c>
      <c r="AC93" s="23">
        <f>SUM(AVERAGE(Y93, W93), AVERAGE(Y93, 7))/1.5</f>
        <v>7.333333333333333</v>
      </c>
    </row>
    <row r="94" spans="2:29">
      <c r="B94" s="4">
        <v>91</v>
      </c>
      <c r="C94" s="11" t="s">
        <v>71</v>
      </c>
      <c r="D94" s="21"/>
      <c r="E94" s="21"/>
      <c r="F94" s="21"/>
      <c r="G94" s="21"/>
      <c r="H94" s="21">
        <v>6</v>
      </c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9">
        <v>7</v>
      </c>
      <c r="X94" s="9">
        <v>6</v>
      </c>
      <c r="Y94" s="9">
        <v>7</v>
      </c>
      <c r="Z94" s="9">
        <v>0</v>
      </c>
      <c r="AA94" s="14">
        <f>SUM(Z94, AVERAGE(7, W94))/1.5-0.67</f>
        <v>3.996666666666667</v>
      </c>
      <c r="AB94" s="14">
        <f>SUM(X94, AA94, AVERAGE(Y94, W94))/2.25</f>
        <v>7.5540740740740739</v>
      </c>
      <c r="AC94" s="23">
        <f>SUM(AVERAGE(Y94, W94), AVERAGE(Y94, 6))/1.5</f>
        <v>9</v>
      </c>
    </row>
    <row r="95" spans="2:29">
      <c r="B95" s="4">
        <v>92</v>
      </c>
      <c r="C95" s="11" t="s">
        <v>103</v>
      </c>
      <c r="D95" s="21"/>
      <c r="E95" s="21"/>
      <c r="F95" s="21"/>
      <c r="G95" s="21"/>
      <c r="H95" s="21">
        <v>8</v>
      </c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9">
        <v>3</v>
      </c>
      <c r="X95" s="9">
        <v>7</v>
      </c>
      <c r="Y95" s="9">
        <v>5</v>
      </c>
      <c r="Z95" s="9">
        <v>2</v>
      </c>
      <c r="AA95" s="14">
        <f>SUM(Z95, AVERAGE(4, W95))/1.5-0.67</f>
        <v>2.9966666666666666</v>
      </c>
      <c r="AB95" s="14">
        <f>SUM(X95, AA95, AVERAGE(Y95, W95))/2.25</f>
        <v>6.2207407407407409</v>
      </c>
      <c r="AC95" s="23">
        <f>SUM(AVERAGE(Y95, W95), AVERAGE(Y95, 8))/1.5</f>
        <v>7</v>
      </c>
    </row>
    <row r="96" spans="2:29">
      <c r="B96" s="4">
        <v>93</v>
      </c>
      <c r="C96" s="11" t="s">
        <v>26</v>
      </c>
      <c r="D96" s="21"/>
      <c r="E96" s="21"/>
      <c r="F96" s="21"/>
      <c r="G96" s="21"/>
      <c r="H96" s="21">
        <v>7</v>
      </c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9">
        <v>4</v>
      </c>
      <c r="X96" s="9">
        <v>6</v>
      </c>
      <c r="Y96" s="9">
        <v>7</v>
      </c>
      <c r="Z96" s="9">
        <v>0</v>
      </c>
      <c r="AA96" s="14">
        <f>SUM(Z96, AVERAGE(7, W96))/1.5-0.67</f>
        <v>2.9966666666666666</v>
      </c>
      <c r="AB96" s="14">
        <f>SUM(X96, AA96, AVERAGE(Y96, W96))/2.25</f>
        <v>6.4429629629629623</v>
      </c>
      <c r="AC96" s="23">
        <f>SUM(AVERAGE(Y96, W96), AVERAGE(Y96, 7))/1.5</f>
        <v>8.3333333333333339</v>
      </c>
    </row>
    <row r="97" spans="2:29">
      <c r="B97" s="4">
        <v>94</v>
      </c>
      <c r="C97" s="11" t="s">
        <v>31</v>
      </c>
      <c r="D97" s="21"/>
      <c r="E97" s="21"/>
      <c r="F97" s="21"/>
      <c r="G97" s="21"/>
      <c r="H97" s="21">
        <v>8</v>
      </c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9">
        <v>4</v>
      </c>
      <c r="X97" s="9">
        <v>4</v>
      </c>
      <c r="Y97" s="9">
        <v>6</v>
      </c>
      <c r="Z97" s="9">
        <v>8</v>
      </c>
      <c r="AA97" s="14">
        <f>SUM(Z97, AVERAGE(9, W97))/1.5-0.67</f>
        <v>8.9966666666666661</v>
      </c>
      <c r="AB97" s="14">
        <f>SUM(X97, AA97, AVERAGE(Y97, W97))/2.25</f>
        <v>7.9985185185185186</v>
      </c>
      <c r="AC97" s="23">
        <f>SUM(AVERAGE(Y97, W97), AVERAGE(Y97, 8))/1.5</f>
        <v>8</v>
      </c>
    </row>
    <row r="98" spans="2:29">
      <c r="B98" s="4">
        <v>95</v>
      </c>
      <c r="C98" s="11" t="s">
        <v>60</v>
      </c>
      <c r="D98" s="21"/>
      <c r="E98" s="21"/>
      <c r="F98" s="21"/>
      <c r="G98" s="21"/>
      <c r="H98" s="21">
        <v>8</v>
      </c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9">
        <v>3</v>
      </c>
      <c r="X98" s="9">
        <v>4</v>
      </c>
      <c r="Y98" s="9">
        <v>5</v>
      </c>
      <c r="Z98" s="9">
        <v>7</v>
      </c>
      <c r="AA98" s="14">
        <f>SUM(Z98, AVERAGE(9, W98))/1.5-0.67</f>
        <v>7.9966666666666661</v>
      </c>
      <c r="AB98" s="14">
        <f>SUM(X98, AA98, AVERAGE(Y98, W98))/2.25</f>
        <v>7.1096296296296293</v>
      </c>
      <c r="AC98" s="23">
        <f>SUM(AVERAGE(Y98, W98), AVERAGE(Y98, 8))/1.5</f>
        <v>7</v>
      </c>
    </row>
    <row r="99" spans="2:29">
      <c r="B99" s="4">
        <v>96</v>
      </c>
      <c r="C99" s="11" t="s">
        <v>35</v>
      </c>
      <c r="D99" s="21"/>
      <c r="E99" s="21"/>
      <c r="F99" s="21"/>
      <c r="G99" s="21"/>
      <c r="H99" s="21">
        <v>5</v>
      </c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9">
        <v>8</v>
      </c>
      <c r="X99" s="9">
        <v>3</v>
      </c>
      <c r="Y99" s="9">
        <v>5</v>
      </c>
      <c r="Z99" s="9">
        <v>0</v>
      </c>
      <c r="AA99" s="14">
        <f>SUM(Z99, AVERAGE(5, W99))/1.5-0.67</f>
        <v>3.6633333333333331</v>
      </c>
      <c r="AB99" s="14">
        <f>SUM(X99, AA99, AVERAGE(Y99, W99))/2.25</f>
        <v>5.8503703703703707</v>
      </c>
      <c r="AC99" s="23">
        <f>SUM(AVERAGE(Y99, W99), AVERAGE(Y99, 5))/1.5</f>
        <v>7.666666666666667</v>
      </c>
    </row>
    <row r="100" spans="2:29">
      <c r="B100" s="4">
        <v>97</v>
      </c>
      <c r="C100" s="11" t="s">
        <v>59</v>
      </c>
      <c r="D100" s="21"/>
      <c r="E100" s="21"/>
      <c r="F100" s="21"/>
      <c r="G100" s="21"/>
      <c r="H100" s="21">
        <v>7</v>
      </c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9">
        <v>5</v>
      </c>
      <c r="X100" s="9">
        <v>2</v>
      </c>
      <c r="Y100" s="9">
        <v>4</v>
      </c>
      <c r="Z100" s="9">
        <v>3</v>
      </c>
      <c r="AA100" s="14">
        <f>SUM(Z100, AVERAGE(9, W100))/1.5-0.67</f>
        <v>5.996666666666667</v>
      </c>
      <c r="AB100" s="14">
        <f>SUM(X100, AA100, AVERAGE(Y100, W100))/2.25</f>
        <v>5.5540740740740739</v>
      </c>
      <c r="AC100" s="23">
        <f>SUM(AVERAGE(Y100, W100), AVERAGE(Y100, 7))/1.5</f>
        <v>6.666666666666667</v>
      </c>
    </row>
    <row r="101" spans="2:29">
      <c r="B101" s="4">
        <v>98</v>
      </c>
      <c r="C101" s="11" t="s">
        <v>85</v>
      </c>
      <c r="D101" s="21"/>
      <c r="E101" s="21"/>
      <c r="F101" s="21"/>
      <c r="G101" s="21"/>
      <c r="H101" s="21">
        <v>9</v>
      </c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9">
        <v>3</v>
      </c>
      <c r="X101" s="9">
        <v>9</v>
      </c>
      <c r="Y101" s="9">
        <v>6</v>
      </c>
      <c r="Z101" s="9">
        <v>0</v>
      </c>
      <c r="AA101" s="14">
        <f>SUM(Z101, AVERAGE(5, W101))/1.5-0.67</f>
        <v>1.9966666666666666</v>
      </c>
      <c r="AB101" s="14">
        <f>SUM(X101, AA101, AVERAGE(Y101, W101))/2.25</f>
        <v>6.887407407407407</v>
      </c>
      <c r="AC101" s="23">
        <f>SUM(AVERAGE(Y101, W101), AVERAGE(Y101, 9))/1.5</f>
        <v>8</v>
      </c>
    </row>
    <row r="102" spans="2:29">
      <c r="B102" s="4">
        <v>99</v>
      </c>
      <c r="C102" s="11" t="s">
        <v>58</v>
      </c>
      <c r="D102" s="21"/>
      <c r="E102" s="21"/>
      <c r="F102" s="21"/>
      <c r="G102" s="21"/>
      <c r="H102" s="21">
        <v>8</v>
      </c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9">
        <v>5</v>
      </c>
      <c r="X102" s="9">
        <v>4</v>
      </c>
      <c r="Y102" s="9">
        <v>6</v>
      </c>
      <c r="Z102" s="9">
        <v>8</v>
      </c>
      <c r="AA102" s="14">
        <f>SUM(Z102, AVERAGE(9, W102))/1.5-0.67</f>
        <v>9.33</v>
      </c>
      <c r="AB102" s="14">
        <f>SUM(X102, AA102, AVERAGE(Y102, W102))/2.25</f>
        <v>8.3688888888888879</v>
      </c>
      <c r="AC102" s="23">
        <f>SUM(AVERAGE(Y102, W102), AVERAGE(Y102, 8))/1.5</f>
        <v>8.3333333333333339</v>
      </c>
    </row>
    <row r="103" spans="2:29">
      <c r="B103" s="4">
        <v>100</v>
      </c>
      <c r="C103" s="11" t="s">
        <v>122</v>
      </c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9"/>
      <c r="X103" s="9"/>
      <c r="Y103" s="9"/>
      <c r="Z103" s="9"/>
      <c r="AA103" s="14" t="e">
        <f ca="1">SUM(Z103, AVERAGE(x, W103))</f>
        <v>#NAME?</v>
      </c>
      <c r="AB103" s="14" t="e">
        <f ca="1">((X103 + AVERAGE(AA103, W103))/1.5)-5</f>
        <v>#NAME?</v>
      </c>
      <c r="AC103" s="9" t="s">
        <v>123</v>
      </c>
    </row>
    <row r="104" spans="2:29">
      <c r="B104" s="4"/>
      <c r="C104" s="1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9"/>
      <c r="X104" s="9"/>
      <c r="Y104" s="9"/>
      <c r="Z104" s="9"/>
      <c r="AA104" s="14"/>
      <c r="AB104" s="14"/>
      <c r="AC104" s="9"/>
    </row>
    <row r="105" spans="2:29">
      <c r="B105" s="4"/>
      <c r="C105" s="1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9"/>
      <c r="X105" s="9"/>
      <c r="Y105" s="9"/>
      <c r="Z105" s="9"/>
      <c r="AA105" s="14"/>
      <c r="AB105" s="14"/>
      <c r="AC105" s="9"/>
    </row>
    <row r="106" spans="2:29">
      <c r="B106" s="4"/>
      <c r="C106" s="1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9"/>
      <c r="X106" s="9"/>
      <c r="Y106" s="9"/>
      <c r="Z106" s="9"/>
      <c r="AA106" s="14"/>
      <c r="AB106" s="14"/>
      <c r="AC106" s="9"/>
    </row>
    <row r="107" spans="2:29">
      <c r="B107" s="4"/>
      <c r="C107" s="1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9"/>
      <c r="X107" s="9"/>
      <c r="Y107" s="9"/>
      <c r="Z107" s="9"/>
      <c r="AA107" s="14"/>
      <c r="AB107" s="14"/>
      <c r="AC107" s="9"/>
    </row>
    <row r="108" spans="2:29">
      <c r="B108" s="4"/>
      <c r="C108" s="1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9"/>
      <c r="X108" s="9"/>
      <c r="Y108" s="9"/>
      <c r="Z108" s="9"/>
      <c r="AA108" s="14"/>
      <c r="AB108" s="14"/>
      <c r="AC108" s="9"/>
    </row>
    <row r="109" spans="2:29">
      <c r="B109" s="4"/>
      <c r="C109" s="1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9"/>
      <c r="X109" s="9"/>
      <c r="Y109" s="9"/>
      <c r="Z109" s="9"/>
      <c r="AA109" s="14"/>
      <c r="AB109" s="14"/>
      <c r="AC109" s="9"/>
    </row>
    <row r="110" spans="2:29">
      <c r="B110" s="4"/>
      <c r="C110" s="1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9"/>
      <c r="X110" s="9"/>
      <c r="Y110" s="9"/>
      <c r="Z110" s="9"/>
      <c r="AA110" s="14"/>
      <c r="AB110" s="14"/>
      <c r="AC110" s="9"/>
    </row>
    <row r="114" spans="2:84" s="28" customFormat="1">
      <c r="B114" s="2" t="s">
        <v>111</v>
      </c>
      <c r="C114" s="7" t="s">
        <v>0</v>
      </c>
      <c r="D114" s="53" t="s">
        <v>124</v>
      </c>
      <c r="E114" s="53" t="s">
        <v>125</v>
      </c>
      <c r="F114" s="53" t="s">
        <v>126</v>
      </c>
      <c r="G114" s="53" t="s">
        <v>127</v>
      </c>
      <c r="H114" s="53" t="s">
        <v>128</v>
      </c>
      <c r="I114" s="53" t="s">
        <v>129</v>
      </c>
      <c r="J114" s="53" t="s">
        <v>130</v>
      </c>
      <c r="K114" s="53" t="s">
        <v>131</v>
      </c>
      <c r="L114" s="53" t="s">
        <v>132</v>
      </c>
      <c r="M114" s="53" t="s">
        <v>133</v>
      </c>
      <c r="N114" s="53" t="s">
        <v>134</v>
      </c>
      <c r="O114" s="53" t="s">
        <v>135</v>
      </c>
      <c r="P114" s="53" t="s">
        <v>136</v>
      </c>
      <c r="Q114" s="53" t="s">
        <v>137</v>
      </c>
      <c r="R114" s="26" t="s">
        <v>115</v>
      </c>
      <c r="S114" s="26" t="s">
        <v>116</v>
      </c>
      <c r="T114" s="26" t="s">
        <v>121</v>
      </c>
      <c r="U114" s="26" t="s">
        <v>138</v>
      </c>
      <c r="V114" s="26" t="s">
        <v>139</v>
      </c>
      <c r="W114" s="26" t="s">
        <v>140</v>
      </c>
      <c r="X114" s="26" t="s">
        <v>141</v>
      </c>
      <c r="Y114" s="26" t="s">
        <v>142</v>
      </c>
      <c r="Z114" s="26" t="s">
        <v>143</v>
      </c>
      <c r="AA114" s="26" t="s">
        <v>144</v>
      </c>
      <c r="AB114" s="26" t="s">
        <v>145</v>
      </c>
      <c r="AC114" s="20" t="s">
        <v>146</v>
      </c>
      <c r="AD114" s="20" t="s">
        <v>147</v>
      </c>
      <c r="AE114" s="26" t="s">
        <v>118</v>
      </c>
      <c r="AF114" s="20" t="s">
        <v>148</v>
      </c>
      <c r="AG114" s="20" t="s">
        <v>149</v>
      </c>
      <c r="AH114" s="20" t="s">
        <v>150</v>
      </c>
      <c r="AI114" s="20" t="s">
        <v>151</v>
      </c>
      <c r="AJ114" s="20" t="s">
        <v>114</v>
      </c>
      <c r="AK114" s="20" t="s">
        <v>152</v>
      </c>
      <c r="AL114" s="20" t="s">
        <v>153</v>
      </c>
      <c r="AM114" s="20" t="s">
        <v>154</v>
      </c>
      <c r="AN114" s="20" t="s">
        <v>155</v>
      </c>
      <c r="AO114" s="43" t="s">
        <v>156</v>
      </c>
      <c r="AP114" s="43" t="s">
        <v>157</v>
      </c>
      <c r="AQ114" s="7" t="s">
        <v>158</v>
      </c>
      <c r="AR114" s="43" t="s">
        <v>159</v>
      </c>
      <c r="AS114" s="43" t="s">
        <v>160</v>
      </c>
      <c r="AT114" s="43" t="s">
        <v>161</v>
      </c>
      <c r="AU114" s="43" t="s">
        <v>162</v>
      </c>
      <c r="AV114" s="43" t="s">
        <v>163</v>
      </c>
      <c r="AW114" s="49" t="s">
        <v>164</v>
      </c>
      <c r="AX114" s="43" t="s">
        <v>165</v>
      </c>
      <c r="AY114" s="43" t="s">
        <v>166</v>
      </c>
      <c r="AZ114" s="7" t="s">
        <v>167</v>
      </c>
      <c r="BA114" s="7" t="s">
        <v>168</v>
      </c>
      <c r="BB114" s="43" t="s">
        <v>169</v>
      </c>
      <c r="BC114" s="43" t="s">
        <v>170</v>
      </c>
      <c r="BD114" s="7" t="s">
        <v>171</v>
      </c>
      <c r="BE114" s="43" t="s">
        <v>172</v>
      </c>
      <c r="BF114" s="45" t="s">
        <v>173</v>
      </c>
      <c r="BG114" s="25" t="s">
        <v>174</v>
      </c>
      <c r="BH114" s="25" t="s">
        <v>175</v>
      </c>
      <c r="BI114" s="25" t="s">
        <v>176</v>
      </c>
      <c r="BJ114" s="25" t="s">
        <v>177</v>
      </c>
      <c r="BK114" s="25" t="s">
        <v>178</v>
      </c>
      <c r="BL114" s="25" t="s">
        <v>179</v>
      </c>
      <c r="BM114" s="25" t="s">
        <v>180</v>
      </c>
      <c r="BN114" s="2" t="s">
        <v>181</v>
      </c>
      <c r="BO114" s="25" t="s">
        <v>182</v>
      </c>
      <c r="BP114" s="25" t="s">
        <v>183</v>
      </c>
      <c r="BQ114" s="25" t="s">
        <v>184</v>
      </c>
      <c r="BR114" s="25" t="s">
        <v>185</v>
      </c>
      <c r="BS114" s="2" t="s">
        <v>181</v>
      </c>
      <c r="BT114" s="25" t="s">
        <v>186</v>
      </c>
      <c r="BU114" s="25" t="s">
        <v>187</v>
      </c>
      <c r="BV114" s="25" t="s">
        <v>188</v>
      </c>
      <c r="BW114" s="25" t="s">
        <v>189</v>
      </c>
      <c r="BX114" s="2" t="s">
        <v>181</v>
      </c>
      <c r="BY114" s="13" t="s">
        <v>119</v>
      </c>
      <c r="BZ114" s="25" t="s">
        <v>190</v>
      </c>
      <c r="CA114" s="8" t="s">
        <v>191</v>
      </c>
      <c r="CB114" s="40" t="s">
        <v>192</v>
      </c>
      <c r="CC114" s="40" t="s">
        <v>193</v>
      </c>
      <c r="CD114" s="8" t="s">
        <v>194</v>
      </c>
      <c r="CE114" s="8" t="s">
        <v>195</v>
      </c>
      <c r="CF114" s="2" t="s">
        <v>181</v>
      </c>
    </row>
    <row r="115" spans="2:84" s="35" customFormat="1">
      <c r="B115" s="29">
        <v>28</v>
      </c>
      <c r="C115" s="30" t="s">
        <v>78</v>
      </c>
      <c r="D115" s="54">
        <v>5</v>
      </c>
      <c r="E115" s="54">
        <v>1600</v>
      </c>
      <c r="F115" s="54">
        <v>2.5</v>
      </c>
      <c r="G115" s="54">
        <v>3</v>
      </c>
      <c r="H115" s="54">
        <v>3</v>
      </c>
      <c r="I115" s="54">
        <v>2.5</v>
      </c>
      <c r="J115" s="54">
        <v>1.5</v>
      </c>
      <c r="K115" s="54">
        <v>0.5</v>
      </c>
      <c r="L115" s="54">
        <v>1</v>
      </c>
      <c r="M115" s="54">
        <v>3600</v>
      </c>
      <c r="N115" s="54">
        <v>3600</v>
      </c>
      <c r="O115" s="54">
        <v>3600</v>
      </c>
      <c r="P115" s="54">
        <v>3600</v>
      </c>
      <c r="Q115" s="55">
        <v>1800</v>
      </c>
      <c r="R115" s="32">
        <f>5000/1400</f>
        <v>3.5714285714285716</v>
      </c>
      <c r="S115" s="33">
        <v>10</v>
      </c>
      <c r="T115" s="34">
        <v>0</v>
      </c>
      <c r="U115" s="34">
        <v>2</v>
      </c>
      <c r="V115" s="34">
        <v>1</v>
      </c>
      <c r="W115" s="34">
        <v>0</v>
      </c>
      <c r="X115" s="34">
        <v>1</v>
      </c>
      <c r="Y115" s="34">
        <v>0</v>
      </c>
      <c r="Z115" s="34">
        <v>6</v>
      </c>
      <c r="AA115" s="34">
        <v>1</v>
      </c>
      <c r="AB115" s="34">
        <v>1</v>
      </c>
      <c r="AC115" s="31">
        <v>5</v>
      </c>
      <c r="AD115" s="31">
        <v>0</v>
      </c>
      <c r="AE115" s="27">
        <f>(BA115/5+1)*AD115</f>
        <v>0</v>
      </c>
      <c r="AF115" s="31">
        <v>0</v>
      </c>
      <c r="AG115" s="31">
        <v>0</v>
      </c>
      <c r="AH115" s="31">
        <v>0</v>
      </c>
      <c r="AI115" s="31">
        <v>0</v>
      </c>
      <c r="AJ115" s="31">
        <v>0</v>
      </c>
      <c r="AK115" s="31">
        <v>0</v>
      </c>
      <c r="AL115" s="31">
        <v>0</v>
      </c>
      <c r="AM115" s="31">
        <v>0</v>
      </c>
      <c r="AN115" s="31">
        <v>0</v>
      </c>
      <c r="AO115" s="44">
        <v>0</v>
      </c>
      <c r="AP115" s="44">
        <v>0</v>
      </c>
      <c r="AQ115" s="51">
        <v>0</v>
      </c>
      <c r="AR115" s="44">
        <v>0</v>
      </c>
      <c r="AS115" s="44">
        <v>0</v>
      </c>
      <c r="AT115" s="44">
        <v>0</v>
      </c>
      <c r="AU115" s="44">
        <v>0</v>
      </c>
      <c r="AV115" s="44">
        <v>0</v>
      </c>
      <c r="AW115" s="50">
        <v>0</v>
      </c>
      <c r="AX115" s="44">
        <v>0</v>
      </c>
      <c r="AY115" s="44">
        <v>0</v>
      </c>
      <c r="AZ115" s="51">
        <v>0</v>
      </c>
      <c r="BA115" s="51">
        <v>1</v>
      </c>
      <c r="BB115" s="44">
        <v>0</v>
      </c>
      <c r="BC115" s="44">
        <v>1</v>
      </c>
      <c r="BD115" s="51">
        <v>3</v>
      </c>
      <c r="BE115" s="44">
        <v>0</v>
      </c>
      <c r="BF115" s="46">
        <f>(G115*F115*E115)+M115</f>
        <v>15600</v>
      </c>
      <c r="BG115" s="36">
        <f>(G115*F115*E115)+N115</f>
        <v>15600</v>
      </c>
      <c r="BH115" s="36">
        <f>(G115*F115*E115)+O115</f>
        <v>15600</v>
      </c>
      <c r="BI115" s="36">
        <f>(G115*F115*E115)+P115</f>
        <v>15600</v>
      </c>
      <c r="BJ115" s="36">
        <f>((H115*F115*E115)+(((F115*H115+L115)/D115)*M115))/(1.25-((H115-G115)/4))</f>
        <v>14496</v>
      </c>
      <c r="BK115" s="36">
        <f>((I115*F115*E115)+(((F115*I115+L115)/D115)*(N115-Q115)))/(1.25-((I115-G115)/4))</f>
        <v>9170.9090909090901</v>
      </c>
      <c r="BL115" s="36">
        <f>((J115*F115*E115)+(((F115*J115+L115)/D115)*(O115-Q115)))/(1.25-((J115-G115)/4))</f>
        <v>4744.6153846153848</v>
      </c>
      <c r="BM115" s="36">
        <f>((K115*F115*E115)+(((F115*K115+L115)/D115)*(P115-Q115)))/(1.25-((K115-G115)/4))</f>
        <v>1498.6666666666667</v>
      </c>
      <c r="BN115" s="39"/>
      <c r="BO115" s="36">
        <f>((BJ115/2)*R115)/2</f>
        <v>12942.857142857143</v>
      </c>
      <c r="BP115" s="36">
        <f>((BK115)*(R115/2))/2</f>
        <v>8188.3116883116882</v>
      </c>
      <c r="BQ115" s="36">
        <f>((BL115*1.5)*(R115/3))/2</f>
        <v>4236.2637362637361</v>
      </c>
      <c r="BR115" s="36">
        <f>((BM115*2)*(S115/4))/2</f>
        <v>3746.666666666667</v>
      </c>
      <c r="BS115" s="39"/>
      <c r="BT115" s="36">
        <f>(AE115*BO115)/2</f>
        <v>0</v>
      </c>
      <c r="BU115" s="36">
        <f>(AE115*BP115)/2</f>
        <v>0</v>
      </c>
      <c r="BV115" s="36">
        <f>(AE115*BQ115)/2</f>
        <v>0</v>
      </c>
      <c r="BW115" s="36">
        <f>(AE115*BR115)/2</f>
        <v>0</v>
      </c>
      <c r="BX115" s="39"/>
      <c r="BY115" s="14">
        <f>SUM(AE115*4, AC115*2, R115*2)/6-0.67</f>
        <v>2.1871428571428573</v>
      </c>
      <c r="BZ115" s="42">
        <f>SUM(AVERAGE(U115, (AVERAGE(BO115, BP115)/4000))*4, R115*4, S115*2)/7.5-0.67</f>
        <v>5.1391341991341983</v>
      </c>
      <c r="CA115" s="47">
        <f>SUM(W115*3, AVERAGE(BO115, BP115, BQ115, BR115)/3000)/3</f>
        <v>0.80872497872497873</v>
      </c>
      <c r="CB115" s="48">
        <f>IF(V115&lt;6, V115*Q115/2000, IF(V115&lt;7, V115*(AVERAGE(BJ115, BK115, BL115, BM115)/2000), V115*(AVERAGE(BJ115, BK115, BL115, BM115)/2000)*(Q115/2000)))/((10-S115+2)/4)</f>
        <v>1.8</v>
      </c>
      <c r="CC115" s="41">
        <f>SUM(AF115*4, AI115*2/(AH115+1), AG115*4)/7.5</f>
        <v>0</v>
      </c>
      <c r="CD115" s="14">
        <f>SUM(AI115*3, AJ115*2, AK115*2, AL115*2, AF115*3)/8</f>
        <v>0</v>
      </c>
      <c r="CE115" s="14">
        <f>SUM(U115*2, BA115*1, AN115*3)/4.5</f>
        <v>1.1111111111111112</v>
      </c>
      <c r="CF115" s="39"/>
    </row>
    <row r="116" spans="2:84" s="35" customFormat="1">
      <c r="B116" s="29">
        <v>44</v>
      </c>
      <c r="C116" s="30" t="s">
        <v>10</v>
      </c>
      <c r="D116" s="54">
        <v>3</v>
      </c>
      <c r="E116" s="54">
        <v>4000</v>
      </c>
      <c r="F116" s="54">
        <v>1.65</v>
      </c>
      <c r="G116" s="54">
        <v>1</v>
      </c>
      <c r="H116" s="54">
        <v>1</v>
      </c>
      <c r="I116" s="54">
        <v>0.7</v>
      </c>
      <c r="J116" s="54">
        <v>0.4</v>
      </c>
      <c r="K116" s="54">
        <v>0.2</v>
      </c>
      <c r="L116" s="54">
        <v>0</v>
      </c>
      <c r="M116" s="54">
        <v>2000</v>
      </c>
      <c r="N116" s="54">
        <v>2000</v>
      </c>
      <c r="O116" s="54">
        <v>2000</v>
      </c>
      <c r="P116" s="54">
        <v>2000</v>
      </c>
      <c r="Q116" s="55">
        <v>1000</v>
      </c>
      <c r="R116" s="32">
        <f>6200/1400</f>
        <v>4.4285714285714288</v>
      </c>
      <c r="S116" s="33">
        <v>9</v>
      </c>
      <c r="T116" s="34">
        <v>0</v>
      </c>
      <c r="U116" s="34">
        <v>0</v>
      </c>
      <c r="V116" s="34">
        <v>0</v>
      </c>
      <c r="W116" s="34">
        <f>(3 + 2 + 8 + 0)/4</f>
        <v>3.25</v>
      </c>
      <c r="X116" s="34">
        <v>0</v>
      </c>
      <c r="Y116" s="34">
        <v>1</v>
      </c>
      <c r="Z116" s="34">
        <v>7</v>
      </c>
      <c r="AA116" s="34">
        <v>0</v>
      </c>
      <c r="AB116" s="34">
        <v>0</v>
      </c>
      <c r="AC116" s="31">
        <v>9</v>
      </c>
      <c r="AD116" s="31">
        <v>0</v>
      </c>
      <c r="AE116" s="27">
        <f>(BA116/5+1)*AD116</f>
        <v>0</v>
      </c>
      <c r="AF116" s="31">
        <v>0</v>
      </c>
      <c r="AG116" s="31">
        <v>0</v>
      </c>
      <c r="AH116" s="31">
        <v>0</v>
      </c>
      <c r="AI116" s="31">
        <v>0</v>
      </c>
      <c r="AJ116" s="31">
        <v>0</v>
      </c>
      <c r="AK116" s="31">
        <v>0</v>
      </c>
      <c r="AL116" s="31">
        <v>0</v>
      </c>
      <c r="AM116" s="31">
        <v>0</v>
      </c>
      <c r="AN116" s="31">
        <v>0</v>
      </c>
      <c r="AO116" s="44">
        <v>0</v>
      </c>
      <c r="AP116" s="44">
        <v>0</v>
      </c>
      <c r="AQ116" s="51">
        <v>0</v>
      </c>
      <c r="AR116" s="44">
        <v>0</v>
      </c>
      <c r="AS116" s="44">
        <v>0</v>
      </c>
      <c r="AT116" s="44">
        <v>0</v>
      </c>
      <c r="AU116" s="44">
        <v>0</v>
      </c>
      <c r="AV116" s="44">
        <v>0</v>
      </c>
      <c r="AW116" s="50">
        <v>0</v>
      </c>
      <c r="AX116" s="44">
        <v>0</v>
      </c>
      <c r="AY116" s="44">
        <v>0</v>
      </c>
      <c r="AZ116" s="51">
        <v>0</v>
      </c>
      <c r="BA116" s="51">
        <v>0</v>
      </c>
      <c r="BB116" s="44">
        <v>0</v>
      </c>
      <c r="BC116" s="44">
        <v>0</v>
      </c>
      <c r="BD116" s="51">
        <v>5</v>
      </c>
      <c r="BE116" s="44">
        <v>0</v>
      </c>
      <c r="BF116" s="46">
        <f>(G116*F116*E116)+M116</f>
        <v>8600</v>
      </c>
      <c r="BG116" s="36">
        <f>(G116*F116*E116)+N116</f>
        <v>8600</v>
      </c>
      <c r="BH116" s="36">
        <f>(G116*F116*E116)+O116</f>
        <v>8600</v>
      </c>
      <c r="BI116" s="36">
        <f>(G116*F116*E116)+P116</f>
        <v>8600</v>
      </c>
      <c r="BJ116" s="36">
        <f>((H116*F116*E116)+(((F116*H116+L116)/D116)*M116))/(1.25-((H116-G116)/4))</f>
        <v>6160</v>
      </c>
      <c r="BK116" s="36">
        <f>((I116*F116*E116)+(((F116*I116+L116)/D116)*(N116-Q116)))/(1.25-((I116-G116)/4))</f>
        <v>3777.3584905660373</v>
      </c>
      <c r="BL116" s="36">
        <f>((J116*F116*E116)+(((F116*J116+L116)/D116)*(O116-Q116)))/(1.25-((J116-G116)/4))</f>
        <v>2042.8571428571429</v>
      </c>
      <c r="BM116" s="36">
        <f>((K116*F116*E116)+(((F116*K116+L116)/D116)*(P116-Q116)))/(1.25-((K116-G116)/4))</f>
        <v>986.20689655172418</v>
      </c>
      <c r="BN116" s="39"/>
      <c r="BO116" s="36">
        <f>((BJ116/2)*R116)/2</f>
        <v>6820</v>
      </c>
      <c r="BP116" s="36">
        <f>((BK116)*(R116/2))/2</f>
        <v>4182.0754716981128</v>
      </c>
      <c r="BQ116" s="36">
        <f>((BL116*1.5)*(R116/3))/2</f>
        <v>2261.7346938775513</v>
      </c>
      <c r="BR116" s="36">
        <f>((BM116*2)*(S116/4))/2</f>
        <v>2218.9655172413795</v>
      </c>
      <c r="BS116" s="39"/>
      <c r="BT116" s="36">
        <f>(AE116*BO116)/2</f>
        <v>0</v>
      </c>
      <c r="BU116" s="36">
        <f>(AE116*BP116)/2</f>
        <v>0</v>
      </c>
      <c r="BV116" s="36">
        <f>(AE116*BQ116)/2</f>
        <v>0</v>
      </c>
      <c r="BW116" s="36">
        <f>(AE116*BR116)/2</f>
        <v>0</v>
      </c>
      <c r="BX116" s="39"/>
      <c r="BY116" s="14">
        <f>SUM(AE116*4, AC116*2, R116*2)/6-0.67</f>
        <v>3.8061904761904763</v>
      </c>
      <c r="BZ116" s="42">
        <f>SUM(AVERAGE(U116, (AVERAGE(BO116, BP116)/4000))*4, R116*4, S116*2)/7.5-0.67</f>
        <v>4.4586406109613659</v>
      </c>
      <c r="CA116" s="47">
        <f>SUM(W116*3, AVERAGE(BO116, BP116, BQ116, BR116)/3000)/3</f>
        <v>3.6800771023004732</v>
      </c>
      <c r="CB116" s="48">
        <f>IF(V116&lt;6, V116*Q116/2000, IF(V116&lt;7, V116*(AVERAGE(BJ116, BK116, BL116, BM116)/2000), V116*(AVERAGE(BJ116, BK116, BL116, BM116)/2000)*(Q116/2000)))/((10-S116+2)/4)</f>
        <v>0</v>
      </c>
      <c r="CC116" s="41">
        <f>SUM(AF116*4, AI116*2/(AH116+1), AG116*4)/7.5</f>
        <v>0</v>
      </c>
      <c r="CD116" s="14">
        <f>SUM(AI116*3, AJ116*2, AK116*2, AL116*2, AF116*3)/8</f>
        <v>0</v>
      </c>
      <c r="CE116" s="14">
        <f>SUM(U116*2, BA116*1, AN116*3)/4.5</f>
        <v>0</v>
      </c>
      <c r="CF116" s="39"/>
    </row>
    <row r="117" spans="2:84" s="35" customFormat="1">
      <c r="B117" s="29">
        <v>14</v>
      </c>
      <c r="C117" s="37" t="s">
        <v>88</v>
      </c>
      <c r="D117" s="54">
        <v>16</v>
      </c>
      <c r="E117" s="54">
        <v>600</v>
      </c>
      <c r="F117" s="54">
        <v>3.3</v>
      </c>
      <c r="G117" s="54">
        <v>5</v>
      </c>
      <c r="H117" s="54">
        <v>5</v>
      </c>
      <c r="I117" s="54">
        <v>4</v>
      </c>
      <c r="J117" s="54">
        <v>2.5</v>
      </c>
      <c r="K117" s="54">
        <v>1.5</v>
      </c>
      <c r="L117" s="54">
        <v>10</v>
      </c>
      <c r="M117" s="54">
        <v>8640</v>
      </c>
      <c r="N117" s="54">
        <v>8640</v>
      </c>
      <c r="O117" s="54">
        <v>8640</v>
      </c>
      <c r="P117" s="54">
        <v>8640</v>
      </c>
      <c r="Q117" s="54">
        <v>4320</v>
      </c>
      <c r="R117" s="32">
        <f>6000/1400</f>
        <v>4.2857142857142856</v>
      </c>
      <c r="S117" s="33">
        <v>8</v>
      </c>
      <c r="T117" s="34">
        <v>0</v>
      </c>
      <c r="U117" s="34">
        <v>3</v>
      </c>
      <c r="V117" s="34">
        <v>0</v>
      </c>
      <c r="W117" s="34">
        <v>0</v>
      </c>
      <c r="X117" s="34">
        <v>0</v>
      </c>
      <c r="Y117" s="34">
        <v>0</v>
      </c>
      <c r="Z117" s="34">
        <v>6</v>
      </c>
      <c r="AA117" s="34">
        <v>0</v>
      </c>
      <c r="AB117" s="34">
        <v>0</v>
      </c>
      <c r="AC117" s="38">
        <v>5</v>
      </c>
      <c r="AD117" s="38">
        <v>0</v>
      </c>
      <c r="AE117" s="27">
        <f>(BA117/5+1)*AD117</f>
        <v>0</v>
      </c>
      <c r="AF117" s="38">
        <v>0</v>
      </c>
      <c r="AG117" s="38">
        <v>0</v>
      </c>
      <c r="AH117" s="38">
        <v>0</v>
      </c>
      <c r="AI117" s="38">
        <v>0</v>
      </c>
      <c r="AJ117" s="38">
        <v>0</v>
      </c>
      <c r="AK117" s="38">
        <v>0</v>
      </c>
      <c r="AL117" s="38">
        <v>0</v>
      </c>
      <c r="AM117" s="38">
        <v>0</v>
      </c>
      <c r="AN117" s="38">
        <v>3</v>
      </c>
      <c r="AO117" s="44">
        <v>0</v>
      </c>
      <c r="AP117" s="44">
        <v>0</v>
      </c>
      <c r="AQ117" s="51">
        <v>0</v>
      </c>
      <c r="AR117" s="44">
        <v>0</v>
      </c>
      <c r="AS117" s="44">
        <v>0</v>
      </c>
      <c r="AT117" s="44">
        <v>0</v>
      </c>
      <c r="AU117" s="44">
        <v>0</v>
      </c>
      <c r="AV117" s="44">
        <v>0</v>
      </c>
      <c r="AW117" s="50">
        <v>0</v>
      </c>
      <c r="AX117" s="44">
        <v>0</v>
      </c>
      <c r="AY117" s="44">
        <v>0</v>
      </c>
      <c r="AZ117" s="51">
        <v>0</v>
      </c>
      <c r="BA117" s="52">
        <v>0</v>
      </c>
      <c r="BB117" s="44">
        <v>0</v>
      </c>
      <c r="BC117" s="44">
        <v>0</v>
      </c>
      <c r="BD117" s="51">
        <v>6</v>
      </c>
      <c r="BE117" s="44">
        <v>0</v>
      </c>
      <c r="BF117" s="46">
        <f>(G117*F117*E117)+M117</f>
        <v>18540</v>
      </c>
      <c r="BG117" s="36">
        <f>(G117*F117*E117)+N117</f>
        <v>18540</v>
      </c>
      <c r="BH117" s="36">
        <f>(G117*F117*E117)+O117</f>
        <v>18540</v>
      </c>
      <c r="BI117" s="36">
        <f>(G117*F117*E117)+P117</f>
        <v>18540</v>
      </c>
      <c r="BJ117" s="36">
        <f>((H117*F117*E117)+(((F117*H117+L117)/D117)*M117))/(1.25-((H117-G117)/4))</f>
        <v>19368</v>
      </c>
      <c r="BK117" s="36">
        <f>((I117*F117*E117)+(((F117*I117+L117)/D117)*(N117-Q117)))/(1.25-((I117-G117)/4))</f>
        <v>9456</v>
      </c>
      <c r="BL117" s="36">
        <f>((J117*F117*E117)+(((F117*J117+L117)/D117)*(O117-Q117)))/(1.25-((J117-G117)/4))</f>
        <v>5268</v>
      </c>
      <c r="BM117" s="36">
        <f>((K117*F117*E117)+(((F117*K117+L117)/D117)*(P117-Q117)))/(1.25-((K117-G117)/4))</f>
        <v>3297.1764705882351</v>
      </c>
      <c r="BN117" s="39"/>
      <c r="BO117" s="36">
        <f>((BJ117/2)*R117)/2</f>
        <v>20751.428571428572</v>
      </c>
      <c r="BP117" s="36">
        <f>((BK117)*(R117/2))/2</f>
        <v>10131.428571428571</v>
      </c>
      <c r="BQ117" s="36">
        <f>((BL117*1.5)*(R117/3))/2</f>
        <v>5644.2857142857147</v>
      </c>
      <c r="BR117" s="36">
        <f>((BM117*2)*(S117/4))/2</f>
        <v>6594.3529411764703</v>
      </c>
      <c r="BS117" s="39"/>
      <c r="BT117" s="36">
        <f>(AE117*BO117)/2</f>
        <v>0</v>
      </c>
      <c r="BU117" s="36">
        <f>(AE117*BP117)/2</f>
        <v>0</v>
      </c>
      <c r="BV117" s="36">
        <f>(AE117*BQ117)/2</f>
        <v>0</v>
      </c>
      <c r="BW117" s="36">
        <f>(AE117*BR117)/2</f>
        <v>0</v>
      </c>
      <c r="BX117" s="39"/>
      <c r="BY117" s="14">
        <f>SUM(AE117*4, AC117*2, R117*2)/6-0.67</f>
        <v>2.425238095238095</v>
      </c>
      <c r="BZ117" s="42">
        <f>SUM(AVERAGE(U117, (AVERAGE(BO117, BP117)/4000))*4, R117*4, S117*2)/7.5-0.67</f>
        <v>5.5784761904761915</v>
      </c>
      <c r="CA117" s="47">
        <f>SUM(W117*3, AVERAGE(BO117, BP117, BQ117, BR117)/3000)/3</f>
        <v>1.1978193277310925</v>
      </c>
      <c r="CB117" s="48">
        <f>IF(V117&lt;6, V117*Q117/2000, IF(V117&lt;7, V117*(AVERAGE(BJ117, BK117, BL117, BM117)/2000), V117*(AVERAGE(BJ117, BK117, BL117, BM117)/2000)*(Q117/2000)))/((10-S117+2)/4)</f>
        <v>0</v>
      </c>
      <c r="CC117" s="41">
        <f>SUM(AF117*4, AI117*2/(AH117+1), AG117*4)/7.5</f>
        <v>0</v>
      </c>
      <c r="CD117" s="14">
        <f>SUM(AI117*3, AJ117*2, AK117*2, AL117*2, AF117*3)/8</f>
        <v>0</v>
      </c>
      <c r="CE117" s="14">
        <f>SUM(U117*2, BA117*1, AN117*3)/4.5</f>
        <v>3.3333333333333335</v>
      </c>
      <c r="CF117" s="39"/>
    </row>
    <row r="118" spans="2:84" s="35" customFormat="1">
      <c r="B118" s="29">
        <v>86</v>
      </c>
      <c r="C118" s="30" t="s">
        <v>96</v>
      </c>
      <c r="D118" s="54">
        <v>8</v>
      </c>
      <c r="E118" s="54">
        <v>980</v>
      </c>
      <c r="F118" s="54">
        <v>2.15</v>
      </c>
      <c r="G118" s="54">
        <v>3</v>
      </c>
      <c r="H118" s="54">
        <v>4</v>
      </c>
      <c r="I118" s="54">
        <v>2</v>
      </c>
      <c r="J118" s="54">
        <v>1.5</v>
      </c>
      <c r="K118" s="54">
        <v>0.5</v>
      </c>
      <c r="L118" s="54">
        <v>2.5</v>
      </c>
      <c r="M118" s="54">
        <v>4000</v>
      </c>
      <c r="N118" s="54">
        <v>4000</v>
      </c>
      <c r="O118" s="54">
        <v>4000</v>
      </c>
      <c r="P118" s="54">
        <v>4000</v>
      </c>
      <c r="Q118" s="55">
        <v>2000</v>
      </c>
      <c r="R118" s="32">
        <f>6000/1400</f>
        <v>4.2857142857142856</v>
      </c>
      <c r="S118" s="33">
        <v>7</v>
      </c>
      <c r="T118" s="34">
        <v>0</v>
      </c>
      <c r="U118" s="34">
        <v>4</v>
      </c>
      <c r="V118" s="34">
        <v>3</v>
      </c>
      <c r="W118" s="34">
        <f>(9 + 4 + 5 + 7)/4</f>
        <v>6.25</v>
      </c>
      <c r="X118" s="34">
        <v>0</v>
      </c>
      <c r="Y118" s="34">
        <v>0</v>
      </c>
      <c r="Z118" s="34">
        <v>6</v>
      </c>
      <c r="AA118" s="34">
        <v>0</v>
      </c>
      <c r="AB118" s="34">
        <v>0</v>
      </c>
      <c r="AC118" s="31">
        <v>5</v>
      </c>
      <c r="AD118" s="31">
        <v>0</v>
      </c>
      <c r="AE118" s="27">
        <f>(BA118/5+1)*AD118</f>
        <v>0</v>
      </c>
      <c r="AF118" s="31">
        <v>0</v>
      </c>
      <c r="AG118" s="31">
        <v>0</v>
      </c>
      <c r="AH118" s="31">
        <v>0</v>
      </c>
      <c r="AI118" s="31">
        <v>0</v>
      </c>
      <c r="AJ118" s="31">
        <v>0</v>
      </c>
      <c r="AK118" s="31">
        <v>0</v>
      </c>
      <c r="AL118" s="31">
        <v>0</v>
      </c>
      <c r="AM118" s="31">
        <v>0</v>
      </c>
      <c r="AN118" s="31">
        <v>4</v>
      </c>
      <c r="AO118" s="44">
        <v>0</v>
      </c>
      <c r="AP118" s="44">
        <v>0</v>
      </c>
      <c r="AQ118" s="51">
        <v>0</v>
      </c>
      <c r="AR118" s="44">
        <v>0</v>
      </c>
      <c r="AS118" s="44">
        <v>0</v>
      </c>
      <c r="AT118" s="44">
        <v>0</v>
      </c>
      <c r="AU118" s="44">
        <v>0</v>
      </c>
      <c r="AV118" s="44">
        <v>0</v>
      </c>
      <c r="AW118" s="50">
        <v>0</v>
      </c>
      <c r="AX118" s="44">
        <v>0</v>
      </c>
      <c r="AY118" s="44">
        <f>(5 + 5 + 10)/3</f>
        <v>6.666666666666667</v>
      </c>
      <c r="AZ118" s="51">
        <v>0</v>
      </c>
      <c r="BA118" s="51">
        <v>0</v>
      </c>
      <c r="BB118" s="44">
        <v>0</v>
      </c>
      <c r="BC118" s="44">
        <v>0</v>
      </c>
      <c r="BD118" s="51">
        <v>7</v>
      </c>
      <c r="BE118" s="44">
        <v>0</v>
      </c>
      <c r="BF118" s="46">
        <f>(G118*F118*E118)+M118</f>
        <v>10321</v>
      </c>
      <c r="BG118" s="36">
        <f>(G118*F118*E118)+N118</f>
        <v>10321</v>
      </c>
      <c r="BH118" s="36">
        <f>(G118*F118*E118)+O118</f>
        <v>10321</v>
      </c>
      <c r="BI118" s="36">
        <f>(G118*F118*E118)+P118</f>
        <v>10321</v>
      </c>
      <c r="BJ118" s="36">
        <f>((H118*F118*E118)+(((F118*H118+L118)/D118)*M118))/(1.25-((H118-G118)/4))</f>
        <v>13978</v>
      </c>
      <c r="BK118" s="36">
        <f>((I118*F118*E118)+(((F118*I118+L118)/D118)*(N118-Q118)))/(1.25-((I118-G118)/4))</f>
        <v>3942.6666666666665</v>
      </c>
      <c r="BL118" s="36">
        <f>((J118*F118*E118)+(((F118*J118+L118)/D118)*(O118-Q118)))/(1.25-((J118-G118)/4))</f>
        <v>2825.6923076923076</v>
      </c>
      <c r="BM118" s="36">
        <f>((K118*F118*E118)+(((F118*K118+L118)/D118)*(P118-Q118)))/(1.25-((K118-G118)/4))</f>
        <v>1038.5333333333333</v>
      </c>
      <c r="BN118" s="39"/>
      <c r="BO118" s="36">
        <f>((BJ118/2)*R118)/2</f>
        <v>14976.428571428571</v>
      </c>
      <c r="BP118" s="36">
        <f>((BK118)*(R118/2))/2</f>
        <v>4224.2857142857138</v>
      </c>
      <c r="BQ118" s="36">
        <f>((BL118*1.5)*(R118/3))/2</f>
        <v>3027.5274725274721</v>
      </c>
      <c r="BR118" s="36">
        <f>((BM118*2)*(S118/4))/2</f>
        <v>1817.4333333333334</v>
      </c>
      <c r="BS118" s="39"/>
      <c r="BT118" s="36">
        <f>(AE118*BO118)/2</f>
        <v>0</v>
      </c>
      <c r="BU118" s="36">
        <f>(AE118*BP118)/2</f>
        <v>0</v>
      </c>
      <c r="BV118" s="36">
        <f>(AE118*BQ118)/2</f>
        <v>0</v>
      </c>
      <c r="BW118" s="36">
        <f>(AE118*BR118)/2</f>
        <v>0</v>
      </c>
      <c r="BX118" s="39"/>
      <c r="BY118" s="14">
        <f>SUM(AE118*4, AC118*2, R118*2)/6-0.67</f>
        <v>2.425238095238095</v>
      </c>
      <c r="BZ118" s="42">
        <f>SUM(AVERAGE(U118, (AVERAGE(BO118, BP118)/4000))*4, R118*4, S118*2)/7.5-0.67</f>
        <v>5.1890714285714283</v>
      </c>
      <c r="CA118" s="47">
        <f>SUM(W118*3, AVERAGE(BO118, BP118, BQ118, BR118)/3000)/3</f>
        <v>6.9179354192104192</v>
      </c>
      <c r="CB118" s="48">
        <f>IF(V118&lt;6, V118*Q118/2000, IF(V118&lt;7, V118*(AVERAGE(BJ118, BK118, BL118, BM118)/2000), V118*(AVERAGE(BJ118, BK118, BL118, BM118)/2000)*(Q118/2000)))/((10-S118+2)/4)</f>
        <v>2.4</v>
      </c>
      <c r="CC118" s="41">
        <f>SUM(AF118*4, AI118*2/(AH118+1), AG118*4)/7.5</f>
        <v>0</v>
      </c>
      <c r="CD118" s="14">
        <f>SUM(AI118*3, AJ118*2, AK118*2, AL118*2, AF118*3)/8</f>
        <v>0</v>
      </c>
      <c r="CE118" s="14">
        <f>SUM(U118*2, BA118*1, AN118*3)/4.5</f>
        <v>4.4444444444444446</v>
      </c>
      <c r="CF118" s="39"/>
    </row>
    <row r="119" spans="2:84" s="35" customFormat="1">
      <c r="B119" s="29">
        <v>88</v>
      </c>
      <c r="C119" s="30" t="s">
        <v>62</v>
      </c>
      <c r="D119" s="54">
        <v>9</v>
      </c>
      <c r="E119" s="54">
        <v>960</v>
      </c>
      <c r="F119" s="54">
        <v>2.5</v>
      </c>
      <c r="G119" s="54">
        <v>4</v>
      </c>
      <c r="H119" s="54">
        <v>4</v>
      </c>
      <c r="I119" s="54">
        <v>3.2</v>
      </c>
      <c r="J119" s="54">
        <v>2.4</v>
      </c>
      <c r="K119" s="54">
        <v>1.6</v>
      </c>
      <c r="L119" s="54">
        <v>0</v>
      </c>
      <c r="M119" s="54">
        <v>0</v>
      </c>
      <c r="N119" s="54">
        <v>0</v>
      </c>
      <c r="O119" s="54">
        <v>0</v>
      </c>
      <c r="P119" s="54">
        <v>0</v>
      </c>
      <c r="Q119" s="55">
        <v>0</v>
      </c>
      <c r="R119" s="32">
        <f>6600/1400</f>
        <v>4.7142857142857144</v>
      </c>
      <c r="S119" s="33">
        <v>7</v>
      </c>
      <c r="T119" s="34">
        <f>(5 + 10 + 5)/3</f>
        <v>6.666666666666667</v>
      </c>
      <c r="U119" s="34">
        <v>3</v>
      </c>
      <c r="V119" s="34">
        <v>0</v>
      </c>
      <c r="W119" s="34">
        <v>0</v>
      </c>
      <c r="X119" s="34">
        <v>0</v>
      </c>
      <c r="Y119" s="34">
        <v>0</v>
      </c>
      <c r="Z119" s="34">
        <v>6</v>
      </c>
      <c r="AA119" s="34">
        <v>0</v>
      </c>
      <c r="AB119" s="34">
        <v>0</v>
      </c>
      <c r="AC119" s="31">
        <v>9</v>
      </c>
      <c r="AD119" s="31">
        <v>7</v>
      </c>
      <c r="AE119" s="27">
        <f>(BA119/5+1)*AD119</f>
        <v>7</v>
      </c>
      <c r="AF119" s="31">
        <v>0</v>
      </c>
      <c r="AG119" s="31">
        <v>0</v>
      </c>
      <c r="AH119" s="31">
        <v>0</v>
      </c>
      <c r="AI119" s="31">
        <v>0</v>
      </c>
      <c r="AJ119" s="31">
        <v>0</v>
      </c>
      <c r="AK119" s="31">
        <v>0</v>
      </c>
      <c r="AL119" s="31">
        <v>0</v>
      </c>
      <c r="AM119" s="31">
        <v>0</v>
      </c>
      <c r="AN119" s="31">
        <v>0</v>
      </c>
      <c r="AO119" s="44">
        <v>0</v>
      </c>
      <c r="AP119" s="44">
        <v>0</v>
      </c>
      <c r="AQ119" s="51">
        <v>0</v>
      </c>
      <c r="AR119" s="44">
        <v>0</v>
      </c>
      <c r="AS119" s="44">
        <v>0</v>
      </c>
      <c r="AT119" s="44">
        <v>0</v>
      </c>
      <c r="AU119" s="44">
        <v>0</v>
      </c>
      <c r="AV119" s="44">
        <v>0</v>
      </c>
      <c r="AW119" s="50">
        <v>0</v>
      </c>
      <c r="AX119" s="44">
        <v>0</v>
      </c>
      <c r="AY119" s="44">
        <v>0</v>
      </c>
      <c r="AZ119" s="51">
        <v>0</v>
      </c>
      <c r="BA119" s="51">
        <v>0</v>
      </c>
      <c r="BB119" s="44">
        <v>0</v>
      </c>
      <c r="BC119" s="44">
        <v>0</v>
      </c>
      <c r="BD119" s="51">
        <v>6</v>
      </c>
      <c r="BE119" s="44">
        <v>0</v>
      </c>
      <c r="BF119" s="46">
        <f>(G119*F119*E119)+M119</f>
        <v>9600</v>
      </c>
      <c r="BG119" s="36">
        <f>(G119*F119*E119)+N119</f>
        <v>9600</v>
      </c>
      <c r="BH119" s="36">
        <f>(G119*F119*E119)+O119</f>
        <v>9600</v>
      </c>
      <c r="BI119" s="36">
        <f>(G119*F119*E119)+P119</f>
        <v>9600</v>
      </c>
      <c r="BJ119" s="36">
        <f>((H119*F119*E119)+(((F119*H119+L119)/D119)*M119))/(1.25-((H119-G119)/4))</f>
        <v>7680</v>
      </c>
      <c r="BK119" s="36">
        <f>((I119*F119*E119)+(((F119*I119+L119)/D119)*(N119-Q119)))/(1.25-((I119-G119)/4))</f>
        <v>5296.5517241379312</v>
      </c>
      <c r="BL119" s="36">
        <f>((J119*F119*E119)+(((F119*J119+L119)/D119)*(O119-Q119)))/(1.25-((J119-G119)/4))</f>
        <v>3490.909090909091</v>
      </c>
      <c r="BM119" s="36">
        <f>((K119*F119*E119)+(((F119*K119+L119)/D119)*(P119-Q119)))/(1.25-((K119-G119)/4))</f>
        <v>2075.6756756756754</v>
      </c>
      <c r="BN119" s="39"/>
      <c r="BO119" s="36">
        <f>((BJ119/2)*R119)/2</f>
        <v>9051.4285714285725</v>
      </c>
      <c r="BP119" s="36">
        <f>((BK119)*(R119/2))/2</f>
        <v>6242.3645320197047</v>
      </c>
      <c r="BQ119" s="36">
        <f>((BL119*1.5)*(R119/3))/2</f>
        <v>4114.2857142857138</v>
      </c>
      <c r="BR119" s="36">
        <f>((BM119*2)*(S119/4))/2</f>
        <v>3632.4324324324321</v>
      </c>
      <c r="BS119" s="39"/>
      <c r="BT119" s="36">
        <f>(AE119*BO119)/2</f>
        <v>31680.000000000004</v>
      </c>
      <c r="BU119" s="36">
        <f>(AE119*BP119)/2</f>
        <v>21848.275862068967</v>
      </c>
      <c r="BV119" s="36">
        <f>(AE119*BQ119)/2</f>
        <v>14399.999999999998</v>
      </c>
      <c r="BW119" s="36">
        <f>(AE119*BR119)/2</f>
        <v>12713.513513513511</v>
      </c>
      <c r="BX119" s="39"/>
      <c r="BY119" s="14">
        <f>SUM(AE119*4, AC119*2, R119*2)/6-0.67</f>
        <v>8.5680952380952391</v>
      </c>
      <c r="BZ119" s="42">
        <f>SUM(AVERAGE(U119, (AVERAGE(BO119, BP119)/4000))*4, R119*4, S119*2)/7.5-0.67</f>
        <v>5.0207454844006563</v>
      </c>
      <c r="CA119" s="47">
        <f>SUM(W119*3, AVERAGE(BO119, BP119, BQ119, BR119)/3000)/3</f>
        <v>0.64001420139351184</v>
      </c>
      <c r="CB119" s="48">
        <f>IF(V119&lt;6, V119*Q119/2000, IF(V119&lt;7, V119*(AVERAGE(BJ119, BK119, BL119, BM119)/2000), V119*(AVERAGE(BJ119, BK119, BL119, BM119)/2000)*(Q119/2000)))/((10-S119+2)/4)</f>
        <v>0</v>
      </c>
      <c r="CC119" s="41">
        <f>SUM(AF119*4, AI119*2/(AH119+1), AG119*4)/7.5</f>
        <v>0</v>
      </c>
      <c r="CD119" s="14">
        <f>SUM(AI119*3, AJ119*2, AK119*2, AL119*2, AF119*3)/8</f>
        <v>0</v>
      </c>
      <c r="CE119" s="14">
        <f>SUM(U119*2, BA119*1, AN119*3)/4.5</f>
        <v>1.3333333333333333</v>
      </c>
      <c r="CF119" s="39"/>
    </row>
    <row r="120" spans="2:84" s="35" customFormat="1">
      <c r="B120" s="29">
        <v>33</v>
      </c>
      <c r="C120" s="30" t="s">
        <v>44</v>
      </c>
      <c r="D120" s="54">
        <v>15</v>
      </c>
      <c r="E120" s="54">
        <v>600</v>
      </c>
      <c r="F120" s="54">
        <v>3.3</v>
      </c>
      <c r="G120" s="54">
        <v>4</v>
      </c>
      <c r="H120" s="54">
        <v>5</v>
      </c>
      <c r="I120" s="54">
        <v>4</v>
      </c>
      <c r="J120" s="54">
        <v>3</v>
      </c>
      <c r="K120" s="54">
        <v>0</v>
      </c>
      <c r="L120" s="54">
        <v>3</v>
      </c>
      <c r="M120" s="54">
        <v>1200</v>
      </c>
      <c r="N120" s="54">
        <v>1200</v>
      </c>
      <c r="O120" s="54">
        <v>1200</v>
      </c>
      <c r="P120" s="54">
        <v>1200</v>
      </c>
      <c r="Q120" s="54">
        <v>1200</v>
      </c>
      <c r="R120" s="32">
        <f>8000/1400</f>
        <v>5.7142857142857144</v>
      </c>
      <c r="S120" s="33">
        <v>7</v>
      </c>
      <c r="T120" s="34">
        <v>5</v>
      </c>
      <c r="U120" s="34">
        <v>4</v>
      </c>
      <c r="V120" s="34">
        <v>3</v>
      </c>
      <c r="W120" s="34">
        <v>0</v>
      </c>
      <c r="X120" s="34">
        <v>10</v>
      </c>
      <c r="Y120" s="34">
        <v>0</v>
      </c>
      <c r="Z120" s="34">
        <v>6</v>
      </c>
      <c r="AA120" s="34">
        <v>0</v>
      </c>
      <c r="AB120" s="34">
        <v>0</v>
      </c>
      <c r="AC120" s="31">
        <v>5</v>
      </c>
      <c r="AD120" s="31">
        <v>0</v>
      </c>
      <c r="AE120" s="27">
        <f>(BA120/5+1)*AD120</f>
        <v>0</v>
      </c>
      <c r="AF120" s="31">
        <v>0</v>
      </c>
      <c r="AG120" s="31">
        <v>0</v>
      </c>
      <c r="AH120" s="31">
        <v>0</v>
      </c>
      <c r="AI120" s="31">
        <v>0</v>
      </c>
      <c r="AJ120" s="31">
        <v>0</v>
      </c>
      <c r="AK120" s="31">
        <v>0</v>
      </c>
      <c r="AL120" s="31">
        <v>0</v>
      </c>
      <c r="AM120" s="31">
        <v>0</v>
      </c>
      <c r="AN120" s="31">
        <v>1</v>
      </c>
      <c r="AO120" s="44">
        <v>0</v>
      </c>
      <c r="AP120" s="44">
        <v>0</v>
      </c>
      <c r="AQ120" s="51">
        <v>0</v>
      </c>
      <c r="AR120" s="44">
        <v>0</v>
      </c>
      <c r="AS120" s="44">
        <v>0</v>
      </c>
      <c r="AT120" s="44">
        <v>0</v>
      </c>
      <c r="AU120" s="44">
        <v>0</v>
      </c>
      <c r="AV120" s="44">
        <v>0</v>
      </c>
      <c r="AW120" s="50">
        <v>0</v>
      </c>
      <c r="AX120" s="44">
        <v>0</v>
      </c>
      <c r="AY120" s="44">
        <v>0</v>
      </c>
      <c r="AZ120" s="51">
        <v>0</v>
      </c>
      <c r="BA120" s="51">
        <v>1</v>
      </c>
      <c r="BB120" s="44">
        <v>0</v>
      </c>
      <c r="BC120" s="44">
        <v>10</v>
      </c>
      <c r="BD120" s="51">
        <v>7</v>
      </c>
      <c r="BE120" s="44">
        <v>0</v>
      </c>
      <c r="BF120" s="46">
        <f>(G120*F120*E120)+M120</f>
        <v>9120</v>
      </c>
      <c r="BG120" s="36">
        <f>(G120*F120*E120)+N120</f>
        <v>9120</v>
      </c>
      <c r="BH120" s="36">
        <f>(G120*F120*E120)+O120</f>
        <v>9120</v>
      </c>
      <c r="BI120" s="36">
        <f>(G120*F120*E120)+P120</f>
        <v>9120</v>
      </c>
      <c r="BJ120" s="36">
        <f>((H120*F120*E120)+(((F120*H120+L120)/D120)*M120))/(1.25-((H120-G120)/4))</f>
        <v>11460</v>
      </c>
      <c r="BK120" s="36">
        <f>((I120*F120*E120)+(((F120*I120+L120)/D120)*(N120-Q120)))/(1.25-((I120-G120)/4))</f>
        <v>6336</v>
      </c>
      <c r="BL120" s="36">
        <f>((J120*F120*E120)+(((F120*J120+L120)/D120)*(O120-Q120)))/(1.25-((J120-G120)/4))</f>
        <v>3959.9999999999995</v>
      </c>
      <c r="BM120" s="36">
        <f>((K120*F120*E120)+(((F120*K120+L120)/D120)*(P120-Q120)))/(1.25-((K120-G120)/4))</f>
        <v>0</v>
      </c>
      <c r="BN120" s="39"/>
      <c r="BO120" s="36">
        <f>((BJ120/2)*R120)/2</f>
        <v>16371.428571428572</v>
      </c>
      <c r="BP120" s="36">
        <f>((BK120)*(R120/2))/2</f>
        <v>9051.4285714285725</v>
      </c>
      <c r="BQ120" s="36">
        <f>((BL120*1.5)*(R120/3))/2</f>
        <v>5657.1428571428569</v>
      </c>
      <c r="BR120" s="36">
        <f>((BM120*2)*(S120/4))/2</f>
        <v>0</v>
      </c>
      <c r="BS120" s="39"/>
      <c r="BT120" s="36">
        <f>(AE120*BO120)/2</f>
        <v>0</v>
      </c>
      <c r="BU120" s="36">
        <f>(AE120*BP120)/2</f>
        <v>0</v>
      </c>
      <c r="BV120" s="36">
        <f>(AE120*BQ120)/2</f>
        <v>0</v>
      </c>
      <c r="BW120" s="36">
        <f>(AE120*BR120)/2</f>
        <v>0</v>
      </c>
      <c r="BX120" s="39"/>
      <c r="BY120" s="14">
        <f>SUM(AE120*4, AC120*2, R120*2)/6-0.67</f>
        <v>2.9014285714285717</v>
      </c>
      <c r="BZ120" s="42">
        <f>SUM(AVERAGE(U120, (AVERAGE(BO120, BP120)/4000))*4, R120*4, S120*2)/7.5-0.67</f>
        <v>6.158380952380953</v>
      </c>
      <c r="CA120" s="47">
        <f>SUM(W120*3, AVERAGE(BO120, BP120, BQ120, BR120)/3000)/3</f>
        <v>0.86333333333333329</v>
      </c>
      <c r="CB120" s="48">
        <f>IF(V120&lt;6, V120*Q120/2000, IF(V120&lt;7, V120*(AVERAGE(BJ120, BK120, BL120, BM120)/2000), V120*(AVERAGE(BJ120, BK120, BL120, BM120)/2000)*(Q120/2000)))/((10-S120+2)/4)</f>
        <v>1.44</v>
      </c>
      <c r="CC120" s="41">
        <f>SUM(AF120*4, AI120*2/(AH120+1), AG120*4)/7.5</f>
        <v>0</v>
      </c>
      <c r="CD120" s="14">
        <f>SUM(AI120*3, AJ120*2, AK120*2, AL120*2, AF120*3)/8</f>
        <v>0</v>
      </c>
      <c r="CE120" s="14">
        <f>SUM(U120*2, BA120*1, AN120*3)/4.5</f>
        <v>2.6666666666666665</v>
      </c>
      <c r="CF120" s="39"/>
    </row>
    <row r="121" spans="2:84" s="35" customFormat="1">
      <c r="B121" s="29">
        <v>1</v>
      </c>
      <c r="C121" s="37" t="s">
        <v>95</v>
      </c>
      <c r="D121" s="54">
        <v>10</v>
      </c>
      <c r="E121" s="54">
        <v>600</v>
      </c>
      <c r="F121" s="54">
        <v>2.5</v>
      </c>
      <c r="G121" s="54">
        <v>4</v>
      </c>
      <c r="H121" s="54">
        <v>5</v>
      </c>
      <c r="I121" s="54">
        <v>4</v>
      </c>
      <c r="J121" s="54">
        <v>2</v>
      </c>
      <c r="K121" s="54">
        <v>0</v>
      </c>
      <c r="L121" s="54">
        <v>2</v>
      </c>
      <c r="M121" s="54">
        <v>5760</v>
      </c>
      <c r="N121" s="54">
        <v>5760</v>
      </c>
      <c r="O121" s="54">
        <v>5760</v>
      </c>
      <c r="P121" s="54">
        <v>0</v>
      </c>
      <c r="Q121" s="54">
        <v>3840</v>
      </c>
      <c r="R121" s="32">
        <f>7800/1400</f>
        <v>5.5714285714285712</v>
      </c>
      <c r="S121" s="33">
        <v>6</v>
      </c>
      <c r="T121" s="34">
        <v>0</v>
      </c>
      <c r="U121" s="34">
        <v>4</v>
      </c>
      <c r="V121" s="34">
        <v>0</v>
      </c>
      <c r="W121" s="34">
        <v>0</v>
      </c>
      <c r="X121" s="34">
        <v>3</v>
      </c>
      <c r="Y121" s="34">
        <v>0</v>
      </c>
      <c r="Z121" s="34">
        <v>5</v>
      </c>
      <c r="AA121" s="34">
        <v>5</v>
      </c>
      <c r="AB121" s="34">
        <v>5</v>
      </c>
      <c r="AC121" s="38">
        <v>7</v>
      </c>
      <c r="AD121" s="38">
        <v>0</v>
      </c>
      <c r="AE121" s="27">
        <f>(BA121/5+1)*AD121</f>
        <v>0</v>
      </c>
      <c r="AF121" s="38">
        <v>0</v>
      </c>
      <c r="AG121" s="38">
        <v>0</v>
      </c>
      <c r="AH121" s="38">
        <v>0</v>
      </c>
      <c r="AI121" s="38">
        <v>0</v>
      </c>
      <c r="AJ121" s="38">
        <v>0</v>
      </c>
      <c r="AK121" s="38">
        <v>0</v>
      </c>
      <c r="AL121" s="38">
        <v>0</v>
      </c>
      <c r="AM121" s="38">
        <v>0</v>
      </c>
      <c r="AN121" s="38">
        <v>2</v>
      </c>
      <c r="AO121" s="44">
        <v>0</v>
      </c>
      <c r="AP121" s="44">
        <v>0</v>
      </c>
      <c r="AQ121" s="51">
        <v>0</v>
      </c>
      <c r="AR121" s="44">
        <v>0</v>
      </c>
      <c r="AS121" s="44">
        <v>0</v>
      </c>
      <c r="AT121" s="44">
        <v>0</v>
      </c>
      <c r="AU121" s="44">
        <v>0</v>
      </c>
      <c r="AV121" s="44">
        <v>0</v>
      </c>
      <c r="AW121" s="50">
        <v>0</v>
      </c>
      <c r="AX121" s="44">
        <v>0</v>
      </c>
      <c r="AY121" s="44">
        <v>0</v>
      </c>
      <c r="AZ121" s="51">
        <v>0</v>
      </c>
      <c r="BA121" s="52">
        <v>2</v>
      </c>
      <c r="BB121" s="44">
        <v>0</v>
      </c>
      <c r="BC121" s="44">
        <v>3</v>
      </c>
      <c r="BD121" s="51">
        <v>7</v>
      </c>
      <c r="BE121" s="44">
        <v>0</v>
      </c>
      <c r="BF121" s="46">
        <f>(G121*F121*E121)+M121</f>
        <v>11760</v>
      </c>
      <c r="BG121" s="36">
        <f>(G121*F121*E121)+N121</f>
        <v>11760</v>
      </c>
      <c r="BH121" s="36">
        <f>(G121*F121*E121)+O121</f>
        <v>11760</v>
      </c>
      <c r="BI121" s="36">
        <f>(G121*F121*E121)+P121</f>
        <v>6000</v>
      </c>
      <c r="BJ121" s="36">
        <f>((H121*F121*E121)+(((F121*H121+L121)/D121)*M121))/(1.25-((H121-G121)/4))</f>
        <v>15852</v>
      </c>
      <c r="BK121" s="36">
        <f>((I121*F121*E121)+(((F121*I121+L121)/D121)*(N121-Q121)))/(1.25-((I121-G121)/4))</f>
        <v>6643.2</v>
      </c>
      <c r="BL121" s="36">
        <f>((J121*F121*E121)+(((F121*J121+L121)/D121)*(O121-Q121)))/(1.25-((J121-G121)/4))</f>
        <v>2482.2857142857142</v>
      </c>
      <c r="BM121" s="36">
        <f>((K121*F121*E121)+(((F121*K121+L121)/D121)*(P121-Q121)))/(1.25-((K121-G121)/4))</f>
        <v>-341.33333333333331</v>
      </c>
      <c r="BN121" s="39"/>
      <c r="BO121" s="36">
        <f>((BJ121/2)*R121)/2</f>
        <v>22079.571428571428</v>
      </c>
      <c r="BP121" s="36">
        <f>((BK121)*(R121/2))/2</f>
        <v>9253.028571428571</v>
      </c>
      <c r="BQ121" s="36">
        <f>((BL121*1.5)*(R121/3))/2</f>
        <v>3457.4693877551017</v>
      </c>
      <c r="BR121" s="36">
        <f>((BM121*2)*(S121/4))/2</f>
        <v>-512</v>
      </c>
      <c r="BS121" s="39"/>
      <c r="BT121" s="36">
        <f>(AE121*BO121)/2</f>
        <v>0</v>
      </c>
      <c r="BU121" s="36">
        <f>(AE121*BP121)/2</f>
        <v>0</v>
      </c>
      <c r="BV121" s="36">
        <f>(AE121*BQ121)/2</f>
        <v>0</v>
      </c>
      <c r="BW121" s="36">
        <f>(AE121*BR121)/2</f>
        <v>0</v>
      </c>
      <c r="BX121" s="39"/>
      <c r="BY121" s="14">
        <f>SUM(AE121*4, AC121*2, R121*2)/6-0.67</f>
        <v>3.5204761904761908</v>
      </c>
      <c r="BZ121" s="42">
        <f>SUM(AVERAGE(U121, (AVERAGE(BO121, BP121)/4000))*4, R121*4, S121*2)/7.5-0.67</f>
        <v>6.0125152380952374</v>
      </c>
      <c r="CA121" s="47">
        <f>SUM(W121*3, AVERAGE(BO121, BP121, BQ121, BR121)/3000)/3</f>
        <v>0.95216859410430832</v>
      </c>
      <c r="CB121" s="48">
        <f>IF(V121&lt;6, V121*Q121/2000, IF(V121&lt;7, V121*(AVERAGE(BJ121, BK121, BL121, BM121)/2000), V121*(AVERAGE(BJ121, BK121, BL121, BM121)/2000)*(Q121/2000)))/((10-S121+2)/4)</f>
        <v>0</v>
      </c>
      <c r="CC121" s="41">
        <f>SUM(AF121*4, AI121*2/(AH121+1), AG121*4)/7.5</f>
        <v>0</v>
      </c>
      <c r="CD121" s="14">
        <f>SUM(AI121*3, AJ121*2, AK121*2, AL121*2, AF121*3)/8</f>
        <v>0</v>
      </c>
      <c r="CE121" s="14">
        <f>SUM(U121*2, BA121*1, AN121*3)/4.5</f>
        <v>3.5555555555555554</v>
      </c>
      <c r="CF121" s="39"/>
    </row>
    <row r="122" spans="2:84" s="35" customFormat="1">
      <c r="B122" s="29">
        <v>8</v>
      </c>
      <c r="C122" s="37" t="s">
        <v>87</v>
      </c>
      <c r="D122" s="54">
        <v>4</v>
      </c>
      <c r="E122" s="54">
        <v>1520</v>
      </c>
      <c r="F122" s="54">
        <v>2.5</v>
      </c>
      <c r="G122" s="54">
        <v>1</v>
      </c>
      <c r="H122" s="54">
        <v>1</v>
      </c>
      <c r="I122" s="54">
        <v>1</v>
      </c>
      <c r="J122" s="54">
        <v>1</v>
      </c>
      <c r="K122" s="54">
        <v>0</v>
      </c>
      <c r="L122" s="54">
        <v>0</v>
      </c>
      <c r="M122" s="54">
        <v>0</v>
      </c>
      <c r="N122" s="54">
        <v>0</v>
      </c>
      <c r="O122" s="54">
        <v>0</v>
      </c>
      <c r="P122" s="54">
        <v>0</v>
      </c>
      <c r="Q122" s="54">
        <v>0</v>
      </c>
      <c r="R122" s="32">
        <f>8000/1400</f>
        <v>5.7142857142857144</v>
      </c>
      <c r="S122" s="33">
        <v>6</v>
      </c>
      <c r="T122" s="34">
        <v>0</v>
      </c>
      <c r="U122" s="34">
        <v>7</v>
      </c>
      <c r="V122" s="34">
        <v>0</v>
      </c>
      <c r="W122" s="34">
        <v>0</v>
      </c>
      <c r="X122" s="34">
        <v>0</v>
      </c>
      <c r="Y122" s="34">
        <v>0</v>
      </c>
      <c r="Z122" s="34">
        <v>6</v>
      </c>
      <c r="AA122" s="34">
        <v>0</v>
      </c>
      <c r="AB122" s="34">
        <v>0</v>
      </c>
      <c r="AC122" s="38">
        <v>5</v>
      </c>
      <c r="AD122" s="38">
        <v>0</v>
      </c>
      <c r="AE122" s="27">
        <f>(BA122/5+1)*AD122</f>
        <v>0</v>
      </c>
      <c r="AF122" s="38">
        <v>0</v>
      </c>
      <c r="AG122" s="38">
        <v>0</v>
      </c>
      <c r="AH122" s="38">
        <v>0</v>
      </c>
      <c r="AI122" s="38">
        <v>0</v>
      </c>
      <c r="AJ122" s="38">
        <v>0</v>
      </c>
      <c r="AK122" s="38">
        <v>0</v>
      </c>
      <c r="AL122" s="38">
        <v>0</v>
      </c>
      <c r="AM122" s="38">
        <v>0</v>
      </c>
      <c r="AN122" s="38">
        <v>0</v>
      </c>
      <c r="AO122" s="44">
        <f>(6 + 9)/2</f>
        <v>7.5</v>
      </c>
      <c r="AP122" s="44">
        <v>0</v>
      </c>
      <c r="AQ122" s="51">
        <v>0</v>
      </c>
      <c r="AR122" s="44">
        <v>0</v>
      </c>
      <c r="AS122" s="44">
        <v>0</v>
      </c>
      <c r="AT122" s="44">
        <v>0</v>
      </c>
      <c r="AU122" s="44">
        <v>0</v>
      </c>
      <c r="AV122" s="44">
        <v>0</v>
      </c>
      <c r="AW122" s="50">
        <v>0</v>
      </c>
      <c r="AX122" s="44">
        <v>0</v>
      </c>
      <c r="AY122" s="44">
        <v>0</v>
      </c>
      <c r="AZ122" s="51">
        <v>0</v>
      </c>
      <c r="BA122" s="52">
        <v>0</v>
      </c>
      <c r="BB122" s="44">
        <v>0</v>
      </c>
      <c r="BC122" s="44">
        <v>0</v>
      </c>
      <c r="BD122" s="51">
        <v>7</v>
      </c>
      <c r="BE122" s="44">
        <v>0</v>
      </c>
      <c r="BF122" s="46">
        <f>(G122*F122*E122)+M122</f>
        <v>3800</v>
      </c>
      <c r="BG122" s="36">
        <f>(G122*F122*E122)+N122</f>
        <v>3800</v>
      </c>
      <c r="BH122" s="36">
        <f>(G122*F122*E122)+O122</f>
        <v>3800</v>
      </c>
      <c r="BI122" s="36">
        <f>(G122*F122*E122)+P122</f>
        <v>3800</v>
      </c>
      <c r="BJ122" s="36">
        <f>((H122*F122*E122)+(((F122*H122+L122)/D122)*M122))/(1.25-((H122-G122)/4))</f>
        <v>3040</v>
      </c>
      <c r="BK122" s="36">
        <f>((I122*F122*E122)+(((F122*I122+L122)/D122)*(N122-Q122)))/(1.25-((I122-G122)/4))</f>
        <v>3040</v>
      </c>
      <c r="BL122" s="36">
        <f>((J122*F122*E122)+(((F122*J122+L122)/D122)*(O122-Q122)))/(1.25-((J122-G122)/4))</f>
        <v>3040</v>
      </c>
      <c r="BM122" s="36">
        <f>((K122*F122*E122)+(((F122*K122+L122)/D122)*(P122-Q122)))/(1.25-((K122-G122)/4))</f>
        <v>0</v>
      </c>
      <c r="BN122" s="39"/>
      <c r="BO122" s="36">
        <f>((BJ122/2)*R122)/2</f>
        <v>4342.8571428571431</v>
      </c>
      <c r="BP122" s="36">
        <f>((BK122)*(R122/2))/2</f>
        <v>4342.8571428571431</v>
      </c>
      <c r="BQ122" s="36">
        <f>((BL122*1.5)*(R122/3))/2</f>
        <v>4342.8571428571431</v>
      </c>
      <c r="BR122" s="36">
        <f>((BM122*2)*(S122/4))/2</f>
        <v>0</v>
      </c>
      <c r="BS122" s="39"/>
      <c r="BT122" s="36">
        <f>(AE122*BO122)/2</f>
        <v>0</v>
      </c>
      <c r="BU122" s="36">
        <f>(AE122*BP122)/2</f>
        <v>0</v>
      </c>
      <c r="BV122" s="36">
        <f>(AE122*BQ122)/2</f>
        <v>0</v>
      </c>
      <c r="BW122" s="36">
        <f>(AE122*BR122)/2</f>
        <v>0</v>
      </c>
      <c r="BX122" s="39"/>
      <c r="BY122" s="14">
        <f>SUM(AE122*4, AC122*2, R122*2)/6-0.67</f>
        <v>2.9014285714285717</v>
      </c>
      <c r="BZ122" s="42">
        <f>SUM(AVERAGE(U122, (AVERAGE(BO122, BP122)/4000))*4, R122*4, S122*2)/7.5-0.67</f>
        <v>6.1338095238095232</v>
      </c>
      <c r="CA122" s="47">
        <f>SUM(W122*3, AVERAGE(BO122, BP122, BQ122, BR122)/3000)/3</f>
        <v>0.36190476190476195</v>
      </c>
      <c r="CB122" s="48">
        <f>IF(V122&lt;6, V122*Q122/2000, IF(V122&lt;7, V122*(AVERAGE(BJ122, BK122, BL122, BM122)/2000), V122*(AVERAGE(BJ122, BK122, BL122, BM122)/2000)*(Q122/2000)))/((10-S122+2)/4)</f>
        <v>0</v>
      </c>
      <c r="CC122" s="41">
        <f>SUM(AF122*4, AI122*2/(AH122+1), AG122*4)/7.5</f>
        <v>0</v>
      </c>
      <c r="CD122" s="14">
        <f>SUM(AI122*3, AJ122*2, AK122*2, AL122*2, AF122*3)/8</f>
        <v>0</v>
      </c>
      <c r="CE122" s="14">
        <f>SUM(U122*2, BA122*1, AN122*3)/4.5</f>
        <v>3.1111111111111112</v>
      </c>
      <c r="CF122" s="39"/>
    </row>
    <row r="123" spans="2:84" s="35" customFormat="1">
      <c r="B123" s="29">
        <v>45</v>
      </c>
      <c r="C123" s="30" t="s">
        <v>15</v>
      </c>
      <c r="D123" s="54">
        <v>9</v>
      </c>
      <c r="E123" s="54">
        <v>1320</v>
      </c>
      <c r="F123" s="54">
        <v>1.65</v>
      </c>
      <c r="G123" s="54">
        <v>6</v>
      </c>
      <c r="H123" s="54">
        <v>3</v>
      </c>
      <c r="I123" s="54">
        <v>2</v>
      </c>
      <c r="J123" s="54">
        <v>1</v>
      </c>
      <c r="K123" s="54">
        <v>0</v>
      </c>
      <c r="L123" s="54">
        <v>2.5</v>
      </c>
      <c r="M123" s="54">
        <v>4360</v>
      </c>
      <c r="N123" s="54">
        <v>4360</v>
      </c>
      <c r="O123" s="54">
        <v>4360</v>
      </c>
      <c r="P123" s="54">
        <v>0</v>
      </c>
      <c r="Q123" s="54">
        <v>4360</v>
      </c>
      <c r="R123" s="32">
        <f>5200/1400</f>
        <v>3.7142857142857144</v>
      </c>
      <c r="S123" s="33">
        <v>5</v>
      </c>
      <c r="T123" s="34">
        <f>(6 + 7 + 6)/3</f>
        <v>6.333333333333333</v>
      </c>
      <c r="U123" s="34">
        <v>1</v>
      </c>
      <c r="V123" s="34">
        <v>6</v>
      </c>
      <c r="W123" s="34">
        <f>(6 + 1 + 6 + 5)/4</f>
        <v>4.5</v>
      </c>
      <c r="X123" s="34">
        <v>0</v>
      </c>
      <c r="Y123" s="34">
        <v>0</v>
      </c>
      <c r="Z123" s="34">
        <v>6</v>
      </c>
      <c r="AA123" s="34">
        <v>0</v>
      </c>
      <c r="AB123" s="34">
        <v>0</v>
      </c>
      <c r="AC123" s="31">
        <v>5</v>
      </c>
      <c r="AD123" s="31">
        <v>5</v>
      </c>
      <c r="AE123" s="27">
        <f>(BA123/5+1)*AD123</f>
        <v>5</v>
      </c>
      <c r="AF123" s="31">
        <v>0</v>
      </c>
      <c r="AG123" s="31">
        <v>0</v>
      </c>
      <c r="AH123" s="31">
        <v>0</v>
      </c>
      <c r="AI123" s="31">
        <v>0</v>
      </c>
      <c r="AJ123" s="31">
        <v>0</v>
      </c>
      <c r="AK123" s="31">
        <v>0</v>
      </c>
      <c r="AL123" s="31">
        <v>0</v>
      </c>
      <c r="AM123" s="31">
        <v>0</v>
      </c>
      <c r="AN123" s="31">
        <v>1</v>
      </c>
      <c r="AO123" s="44">
        <f>(11 + 2)/2</f>
        <v>6.5</v>
      </c>
      <c r="AP123" s="44">
        <v>0</v>
      </c>
      <c r="AQ123" s="51">
        <v>0</v>
      </c>
      <c r="AR123" s="44">
        <v>0</v>
      </c>
      <c r="AS123" s="44">
        <v>0</v>
      </c>
      <c r="AT123" s="44">
        <v>0</v>
      </c>
      <c r="AU123" s="44">
        <v>0</v>
      </c>
      <c r="AV123" s="44">
        <v>0</v>
      </c>
      <c r="AW123" s="50">
        <v>0</v>
      </c>
      <c r="AX123" s="44">
        <v>0</v>
      </c>
      <c r="AY123" s="44">
        <v>0</v>
      </c>
      <c r="AZ123" s="51">
        <v>0</v>
      </c>
      <c r="BA123" s="51">
        <v>0</v>
      </c>
      <c r="BB123" s="44">
        <v>0</v>
      </c>
      <c r="BC123" s="44">
        <v>0</v>
      </c>
      <c r="BD123" s="51">
        <v>7</v>
      </c>
      <c r="BE123" s="44">
        <v>0</v>
      </c>
      <c r="BF123" s="46">
        <f>(G123*F123*E123)+M123</f>
        <v>17428</v>
      </c>
      <c r="BG123" s="36">
        <f>(G123*F123*E123)+N123</f>
        <v>17428</v>
      </c>
      <c r="BH123" s="36">
        <f>(G123*F123*E123)+O123</f>
        <v>17428</v>
      </c>
      <c r="BI123" s="36">
        <f>(G123*F123*E123)+P123</f>
        <v>13067.999999999998</v>
      </c>
      <c r="BJ123" s="36">
        <f>((H123*F123*E123)+(((F123*H123+L123)/D123)*M123))/(1.25-((H123-G123)/4))</f>
        <v>5071.5555555555547</v>
      </c>
      <c r="BK123" s="36">
        <f>((I123*F123*E123)+(((F123*I123+L123)/D123)*(N123-Q123)))/(1.25-((I123-G123)/4))</f>
        <v>1936</v>
      </c>
      <c r="BL123" s="36">
        <f>((J123*F123*E123)+(((F123*J123+L123)/D123)*(O123-Q123)))/(1.25-((J123-G123)/4))</f>
        <v>871.2</v>
      </c>
      <c r="BM123" s="36">
        <f>((K123*F123*E123)+(((F123*K123+L123)/D123)*(P123-Q123)))/(1.25-((K123-G123)/4))</f>
        <v>-440.40404040404042</v>
      </c>
      <c r="BN123" s="39"/>
      <c r="BO123" s="36">
        <f>((BJ123/2)*R123)/2</f>
        <v>4709.3015873015866</v>
      </c>
      <c r="BP123" s="36">
        <f>((BK123)*(R123/2))/2</f>
        <v>1797.7142857142858</v>
      </c>
      <c r="BQ123" s="36">
        <f>((BL123*1.5)*(R123/3))/2</f>
        <v>808.97142857142876</v>
      </c>
      <c r="BR123" s="36">
        <f>((BM123*2)*(S123/4))/2</f>
        <v>-550.50505050505058</v>
      </c>
      <c r="BS123" s="39"/>
      <c r="BT123" s="36">
        <f>(AE123*BO123)/2</f>
        <v>11773.253968253966</v>
      </c>
      <c r="BU123" s="36">
        <f>(AE123*BP123)/2</f>
        <v>4494.2857142857147</v>
      </c>
      <c r="BV123" s="36">
        <f>(AE123*BQ123)/2</f>
        <v>2022.428571428572</v>
      </c>
      <c r="BW123" s="36">
        <f>(AE123*BR123)/2</f>
        <v>-1376.2626262626263</v>
      </c>
      <c r="BX123" s="39"/>
      <c r="BY123" s="14">
        <f>SUM(AE123*4, AC123*2, R123*2)/6-0.67</f>
        <v>5.5680952380952382</v>
      </c>
      <c r="BZ123" s="42">
        <f>SUM(AVERAGE(U123, (AVERAGE(BO123, BP123)/4000))*4, R123*4, S123*2)/7.5-0.67</f>
        <v>3.1278529100529102</v>
      </c>
      <c r="CA123" s="47">
        <f>SUM(W123*3, AVERAGE(BO123, BP123, BQ123, BR123)/3000)/3</f>
        <v>4.6879300625300626</v>
      </c>
      <c r="CB123" s="48">
        <f>IF(V123&lt;6, V123*Q123/2000, IF(V123&lt;7, V123*(AVERAGE(BJ123, BK123, BL123, BM123)/2000), V123*(AVERAGE(BJ123, BK123, BL123, BM123)/2000)*(Q123/2000)))/((10-S123+2)/4)</f>
        <v>3.1878649350649346</v>
      </c>
      <c r="CC123" s="41">
        <f>SUM(AF123*4, AI123*2/(AH123+1), AG123*4)/7.5</f>
        <v>0</v>
      </c>
      <c r="CD123" s="14">
        <f>SUM(AI123*3, AJ123*2, AK123*2, AL123*2, AF123*3)/8</f>
        <v>0</v>
      </c>
      <c r="CE123" s="14">
        <f>SUM(U123*2, BA123*1, AN123*3)/4.5</f>
        <v>1.1111111111111112</v>
      </c>
      <c r="CF123" s="39"/>
    </row>
    <row r="124" spans="2:84" s="35" customFormat="1">
      <c r="B124" s="29">
        <v>25</v>
      </c>
      <c r="C124" s="37" t="s">
        <v>43</v>
      </c>
      <c r="D124" s="54">
        <v>3</v>
      </c>
      <c r="E124" s="54">
        <v>2320</v>
      </c>
      <c r="F124" s="54">
        <v>3.3</v>
      </c>
      <c r="G124" s="54">
        <v>1</v>
      </c>
      <c r="H124" s="54">
        <v>1</v>
      </c>
      <c r="I124" s="54">
        <v>1</v>
      </c>
      <c r="J124" s="54">
        <v>0</v>
      </c>
      <c r="K124" s="54">
        <v>0</v>
      </c>
      <c r="L124" s="54">
        <v>1</v>
      </c>
      <c r="M124" s="54">
        <v>2480</v>
      </c>
      <c r="N124" s="54">
        <v>2480</v>
      </c>
      <c r="O124" s="54">
        <v>2480</v>
      </c>
      <c r="P124" s="54">
        <v>0</v>
      </c>
      <c r="Q124" s="54">
        <v>2480</v>
      </c>
      <c r="R124" s="32">
        <f>13600/1400</f>
        <v>9.7142857142857135</v>
      </c>
      <c r="S124" s="33">
        <v>5</v>
      </c>
      <c r="T124" s="34">
        <v>0</v>
      </c>
      <c r="U124" s="34">
        <v>7</v>
      </c>
      <c r="V124" s="34">
        <v>0</v>
      </c>
      <c r="W124" s="34">
        <v>0</v>
      </c>
      <c r="X124" s="34">
        <v>0</v>
      </c>
      <c r="Y124" s="34">
        <v>0</v>
      </c>
      <c r="Z124" s="34">
        <v>6</v>
      </c>
      <c r="AA124" s="34">
        <v>9</v>
      </c>
      <c r="AB124" s="34">
        <v>8</v>
      </c>
      <c r="AC124" s="38">
        <v>6</v>
      </c>
      <c r="AD124" s="38">
        <v>0</v>
      </c>
      <c r="AE124" s="27">
        <f>(BA124/5+1)*AD124</f>
        <v>0</v>
      </c>
      <c r="AF124" s="38">
        <v>0</v>
      </c>
      <c r="AG124" s="38">
        <v>0</v>
      </c>
      <c r="AH124" s="38">
        <v>0</v>
      </c>
      <c r="AI124" s="38">
        <v>0</v>
      </c>
      <c r="AJ124" s="38">
        <v>0</v>
      </c>
      <c r="AK124" s="38">
        <v>0</v>
      </c>
      <c r="AL124" s="38">
        <v>0</v>
      </c>
      <c r="AM124" s="38">
        <v>0</v>
      </c>
      <c r="AN124" s="38">
        <v>2</v>
      </c>
      <c r="AO124" s="44">
        <v>0</v>
      </c>
      <c r="AP124" s="44">
        <v>0</v>
      </c>
      <c r="AQ124" s="51">
        <v>0</v>
      </c>
      <c r="AR124" s="44">
        <v>0</v>
      </c>
      <c r="AS124" s="44">
        <v>0</v>
      </c>
      <c r="AT124" s="44">
        <v>0</v>
      </c>
      <c r="AU124" s="44">
        <v>0</v>
      </c>
      <c r="AV124" s="44">
        <v>0</v>
      </c>
      <c r="AW124" s="50">
        <v>0</v>
      </c>
      <c r="AX124" s="44">
        <v>0</v>
      </c>
      <c r="AY124" s="44">
        <v>0</v>
      </c>
      <c r="AZ124" s="51">
        <v>0</v>
      </c>
      <c r="BA124" s="52">
        <v>5</v>
      </c>
      <c r="BB124" s="44">
        <v>0</v>
      </c>
      <c r="BC124" s="44">
        <v>0</v>
      </c>
      <c r="BD124" s="51">
        <v>1</v>
      </c>
      <c r="BE124" s="44">
        <v>0</v>
      </c>
      <c r="BF124" s="46">
        <f>(G124*F124*E124)+M124</f>
        <v>10136</v>
      </c>
      <c r="BG124" s="36">
        <f>(G124*F124*E124)+N124</f>
        <v>10136</v>
      </c>
      <c r="BH124" s="36">
        <f>(G124*F124*E124)+O124</f>
        <v>10136</v>
      </c>
      <c r="BI124" s="36">
        <f>(G124*F124*E124)+P124</f>
        <v>7656</v>
      </c>
      <c r="BJ124" s="36">
        <f>((H124*F124*E124)+(((F124*H124+L124)/D124)*M124))/(1.25-((H124-G124)/4))</f>
        <v>8968.5333333333328</v>
      </c>
      <c r="BK124" s="36">
        <f>((I124*F124*E124)+(((F124*I124+L124)/D124)*(N124-Q124)))/(1.25-((I124-G124)/4))</f>
        <v>6124.8</v>
      </c>
      <c r="BL124" s="36">
        <f>((J124*F124*E124)+(((F124*J124+L124)/D124)*(O124-Q124)))/(1.25-((J124-G124)/4))</f>
        <v>0</v>
      </c>
      <c r="BM124" s="36">
        <f>((K124*F124*E124)+(((F124*K124+L124)/D124)*(P124-Q124)))/(1.25-((K124-G124)/4))</f>
        <v>-551.11111111111109</v>
      </c>
      <c r="BN124" s="39"/>
      <c r="BO124" s="36">
        <f>((BJ124/2)*R124)/2</f>
        <v>21780.723809523806</v>
      </c>
      <c r="BP124" s="36">
        <f>((BK124)*(R124/2))/2</f>
        <v>14874.514285714286</v>
      </c>
      <c r="BQ124" s="36">
        <f>((BL124*1.5)*(R124/3))/2</f>
        <v>0</v>
      </c>
      <c r="BR124" s="36">
        <f>((BM124*2)*(S124/4))/2</f>
        <v>-688.88888888888891</v>
      </c>
      <c r="BS124" s="39"/>
      <c r="BT124" s="36">
        <f>(AE124*BO124)/2</f>
        <v>0</v>
      </c>
      <c r="BU124" s="36">
        <f>(AE124*BP124)/2</f>
        <v>0</v>
      </c>
      <c r="BV124" s="36">
        <f>(AE124*BQ124)/2</f>
        <v>0</v>
      </c>
      <c r="BW124" s="36">
        <f>(AE124*BR124)/2</f>
        <v>0</v>
      </c>
      <c r="BX124" s="39"/>
      <c r="BY124" s="14">
        <f>SUM(AE124*4, AC124*2, R124*2)/6-0.67</f>
        <v>4.5680952380952382</v>
      </c>
      <c r="BZ124" s="42">
        <f>SUM(AVERAGE(U124, (AVERAGE(BO124, BP124)/4000))*4, R124*4, S124*2)/7.5-0.67</f>
        <v>8.9327936507936503</v>
      </c>
      <c r="CA124" s="47">
        <f>SUM(W124*3, AVERAGE(BO124, BP124, BQ124, BR124)/3000)/3</f>
        <v>0.99906525573192229</v>
      </c>
      <c r="CB124" s="48">
        <f>IF(V124&lt;6, V124*Q124/2000, IF(V124&lt;7, V124*(AVERAGE(BJ124, BK124, BL124, BM124)/2000), V124*(AVERAGE(BJ124, BK124, BL124, BM124)/2000)*(Q124/2000)))/((10-S124+2)/4)</f>
        <v>0</v>
      </c>
      <c r="CC124" s="41">
        <f>SUM(AF124*4, AI124*2/(AH124+1), AG124*4)/7.5</f>
        <v>0</v>
      </c>
      <c r="CD124" s="14">
        <f>SUM(AI124*3, AJ124*2, AK124*2, AL124*2, AF124*3)/8</f>
        <v>0</v>
      </c>
      <c r="CE124" s="14">
        <f>SUM(U124*2, BA124*1, AN124*3)/4.5</f>
        <v>5.5555555555555554</v>
      </c>
      <c r="CF124" s="39"/>
    </row>
    <row r="125" spans="2:84" s="35" customFormat="1">
      <c r="B125" s="29">
        <v>89</v>
      </c>
      <c r="C125" s="30" t="s">
        <v>93</v>
      </c>
      <c r="D125" s="54">
        <v>6</v>
      </c>
      <c r="E125" s="54">
        <v>1800</v>
      </c>
      <c r="F125" s="54">
        <v>2.5</v>
      </c>
      <c r="G125" s="54">
        <v>1</v>
      </c>
      <c r="H125" s="54">
        <v>1</v>
      </c>
      <c r="I125" s="54">
        <v>1</v>
      </c>
      <c r="J125" s="54">
        <v>0</v>
      </c>
      <c r="K125" s="54">
        <v>0</v>
      </c>
      <c r="L125" s="54">
        <v>0</v>
      </c>
      <c r="M125" s="54">
        <v>0</v>
      </c>
      <c r="N125" s="54">
        <v>0</v>
      </c>
      <c r="O125" s="54">
        <v>0</v>
      </c>
      <c r="P125" s="54">
        <v>0</v>
      </c>
      <c r="Q125" s="55">
        <v>0</v>
      </c>
      <c r="R125" s="32">
        <f>8200/1400</f>
        <v>5.8571428571428568</v>
      </c>
      <c r="S125" s="33">
        <v>4</v>
      </c>
      <c r="T125" s="34">
        <v>2</v>
      </c>
      <c r="U125" s="34">
        <v>5</v>
      </c>
      <c r="V125" s="34">
        <v>0</v>
      </c>
      <c r="W125" s="34">
        <f>(9 + 10 + 9 + 5)/4</f>
        <v>8.25</v>
      </c>
      <c r="X125" s="34">
        <v>0</v>
      </c>
      <c r="Y125" s="34">
        <v>0</v>
      </c>
      <c r="Z125" s="34">
        <v>6</v>
      </c>
      <c r="AA125" s="34">
        <v>0</v>
      </c>
      <c r="AB125" s="34">
        <v>0</v>
      </c>
      <c r="AC125" s="31">
        <v>6</v>
      </c>
      <c r="AD125" s="31">
        <v>0</v>
      </c>
      <c r="AE125" s="27">
        <f>(BA125/5+1)*AD125</f>
        <v>0</v>
      </c>
      <c r="AF125" s="31">
        <v>0</v>
      </c>
      <c r="AG125" s="31">
        <v>0</v>
      </c>
      <c r="AH125" s="31">
        <v>0</v>
      </c>
      <c r="AI125" s="31">
        <v>0</v>
      </c>
      <c r="AJ125" s="31">
        <v>0</v>
      </c>
      <c r="AK125" s="31">
        <v>0</v>
      </c>
      <c r="AL125" s="31">
        <v>0</v>
      </c>
      <c r="AM125" s="31">
        <v>0</v>
      </c>
      <c r="AN125" s="31">
        <v>0</v>
      </c>
      <c r="AO125" s="44">
        <v>0</v>
      </c>
      <c r="AP125" s="44">
        <v>0</v>
      </c>
      <c r="AQ125" s="51">
        <v>0</v>
      </c>
      <c r="AR125" s="44">
        <v>0</v>
      </c>
      <c r="AS125" s="44">
        <v>0</v>
      </c>
      <c r="AT125" s="44">
        <v>0</v>
      </c>
      <c r="AU125" s="44">
        <v>0</v>
      </c>
      <c r="AV125" s="44">
        <v>0</v>
      </c>
      <c r="AW125" s="50">
        <v>0</v>
      </c>
      <c r="AX125" s="44">
        <v>0</v>
      </c>
      <c r="AY125" s="44">
        <v>0</v>
      </c>
      <c r="AZ125" s="51">
        <v>0</v>
      </c>
      <c r="BA125" s="51">
        <v>0</v>
      </c>
      <c r="BB125" s="44">
        <v>0</v>
      </c>
      <c r="BC125" s="44">
        <v>0</v>
      </c>
      <c r="BD125" s="51">
        <v>0</v>
      </c>
      <c r="BE125" s="44">
        <v>0</v>
      </c>
      <c r="BF125" s="46">
        <f>(G125*F125*E125)+M125</f>
        <v>4500</v>
      </c>
      <c r="BG125" s="36">
        <f>(G125*F125*E125)+N125</f>
        <v>4500</v>
      </c>
      <c r="BH125" s="36">
        <f>(G125*F125*E125)+O125</f>
        <v>4500</v>
      </c>
      <c r="BI125" s="36">
        <f>(G125*F125*E125)+P125</f>
        <v>4500</v>
      </c>
      <c r="BJ125" s="36">
        <f>((H125*F125*E125)+(((F125*H125+L125)/D125)*M125))/(1.25-((H125-G125)/4))</f>
        <v>3600</v>
      </c>
      <c r="BK125" s="36">
        <f>((I125*F125*E125)+(((F125*I125+L125)/D125)*(N125-Q125)))/(1.25-((I125-G125)/4))</f>
        <v>3600</v>
      </c>
      <c r="BL125" s="36">
        <f>((J125*F125*E125)+(((F125*J125+L125)/D125)*(O125-Q125)))/(1.25-((J125-G125)/4))</f>
        <v>0</v>
      </c>
      <c r="BM125" s="36">
        <f>((K125*F125*E125)+(((F125*K125+L125)/D125)*(P125-Q125)))/(1.25-((K125-G125)/4))</f>
        <v>0</v>
      </c>
      <c r="BN125" s="39"/>
      <c r="BO125" s="36">
        <f>((BJ125/2)*R125)/2</f>
        <v>5271.4285714285706</v>
      </c>
      <c r="BP125" s="36">
        <f>((BK125)*(R125/2))/2</f>
        <v>5271.4285714285706</v>
      </c>
      <c r="BQ125" s="36">
        <f>((BL125*1.5)*(R125/3))/2</f>
        <v>0</v>
      </c>
      <c r="BR125" s="36">
        <f>((BM125*2)*(S125/4))/2</f>
        <v>0</v>
      </c>
      <c r="BS125" s="39"/>
      <c r="BT125" s="36">
        <f>(AE125*BO125)/2</f>
        <v>0</v>
      </c>
      <c r="BU125" s="36">
        <f>(AE125*BP125)/2</f>
        <v>0</v>
      </c>
      <c r="BV125" s="36">
        <f>(AE125*BQ125)/2</f>
        <v>0</v>
      </c>
      <c r="BW125" s="36">
        <f>(AE125*BR125)/2</f>
        <v>0</v>
      </c>
      <c r="BX125" s="39"/>
      <c r="BY125" s="14">
        <f>SUM(AE125*4, AC125*2, R125*2)/6-0.67</f>
        <v>3.2823809523809526</v>
      </c>
      <c r="BZ125" s="42">
        <f>SUM(AVERAGE(U125, (AVERAGE(BO125, BP125)/4000))*4, R125*4, S125*2)/7.5-0.67</f>
        <v>5.2052380952380952</v>
      </c>
      <c r="CA125" s="47">
        <f>SUM(W125*3, AVERAGE(BO125, BP125, BQ125, BR125)/3000)/3</f>
        <v>8.5428571428571427</v>
      </c>
      <c r="CB125" s="48">
        <f>IF(V125&lt;6, V125*Q125/2000, IF(V125&lt;7, V125*(AVERAGE(BJ125, BK125, BL125, BM125)/2000), V125*(AVERAGE(BJ125, BK125, BL125, BM125)/2000)*(Q125/2000)))/((10-S125+2)/4)</f>
        <v>0</v>
      </c>
      <c r="CC125" s="41">
        <f>SUM(AF125*4, AI125*2/(AH125+1), AG125*4)/7.5</f>
        <v>0</v>
      </c>
      <c r="CD125" s="14">
        <f>SUM(AI125*3, AJ125*2, AK125*2, AL125*2, AF125*3)/8</f>
        <v>0</v>
      </c>
      <c r="CE125" s="14">
        <f>SUM(U125*2, BA125*1, AN125*3)/4.5</f>
        <v>2.2222222222222223</v>
      </c>
      <c r="CF125" s="39"/>
    </row>
    <row r="126" spans="2:84" s="35" customFormat="1">
      <c r="B126" s="29">
        <v>18</v>
      </c>
      <c r="C126" s="37" t="s">
        <v>53</v>
      </c>
      <c r="D126" s="54">
        <v>4</v>
      </c>
      <c r="E126" s="54">
        <v>2480</v>
      </c>
      <c r="F126" s="54">
        <v>2.5</v>
      </c>
      <c r="G126" s="54">
        <v>1</v>
      </c>
      <c r="H126" s="54">
        <v>1</v>
      </c>
      <c r="I126" s="54">
        <v>0.5</v>
      </c>
      <c r="J126" s="54">
        <v>0</v>
      </c>
      <c r="K126" s="54">
        <v>0</v>
      </c>
      <c r="L126" s="54">
        <v>0</v>
      </c>
      <c r="M126" s="54">
        <v>0</v>
      </c>
      <c r="N126" s="54">
        <v>0</v>
      </c>
      <c r="O126" s="54">
        <v>0</v>
      </c>
      <c r="P126" s="54">
        <v>0</v>
      </c>
      <c r="Q126" s="56">
        <v>0</v>
      </c>
      <c r="R126" s="32">
        <f>10000/1400</f>
        <v>7.1428571428571432</v>
      </c>
      <c r="S126" s="33">
        <v>3</v>
      </c>
      <c r="T126" s="34">
        <v>0</v>
      </c>
      <c r="U126" s="34">
        <v>9</v>
      </c>
      <c r="V126" s="34">
        <v>6</v>
      </c>
      <c r="W126" s="34">
        <v>0</v>
      </c>
      <c r="X126" s="34">
        <v>4</v>
      </c>
      <c r="Y126" s="34">
        <v>0</v>
      </c>
      <c r="Z126" s="34">
        <v>3</v>
      </c>
      <c r="AA126" s="34">
        <v>0</v>
      </c>
      <c r="AB126" s="34">
        <v>0</v>
      </c>
      <c r="AC126" s="38">
        <v>6</v>
      </c>
      <c r="AD126" s="38">
        <v>0</v>
      </c>
      <c r="AE126" s="27">
        <f>(BA126/5+1)*AD126</f>
        <v>0</v>
      </c>
      <c r="AF126" s="38">
        <v>0</v>
      </c>
      <c r="AG126" s="38">
        <v>0</v>
      </c>
      <c r="AH126" s="38">
        <v>0</v>
      </c>
      <c r="AI126" s="38">
        <v>0</v>
      </c>
      <c r="AJ126" s="38">
        <v>0</v>
      </c>
      <c r="AK126" s="38">
        <v>0</v>
      </c>
      <c r="AL126" s="38">
        <v>0</v>
      </c>
      <c r="AM126" s="38">
        <v>0</v>
      </c>
      <c r="AN126" s="38">
        <v>2</v>
      </c>
      <c r="AO126" s="44">
        <v>0</v>
      </c>
      <c r="AP126" s="44">
        <v>0</v>
      </c>
      <c r="AQ126" s="51">
        <v>0</v>
      </c>
      <c r="AR126" s="44">
        <v>0</v>
      </c>
      <c r="AS126" s="44">
        <v>0</v>
      </c>
      <c r="AT126" s="44">
        <v>0</v>
      </c>
      <c r="AU126" s="44">
        <v>0</v>
      </c>
      <c r="AV126" s="44">
        <v>0</v>
      </c>
      <c r="AW126" s="50">
        <v>0</v>
      </c>
      <c r="AX126" s="44">
        <v>0</v>
      </c>
      <c r="AY126" s="44">
        <v>0</v>
      </c>
      <c r="AZ126" s="51">
        <v>0</v>
      </c>
      <c r="BA126" s="52">
        <v>1</v>
      </c>
      <c r="BB126" s="44">
        <v>0</v>
      </c>
      <c r="BC126" s="44">
        <v>3</v>
      </c>
      <c r="BD126" s="51">
        <v>7</v>
      </c>
      <c r="BE126" s="44">
        <v>0</v>
      </c>
      <c r="BF126" s="46">
        <f>(G126*F126*E126)+M126</f>
        <v>6200</v>
      </c>
      <c r="BG126" s="36">
        <f>(G126*F126*E126)+N126</f>
        <v>6200</v>
      </c>
      <c r="BH126" s="36">
        <f>(G126*F126*E126)+O126</f>
        <v>6200</v>
      </c>
      <c r="BI126" s="36">
        <f>(G126*F126*E126)+P126</f>
        <v>6200</v>
      </c>
      <c r="BJ126" s="36">
        <f>((H126*F126*E126)+(((F126*H126+L126)/D126)*M126))/(1.25-((H126-G126)/4))</f>
        <v>4960</v>
      </c>
      <c r="BK126" s="36">
        <f>((I126*F126*E126)+(((F126*I126+L126)/D126)*(N126-Q126)))/(1.25-((I126-G126)/4))</f>
        <v>2254.5454545454545</v>
      </c>
      <c r="BL126" s="36">
        <f>((J126*F126*E126)+(((F126*J126+L126)/D126)*(O126-Q126)))/(1.25-((J126-G126)/4))</f>
        <v>0</v>
      </c>
      <c r="BM126" s="36">
        <f>((K126*F126*E126)+(((F126*K126+L126)/D126)*(P126-Q126)))/(1.25-((K126-G126)/4))</f>
        <v>0</v>
      </c>
      <c r="BN126" s="39"/>
      <c r="BO126" s="36">
        <f>((BJ126/2)*R126)/2</f>
        <v>8857.1428571428569</v>
      </c>
      <c r="BP126" s="36">
        <f>((BK126)*(R126/2))/2</f>
        <v>4025.9740259740261</v>
      </c>
      <c r="BQ126" s="36">
        <f>((BL126*1.5)*(R126/3))/2</f>
        <v>0</v>
      </c>
      <c r="BR126" s="36">
        <f>((BM126*2)*(S126/4))/2</f>
        <v>0</v>
      </c>
      <c r="BS126" s="39"/>
      <c r="BT126" s="36">
        <f>(AE126*BO126)/2</f>
        <v>0</v>
      </c>
      <c r="BU126" s="36">
        <f>(AE126*BP126)/2</f>
        <v>0</v>
      </c>
      <c r="BV126" s="36">
        <f>(AE126*BQ126)/2</f>
        <v>0</v>
      </c>
      <c r="BW126" s="36">
        <f>(AE126*BR126)/2</f>
        <v>0</v>
      </c>
      <c r="BX126" s="39"/>
      <c r="BY126" s="14">
        <f>SUM(AE126*4, AC126*2, R126*2)/6-0.67</f>
        <v>3.7109523809523806</v>
      </c>
      <c r="BZ126" s="42">
        <f>SUM(AVERAGE(U126, (AVERAGE(BO126, BP126)/4000))*4, R126*4, S126*2)/7.5-0.67</f>
        <v>6.7689610389610388</v>
      </c>
      <c r="CA126" s="47">
        <f>SUM(W126*3, AVERAGE(BO126, BP126, BQ126, BR126)/3000)/3</f>
        <v>0.35786435786435788</v>
      </c>
      <c r="CB126" s="48">
        <f>IF(V126&lt;6, V126*Q126/2000, IF(V126&lt;7, V126*(AVERAGE(BJ126, BK126, BL126, BM126)/2000), V126*(AVERAGE(BJ126, BK126, BL126, BM126)/2000)*(Q126/2000)))/((10-S126+2)/4)</f>
        <v>2.4048484848484843</v>
      </c>
      <c r="CC126" s="41">
        <f>SUM(AF126*4, AI126*2/(AH126+1), AG126*4)/7.5</f>
        <v>0</v>
      </c>
      <c r="CD126" s="14">
        <f>SUM(AI126*3, AJ126*2, AK126*2, AL126*2, AF126*3)/8</f>
        <v>0</v>
      </c>
      <c r="CE126" s="14">
        <f>SUM(U126*2, BA126*1, AN126*3)/4.5</f>
        <v>5.5555555555555554</v>
      </c>
      <c r="CF126" s="39"/>
    </row>
    <row r="127" spans="2:84" s="35" customFormat="1">
      <c r="B127" s="29">
        <v>16</v>
      </c>
      <c r="C127" s="37" t="s">
        <v>84</v>
      </c>
      <c r="D127" s="54">
        <v>5</v>
      </c>
      <c r="E127" s="54">
        <v>1960</v>
      </c>
      <c r="F127" s="54">
        <v>2.15</v>
      </c>
      <c r="G127" s="54">
        <v>1</v>
      </c>
      <c r="H127" s="54">
        <v>1</v>
      </c>
      <c r="I127" s="54">
        <v>1</v>
      </c>
      <c r="J127" s="54">
        <v>0.5</v>
      </c>
      <c r="K127" s="54">
        <v>0</v>
      </c>
      <c r="L127" s="54">
        <v>2.5</v>
      </c>
      <c r="M127" s="54">
        <v>2400</v>
      </c>
      <c r="N127" s="54">
        <v>4800</v>
      </c>
      <c r="O127" s="54">
        <v>9600</v>
      </c>
      <c r="P127" s="54">
        <v>9600</v>
      </c>
      <c r="Q127" s="54">
        <v>4800</v>
      </c>
      <c r="R127" s="32">
        <f>7000/1400</f>
        <v>5</v>
      </c>
      <c r="S127" s="33">
        <v>6</v>
      </c>
      <c r="T127" s="34">
        <v>0</v>
      </c>
      <c r="U127" s="34">
        <v>1</v>
      </c>
      <c r="V127" s="34">
        <v>2</v>
      </c>
      <c r="W127" s="34">
        <f>(3 + 2 + 3 + 9)/4</f>
        <v>4.25</v>
      </c>
      <c r="X127" s="34">
        <v>0</v>
      </c>
      <c r="Y127" s="34">
        <v>0</v>
      </c>
      <c r="Z127" s="34">
        <v>6</v>
      </c>
      <c r="AA127" s="34">
        <v>0</v>
      </c>
      <c r="AB127" s="34">
        <v>0</v>
      </c>
      <c r="AC127" s="38">
        <v>5</v>
      </c>
      <c r="AD127" s="38">
        <v>0</v>
      </c>
      <c r="AE127" s="27">
        <f>(BA127/5+1)*AD127</f>
        <v>0</v>
      </c>
      <c r="AF127" s="38">
        <v>4</v>
      </c>
      <c r="AG127" s="38">
        <v>1</v>
      </c>
      <c r="AH127" s="38">
        <v>0</v>
      </c>
      <c r="AI127" s="38">
        <v>6</v>
      </c>
      <c r="AJ127" s="38">
        <v>7</v>
      </c>
      <c r="AK127" s="38">
        <v>10</v>
      </c>
      <c r="AL127" s="38">
        <v>0</v>
      </c>
      <c r="AM127" s="38">
        <v>2.5</v>
      </c>
      <c r="AN127" s="38">
        <v>9</v>
      </c>
      <c r="AO127" s="44">
        <v>0</v>
      </c>
      <c r="AP127" s="44">
        <v>0</v>
      </c>
      <c r="AQ127" s="51">
        <v>0</v>
      </c>
      <c r="AR127" s="44">
        <v>0</v>
      </c>
      <c r="AS127" s="44">
        <v>0</v>
      </c>
      <c r="AT127" s="44">
        <v>0</v>
      </c>
      <c r="AU127" s="44">
        <v>0</v>
      </c>
      <c r="AV127" s="44">
        <v>0</v>
      </c>
      <c r="AW127" s="50">
        <v>0</v>
      </c>
      <c r="AX127" s="44">
        <v>0</v>
      </c>
      <c r="AY127" s="44">
        <v>0</v>
      </c>
      <c r="AZ127" s="51">
        <v>0</v>
      </c>
      <c r="BA127" s="52">
        <v>0</v>
      </c>
      <c r="BB127" s="44">
        <v>0</v>
      </c>
      <c r="BC127" s="44">
        <v>0</v>
      </c>
      <c r="BD127" s="51">
        <v>7</v>
      </c>
      <c r="BE127" s="44">
        <v>0</v>
      </c>
      <c r="BF127" s="46">
        <f>(G127*F127*E127)+M127</f>
        <v>6614</v>
      </c>
      <c r="BG127" s="36">
        <f>(G127*F127*E127)+N127</f>
        <v>9014</v>
      </c>
      <c r="BH127" s="36">
        <f>(G127*F127*E127)+O127</f>
        <v>13814</v>
      </c>
      <c r="BI127" s="36">
        <f>(G127*F127*E127)+P127</f>
        <v>13814</v>
      </c>
      <c r="BJ127" s="36">
        <f>((H127*F127*E127)+(((F127*H127+L127)/D127)*M127))/(1.25-((H127-G127)/4))</f>
        <v>5156.8</v>
      </c>
      <c r="BK127" s="36">
        <f>((I127*F127*E127)+(((F127*I127+L127)/D127)*(N127-Q127)))/(1.25-((I127-G127)/4))</f>
        <v>3371.2</v>
      </c>
      <c r="BL127" s="36">
        <f>((J127*F127*E127)+(((F127*J127+L127)/D127)*(O127-Q127)))/(1.25-((J127-G127)/4))</f>
        <v>4028.3636363636365</v>
      </c>
      <c r="BM127" s="36">
        <f>((K127*F127*E127)+(((F127*K127+L127)/D127)*(P127-Q127)))/(1.25-((K127-G127)/4))</f>
        <v>1600</v>
      </c>
      <c r="BN127" s="39"/>
      <c r="BO127" s="36">
        <f>((BJ127/2)*R127)/2</f>
        <v>6446</v>
      </c>
      <c r="BP127" s="36">
        <f>((BK127)*(R127/2))/2</f>
        <v>4214</v>
      </c>
      <c r="BQ127" s="36">
        <f>((BL127*1.5)*(R127/3))/2</f>
        <v>5035.454545454546</v>
      </c>
      <c r="BR127" s="36">
        <f>((BM127*2)*(S127/4))/2</f>
        <v>2400</v>
      </c>
      <c r="BS127" s="39"/>
      <c r="BT127" s="36">
        <f>(AE127*BO127)/2</f>
        <v>0</v>
      </c>
      <c r="BU127" s="36">
        <f>(AE127*BP127)/2</f>
        <v>0</v>
      </c>
      <c r="BV127" s="36">
        <f>(AE127*BQ127)/2</f>
        <v>0</v>
      </c>
      <c r="BW127" s="36">
        <f>(AE127*BR127)/2</f>
        <v>0</v>
      </c>
      <c r="BX127" s="39"/>
      <c r="BY127" s="14">
        <f>SUM(AE127*4, AC127*2, R127*2)/6-0.67</f>
        <v>2.6633333333333336</v>
      </c>
      <c r="BZ127" s="42">
        <f>SUM(AVERAGE(U127, (AVERAGE(BO127, BP127)/4000))*4, R127*4, S127*2)/7.5-0.67</f>
        <v>4.2186666666666666</v>
      </c>
      <c r="CA127" s="47">
        <f>SUM(W127*3, AVERAGE(BO127, BP127, BQ127, BR127)/3000)/3</f>
        <v>4.7526515151515154</v>
      </c>
      <c r="CB127" s="48">
        <f>IF(V127&lt;6, V127*Q127/2000, IF(V127&lt;7, V127*(AVERAGE(BJ127, BK127, BL127, BM127)/2000), V127*(AVERAGE(BJ127, BK127, BL127, BM127)/2000)*(Q127/2000)))/((10-S127+2)/4)</f>
        <v>3.1999999999999997</v>
      </c>
      <c r="CC127" s="41">
        <f>SUM(AF127*4, AI127*2/(AH127+1), AG127*4)/7.5</f>
        <v>4.2666666666666666</v>
      </c>
      <c r="CD127" s="14">
        <f>SUM(AI127*3, AJ127*2, AK127*2, AL127*2, AF127*3)/8</f>
        <v>8</v>
      </c>
      <c r="CE127" s="14">
        <f>SUM(U127*2, BA127*1, AN127*3)/4.5</f>
        <v>6.4444444444444446</v>
      </c>
      <c r="CF127" s="39"/>
    </row>
    <row r="128" spans="2:84" s="35" customFormat="1">
      <c r="B128" s="29">
        <v>49</v>
      </c>
      <c r="C128" s="30" t="s">
        <v>77</v>
      </c>
      <c r="D128" s="54">
        <v>5</v>
      </c>
      <c r="E128" s="54">
        <v>2000</v>
      </c>
      <c r="F128" s="54">
        <v>1.65</v>
      </c>
      <c r="G128" s="54">
        <v>1</v>
      </c>
      <c r="H128" s="54">
        <v>1</v>
      </c>
      <c r="I128" s="54">
        <v>1</v>
      </c>
      <c r="J128" s="54">
        <v>0.5</v>
      </c>
      <c r="K128" s="54">
        <v>0</v>
      </c>
      <c r="L128" s="54">
        <v>1</v>
      </c>
      <c r="M128" s="54">
        <v>1800</v>
      </c>
      <c r="N128" s="54">
        <v>1800</v>
      </c>
      <c r="O128" s="54">
        <v>1800</v>
      </c>
      <c r="P128" s="54">
        <v>1800</v>
      </c>
      <c r="Q128" s="54">
        <v>1800</v>
      </c>
      <c r="R128" s="32">
        <f>8000/1400</f>
        <v>5.7142857142857144</v>
      </c>
      <c r="S128" s="33">
        <v>1</v>
      </c>
      <c r="T128" s="34">
        <f>(9 + 3 + 6)/3</f>
        <v>6</v>
      </c>
      <c r="U128" s="34">
        <v>1</v>
      </c>
      <c r="V128" s="34">
        <v>3</v>
      </c>
      <c r="W128" s="34">
        <v>0</v>
      </c>
      <c r="X128" s="34">
        <v>0</v>
      </c>
      <c r="Y128" s="34">
        <v>0</v>
      </c>
      <c r="Z128" s="34">
        <v>0</v>
      </c>
      <c r="AA128" s="34">
        <v>0</v>
      </c>
      <c r="AB128" s="34">
        <v>0</v>
      </c>
      <c r="AC128" s="31">
        <v>9</v>
      </c>
      <c r="AD128" s="31">
        <v>6</v>
      </c>
      <c r="AE128" s="27">
        <f>(BA128/5+1)*AD128</f>
        <v>6</v>
      </c>
      <c r="AF128" s="31">
        <v>0</v>
      </c>
      <c r="AG128" s="31">
        <v>0</v>
      </c>
      <c r="AH128" s="31">
        <v>0</v>
      </c>
      <c r="AI128" s="31">
        <v>0</v>
      </c>
      <c r="AJ128" s="31">
        <v>0</v>
      </c>
      <c r="AK128" s="31">
        <v>0</v>
      </c>
      <c r="AL128" s="31">
        <v>0</v>
      </c>
      <c r="AM128" s="31">
        <v>0</v>
      </c>
      <c r="AN128" s="31">
        <v>7</v>
      </c>
      <c r="AO128" s="44">
        <v>0</v>
      </c>
      <c r="AP128" s="44">
        <v>0</v>
      </c>
      <c r="AQ128" s="51">
        <v>0</v>
      </c>
      <c r="AR128" s="44">
        <v>0</v>
      </c>
      <c r="AS128" s="44">
        <v>0</v>
      </c>
      <c r="AT128" s="44">
        <v>0</v>
      </c>
      <c r="AU128" s="44">
        <v>0</v>
      </c>
      <c r="AV128" s="44">
        <v>0</v>
      </c>
      <c r="AW128" s="50">
        <v>0</v>
      </c>
      <c r="AX128" s="44">
        <v>0</v>
      </c>
      <c r="AY128" s="44">
        <v>0</v>
      </c>
      <c r="AZ128" s="51">
        <v>0</v>
      </c>
      <c r="BA128" s="51">
        <v>0</v>
      </c>
      <c r="BB128" s="44">
        <v>0</v>
      </c>
      <c r="BC128" s="44">
        <v>0</v>
      </c>
      <c r="BD128" s="51">
        <v>6</v>
      </c>
      <c r="BE128" s="44">
        <v>0</v>
      </c>
      <c r="BF128" s="46">
        <f>(G128*F128*E128)+M128</f>
        <v>5100</v>
      </c>
      <c r="BG128" s="36">
        <f>(G128*F128*E128)+N128</f>
        <v>5100</v>
      </c>
      <c r="BH128" s="36">
        <f>(G128*F128*E128)+O128</f>
        <v>5100</v>
      </c>
      <c r="BI128" s="36">
        <f>(G128*F128*E128)+P128</f>
        <v>5100</v>
      </c>
      <c r="BJ128" s="36">
        <f>((H128*F128*E128)+(((F128*H128+L128)/D128)*M128))/(1.25-((H128-G128)/4))</f>
        <v>3403.2</v>
      </c>
      <c r="BK128" s="36">
        <f>((I128*F128*E128)+(((F128*I128+L128)/D128)*(N128-Q128)))/(1.25-((I128-G128)/4))</f>
        <v>2640</v>
      </c>
      <c r="BL128" s="36">
        <f>((J128*F128*E128)+(((F128*J128+L128)/D128)*(O128-Q128)))/(1.25-((J128-G128)/4))</f>
        <v>1200</v>
      </c>
      <c r="BM128" s="36">
        <f>((K128*F128*E128)+(((F128*K128+L128)/D128)*(P128-Q128)))/(1.25-((K128-G128)/4))</f>
        <v>0</v>
      </c>
      <c r="BN128" s="39"/>
      <c r="BO128" s="36">
        <f>((BJ128/2)*R128)/2</f>
        <v>4861.7142857142853</v>
      </c>
      <c r="BP128" s="36">
        <f>((BK128)*(R128/2))/2</f>
        <v>3771.4285714285716</v>
      </c>
      <c r="BQ128" s="36">
        <f>((BL128*1.5)*(R128/3))/2</f>
        <v>1714.2857142857144</v>
      </c>
      <c r="BR128" s="36">
        <f>((BM128*2)*(S128/4))/2</f>
        <v>0</v>
      </c>
      <c r="BS128" s="39"/>
      <c r="BT128" s="36">
        <f>(AE128*BO128)/2</f>
        <v>14585.142857142855</v>
      </c>
      <c r="BU128" s="36">
        <f>(AE128*BP128)/2</f>
        <v>11314.285714285714</v>
      </c>
      <c r="BV128" s="36">
        <f>(AE128*BQ128)/2</f>
        <v>5142.8571428571431</v>
      </c>
      <c r="BW128" s="36">
        <f>(AE128*BR128)/2</f>
        <v>0</v>
      </c>
      <c r="BX128" s="39"/>
      <c r="BY128" s="14">
        <f>SUM(AE128*4, AC128*2, R128*2)/6-0.67</f>
        <v>8.2347619047619052</v>
      </c>
      <c r="BZ128" s="42">
        <f>SUM(AVERAGE(U128, (AVERAGE(BO128, BP128)/4000))*4, R128*4, S128*2)/7.5-0.67</f>
        <v>3.1987238095238095</v>
      </c>
      <c r="CA128" s="47">
        <f>SUM(W128*3, AVERAGE(BO128, BP128, BQ128, BR128)/3000)/3</f>
        <v>0.28742857142857142</v>
      </c>
      <c r="CB128" s="48">
        <f>IF(V128&lt;6, V128*Q128/2000, IF(V128&lt;7, V128*(AVERAGE(BJ128, BK128, BL128, BM128)/2000), V128*(AVERAGE(BJ128, BK128, BL128, BM128)/2000)*(Q128/2000)))/((10-S128+2)/4)</f>
        <v>0.98181818181818192</v>
      </c>
      <c r="CC128" s="41">
        <f>SUM(AF128*4, AI128*2/(AH128+1), AG128*4)/7.5</f>
        <v>0</v>
      </c>
      <c r="CD128" s="14">
        <f>SUM(AI128*3, AJ128*2, AK128*2, AL128*2, AF128*3)/8</f>
        <v>0</v>
      </c>
      <c r="CE128" s="14">
        <f>SUM(U128*2, BA128*1, AN128*3)/4.5</f>
        <v>5.1111111111111107</v>
      </c>
      <c r="CF128" s="39"/>
    </row>
    <row r="129" spans="2:84" s="35" customFormat="1">
      <c r="B129" s="29">
        <v>12</v>
      </c>
      <c r="C129" s="37" t="s">
        <v>101</v>
      </c>
      <c r="D129" s="54">
        <v>6</v>
      </c>
      <c r="E129" s="54">
        <v>1360</v>
      </c>
      <c r="F129" s="54">
        <v>1.65</v>
      </c>
      <c r="G129" s="54">
        <v>2</v>
      </c>
      <c r="H129" s="54">
        <v>1</v>
      </c>
      <c r="I129" s="54">
        <v>2</v>
      </c>
      <c r="J129" s="54">
        <v>1</v>
      </c>
      <c r="K129" s="54">
        <v>1</v>
      </c>
      <c r="L129" s="54">
        <v>2</v>
      </c>
      <c r="M129" s="54">
        <v>4000</v>
      </c>
      <c r="N129" s="54">
        <v>3000</v>
      </c>
      <c r="O129" s="54">
        <v>2000</v>
      </c>
      <c r="P129" s="54">
        <v>1000</v>
      </c>
      <c r="Q129" s="56">
        <v>2000</v>
      </c>
      <c r="R129" s="32">
        <f>4800/1400</f>
        <v>3.4285714285714284</v>
      </c>
      <c r="S129" s="33">
        <v>7</v>
      </c>
      <c r="T129" s="34">
        <v>0</v>
      </c>
      <c r="U129" s="34">
        <v>1</v>
      </c>
      <c r="V129" s="34">
        <v>7</v>
      </c>
      <c r="W129" s="34">
        <f>(6 + 2 + 3 + 8)/4</f>
        <v>4.75</v>
      </c>
      <c r="X129" s="34">
        <v>1</v>
      </c>
      <c r="Y129" s="34">
        <v>0</v>
      </c>
      <c r="Z129" s="34">
        <v>6</v>
      </c>
      <c r="AA129" s="34">
        <v>0</v>
      </c>
      <c r="AB129" s="34">
        <v>0</v>
      </c>
      <c r="AC129" s="38">
        <v>5</v>
      </c>
      <c r="AD129" s="38">
        <v>0</v>
      </c>
      <c r="AE129" s="27">
        <f>(BA129/5+1)*AD129</f>
        <v>0</v>
      </c>
      <c r="AF129" s="38">
        <v>4</v>
      </c>
      <c r="AG129" s="38">
        <v>1</v>
      </c>
      <c r="AH129" s="38">
        <v>0</v>
      </c>
      <c r="AI129" s="38">
        <v>2</v>
      </c>
      <c r="AJ129" s="38">
        <v>6</v>
      </c>
      <c r="AK129" s="38">
        <v>1</v>
      </c>
      <c r="AL129" s="38">
        <v>10</v>
      </c>
      <c r="AM129" s="38">
        <v>5</v>
      </c>
      <c r="AN129" s="38">
        <v>1</v>
      </c>
      <c r="AO129" s="44">
        <v>0</v>
      </c>
      <c r="AP129" s="44">
        <v>0</v>
      </c>
      <c r="AQ129" s="51">
        <v>0</v>
      </c>
      <c r="AR129" s="44">
        <v>0</v>
      </c>
      <c r="AS129" s="44">
        <v>0</v>
      </c>
      <c r="AT129" s="44">
        <v>0</v>
      </c>
      <c r="AU129" s="44">
        <v>0</v>
      </c>
      <c r="AV129" s="44">
        <v>0</v>
      </c>
      <c r="AW129" s="50">
        <v>0</v>
      </c>
      <c r="AX129" s="44">
        <v>0</v>
      </c>
      <c r="AY129" s="44">
        <v>0</v>
      </c>
      <c r="AZ129" s="51">
        <v>0</v>
      </c>
      <c r="BA129" s="52">
        <v>0</v>
      </c>
      <c r="BB129" s="44">
        <v>0</v>
      </c>
      <c r="BC129" s="44">
        <v>0.5</v>
      </c>
      <c r="BD129" s="51">
        <v>7</v>
      </c>
      <c r="BE129" s="44">
        <v>0</v>
      </c>
      <c r="BF129" s="46">
        <f>(G129*F129*E129)+M129</f>
        <v>8488</v>
      </c>
      <c r="BG129" s="36">
        <f>(G129*F129*E129)+N129</f>
        <v>7488</v>
      </c>
      <c r="BH129" s="36">
        <f>(G129*F129*E129)+O129</f>
        <v>6488</v>
      </c>
      <c r="BI129" s="36">
        <f>(G129*F129*E129)+P129</f>
        <v>5488</v>
      </c>
      <c r="BJ129" s="36">
        <f>((H129*F129*E129)+(((F129*H129+L129)/D129)*M129))/(1.25-((H129-G129)/4))</f>
        <v>3118.2222222222222</v>
      </c>
      <c r="BK129" s="36">
        <f>((I129*F129*E129)+(((F129*I129+L129)/D129)*(N129-Q129)))/(1.25-((I129-G129)/4))</f>
        <v>4297.0666666666666</v>
      </c>
      <c r="BL129" s="36">
        <f>((J129*F129*E129)+(((F129*J129+L129)/D129)*(O129-Q129)))/(1.25-((J129-G129)/4))</f>
        <v>1496</v>
      </c>
      <c r="BM129" s="36">
        <f>((K129*F129*E129)+(((F129*K129+L129)/D129)*(P129-Q129)))/(1.25-((K129-G129)/4))</f>
        <v>1090.4444444444446</v>
      </c>
      <c r="BN129" s="39"/>
      <c r="BO129" s="36">
        <f>((BJ129/2)*R129)/2</f>
        <v>2672.7619047619046</v>
      </c>
      <c r="BP129" s="36">
        <f>((BK129)*(R129/2))/2</f>
        <v>3683.2</v>
      </c>
      <c r="BQ129" s="36">
        <f>((BL129*1.5)*(R129/3))/2</f>
        <v>1282.2857142857142</v>
      </c>
      <c r="BR129" s="36">
        <f>((BM129*2)*(S129/4))/2</f>
        <v>1908.2777777777781</v>
      </c>
      <c r="BS129" s="39"/>
      <c r="BT129" s="36">
        <f>(AE129*BO129)/2</f>
        <v>0</v>
      </c>
      <c r="BU129" s="36">
        <f>(AE129*BP129)/2</f>
        <v>0</v>
      </c>
      <c r="BV129" s="36">
        <f>(AE129*BQ129)/2</f>
        <v>0</v>
      </c>
      <c r="BW129" s="36">
        <f>(AE129*BR129)/2</f>
        <v>0</v>
      </c>
      <c r="BX129" s="39"/>
      <c r="BY129" s="14">
        <f>SUM(AE129*4, AC129*2, R129*2)/6-0.67</f>
        <v>2.1395238095238098</v>
      </c>
      <c r="BZ129" s="42">
        <f>SUM(AVERAGE(U129, (AVERAGE(BO129, BP129)/4000))*4, R129*4, S129*2)/7.5-0.67</f>
        <v>3.5037701587301591</v>
      </c>
      <c r="CA129" s="47">
        <f>SUM(W129*3, AVERAGE(BO129, BP129, BQ129, BR129)/3000)/3</f>
        <v>5.0151812610229278</v>
      </c>
      <c r="CB129" s="48">
        <f>IF(V129&lt;6, V129*Q129/2000, IF(V129&lt;7, V129*(AVERAGE(BJ129, BK129, BL129, BM129)/2000), V129*(AVERAGE(BJ129, BK129, BL129, BM129)/2000)*(Q129/2000)))/((10-S129+2)/4)</f>
        <v>7.0012133333333342</v>
      </c>
      <c r="CC129" s="41">
        <f>SUM(AF129*4, AI129*2/(AH129+1), AG129*4)/7.5</f>
        <v>3.2</v>
      </c>
      <c r="CD129" s="14">
        <f>SUM(AI129*3, AJ129*2, AK129*2, AL129*2, AF129*3)/8</f>
        <v>6.5</v>
      </c>
      <c r="CE129" s="14">
        <f>SUM(U129*2, BA129*1, AN129*3)/4.5</f>
        <v>1.1111111111111112</v>
      </c>
      <c r="CF129" s="39"/>
    </row>
    <row r="130" spans="2:84" s="35" customFormat="1">
      <c r="B130" s="29">
        <v>76</v>
      </c>
      <c r="C130" s="30" t="s">
        <v>57</v>
      </c>
      <c r="D130" s="54">
        <v>7</v>
      </c>
      <c r="E130" s="54">
        <v>1800</v>
      </c>
      <c r="F130" s="54">
        <v>2.5</v>
      </c>
      <c r="G130" s="54">
        <v>1</v>
      </c>
      <c r="H130" s="54">
        <v>1</v>
      </c>
      <c r="I130" s="54">
        <v>1</v>
      </c>
      <c r="J130" s="54">
        <v>0.5</v>
      </c>
      <c r="K130" s="54">
        <v>0.5</v>
      </c>
      <c r="L130" s="54">
        <v>2.5</v>
      </c>
      <c r="M130" s="54">
        <v>4800</v>
      </c>
      <c r="N130" s="54">
        <v>9600</v>
      </c>
      <c r="O130" s="54">
        <v>800</v>
      </c>
      <c r="P130" s="54">
        <v>0</v>
      </c>
      <c r="Q130" s="55">
        <v>3200</v>
      </c>
      <c r="R130" s="32">
        <f>6200/1400</f>
        <v>4.4285714285714288</v>
      </c>
      <c r="S130" s="33">
        <v>7</v>
      </c>
      <c r="T130" s="34">
        <v>0</v>
      </c>
      <c r="U130" s="34">
        <v>1</v>
      </c>
      <c r="V130" s="34">
        <v>1</v>
      </c>
      <c r="W130" s="34">
        <v>0</v>
      </c>
      <c r="X130" s="34">
        <v>0</v>
      </c>
      <c r="Y130" s="34">
        <v>1</v>
      </c>
      <c r="Z130" s="34">
        <v>7</v>
      </c>
      <c r="AA130" s="34">
        <v>0</v>
      </c>
      <c r="AB130" s="34">
        <v>0</v>
      </c>
      <c r="AC130" s="31">
        <v>5</v>
      </c>
      <c r="AD130" s="31">
        <v>0</v>
      </c>
      <c r="AE130" s="27">
        <f>(BA130/5+1)*AD130</f>
        <v>0</v>
      </c>
      <c r="AF130" s="31">
        <v>4</v>
      </c>
      <c r="AG130" s="31">
        <v>1</v>
      </c>
      <c r="AH130" s="31">
        <v>0</v>
      </c>
      <c r="AI130" s="31">
        <v>7</v>
      </c>
      <c r="AJ130" s="31">
        <v>4</v>
      </c>
      <c r="AK130" s="31">
        <v>4</v>
      </c>
      <c r="AL130" s="31">
        <v>4</v>
      </c>
      <c r="AM130" s="31">
        <v>7.5</v>
      </c>
      <c r="AN130" s="31">
        <v>0</v>
      </c>
      <c r="AO130" s="44">
        <v>0</v>
      </c>
      <c r="AP130" s="44">
        <v>0</v>
      </c>
      <c r="AQ130" s="51">
        <v>0</v>
      </c>
      <c r="AR130" s="44">
        <v>0</v>
      </c>
      <c r="AS130" s="44">
        <v>0</v>
      </c>
      <c r="AT130" s="44">
        <v>0</v>
      </c>
      <c r="AU130" s="44">
        <v>0</v>
      </c>
      <c r="AV130" s="44">
        <v>0</v>
      </c>
      <c r="AW130" s="50">
        <v>0</v>
      </c>
      <c r="AX130" s="44">
        <v>0</v>
      </c>
      <c r="AY130" s="44">
        <f>(5 + 6 + 8)/3</f>
        <v>6.333333333333333</v>
      </c>
      <c r="AZ130" s="51">
        <v>0</v>
      </c>
      <c r="BA130" s="51">
        <v>0</v>
      </c>
      <c r="BB130" s="44">
        <v>0</v>
      </c>
      <c r="BC130" s="44">
        <v>0</v>
      </c>
      <c r="BD130" s="51">
        <v>7</v>
      </c>
      <c r="BE130" s="44">
        <v>0</v>
      </c>
      <c r="BF130" s="46">
        <f>(G130*F130*E130)+M130</f>
        <v>9300</v>
      </c>
      <c r="BG130" s="36">
        <f>(G130*F130*E130)+N130</f>
        <v>14100</v>
      </c>
      <c r="BH130" s="36">
        <f>(G130*F130*E130)+O130</f>
        <v>5300</v>
      </c>
      <c r="BI130" s="36">
        <f>(G130*F130*E130)+P130</f>
        <v>4500</v>
      </c>
      <c r="BJ130" s="36">
        <f>((H130*F130*E130)+(((F130*H130+L130)/D130)*M130))/(1.25-((H130-G130)/4))</f>
        <v>6342.8571428571431</v>
      </c>
      <c r="BK130" s="36">
        <f>((I130*F130*E130)+(((F130*I130+L130)/D130)*(N130-Q130)))/(1.25-((I130-G130)/4))</f>
        <v>7257.1428571428578</v>
      </c>
      <c r="BL130" s="36">
        <f>((J130*F130*E130)+(((F130*J130+L130)/D130)*(O130-Q130)))/(1.25-((J130-G130)/4))</f>
        <v>701.2987012987013</v>
      </c>
      <c r="BM130" s="36">
        <f>((K130*F130*E130)+(((F130*K130+L130)/D130)*(P130-Q130)))/(1.25-((K130-G130)/4))</f>
        <v>389.61038961038963</v>
      </c>
      <c r="BN130" s="39"/>
      <c r="BO130" s="36">
        <f>((BJ130/2)*R130)/2</f>
        <v>7022.4489795918371</v>
      </c>
      <c r="BP130" s="36">
        <f>((BK130)*(R130/2))/2</f>
        <v>8034.6938775510216</v>
      </c>
      <c r="BQ130" s="36">
        <f>((BL130*1.5)*(R130/3))/2</f>
        <v>776.43784786641925</v>
      </c>
      <c r="BR130" s="36">
        <f>((BM130*2)*(S130/4))/2</f>
        <v>681.81818181818187</v>
      </c>
      <c r="BS130" s="39"/>
      <c r="BT130" s="36">
        <f>(AE130*BO130)/2</f>
        <v>0</v>
      </c>
      <c r="BU130" s="36">
        <f>(AE130*BP130)/2</f>
        <v>0</v>
      </c>
      <c r="BV130" s="36">
        <f>(AE130*BQ130)/2</f>
        <v>0</v>
      </c>
      <c r="BW130" s="36">
        <f>(AE130*BR130)/2</f>
        <v>0</v>
      </c>
      <c r="BX130" s="39"/>
      <c r="BY130" s="14">
        <f>SUM(AE130*4, AC130*2, R130*2)/6-0.67</f>
        <v>2.4728571428571429</v>
      </c>
      <c r="BZ130" s="42">
        <f>SUM(AVERAGE(U130, (AVERAGE(BO130, BP130)/4000))*4, R130*4, S130*2)/7.5-0.67</f>
        <v>4.3271428571428574</v>
      </c>
      <c r="CA130" s="47">
        <f>SUM(W130*3, AVERAGE(BO130, BP130, BQ130, BR130)/3000)/3</f>
        <v>0.45876108018965156</v>
      </c>
      <c r="CB130" s="48">
        <f>IF(V130&lt;6, V130*Q130/2000, IF(V130&lt;7, V130*(AVERAGE(BJ130, BK130, BL130, BM130)/2000), V130*(AVERAGE(BJ130, BK130, BL130, BM130)/2000)*(Q130/2000)))/((10-S130+2)/4)</f>
        <v>1.28</v>
      </c>
      <c r="CC130" s="41">
        <f>SUM(AF130*4, AI130*2/(AH130+1), AG130*4)/7.5</f>
        <v>4.5333333333333332</v>
      </c>
      <c r="CD130" s="14">
        <f>SUM(AI130*3, AJ130*2, AK130*2, AL130*2, AF130*3)/8</f>
        <v>7.125</v>
      </c>
      <c r="CE130" s="14">
        <f>SUM(U130*2, BA130*1, AN130*3)/4.5</f>
        <v>0.44444444444444442</v>
      </c>
      <c r="CF130" s="39"/>
    </row>
    <row r="131" spans="2:84" s="35" customFormat="1">
      <c r="B131" s="29">
        <v>61</v>
      </c>
      <c r="C131" s="30" t="s">
        <v>40</v>
      </c>
      <c r="D131" s="54">
        <v>9</v>
      </c>
      <c r="E131" s="54">
        <v>1100</v>
      </c>
      <c r="F131" s="54">
        <v>2.5</v>
      </c>
      <c r="G131" s="54">
        <v>1.5</v>
      </c>
      <c r="H131" s="54">
        <v>3</v>
      </c>
      <c r="I131" s="54">
        <v>2.5</v>
      </c>
      <c r="J131" s="54">
        <v>1.5</v>
      </c>
      <c r="K131" s="54">
        <v>0.5</v>
      </c>
      <c r="L131" s="54">
        <v>1.5</v>
      </c>
      <c r="M131" s="54">
        <v>0</v>
      </c>
      <c r="N131" s="54">
        <v>400</v>
      </c>
      <c r="O131" s="54">
        <v>1200</v>
      </c>
      <c r="P131" s="54">
        <v>800</v>
      </c>
      <c r="Q131" s="55">
        <v>400</v>
      </c>
      <c r="R131" s="32">
        <f>6200/1400</f>
        <v>4.4285714285714288</v>
      </c>
      <c r="S131" s="33">
        <v>8</v>
      </c>
      <c r="T131" s="34">
        <v>0</v>
      </c>
      <c r="U131" s="34">
        <v>2</v>
      </c>
      <c r="V131" s="34">
        <v>1</v>
      </c>
      <c r="W131" s="34">
        <v>0</v>
      </c>
      <c r="X131" s="34">
        <v>0</v>
      </c>
      <c r="Y131" s="34">
        <v>1</v>
      </c>
      <c r="Z131" s="34">
        <v>7</v>
      </c>
      <c r="AA131" s="34">
        <v>0</v>
      </c>
      <c r="AB131" s="34">
        <v>0</v>
      </c>
      <c r="AC131" s="31">
        <v>5</v>
      </c>
      <c r="AD131" s="31">
        <v>0</v>
      </c>
      <c r="AE131" s="27">
        <f>(BA131/5+1)*AD131</f>
        <v>0</v>
      </c>
      <c r="AF131" s="31">
        <v>8</v>
      </c>
      <c r="AG131" s="31">
        <v>7</v>
      </c>
      <c r="AH131" s="31">
        <v>1</v>
      </c>
      <c r="AI131" s="31">
        <v>2</v>
      </c>
      <c r="AJ131" s="31">
        <v>2</v>
      </c>
      <c r="AK131" s="31">
        <v>1</v>
      </c>
      <c r="AL131" s="31">
        <v>8</v>
      </c>
      <c r="AM131" s="31">
        <v>7.5</v>
      </c>
      <c r="AN131" s="31">
        <v>0</v>
      </c>
      <c r="AO131" s="44">
        <v>0</v>
      </c>
      <c r="AP131" s="44">
        <v>0</v>
      </c>
      <c r="AQ131" s="51">
        <v>0</v>
      </c>
      <c r="AR131" s="44">
        <v>0</v>
      </c>
      <c r="AS131" s="44">
        <v>0</v>
      </c>
      <c r="AT131" s="44">
        <v>0</v>
      </c>
      <c r="AU131" s="44">
        <v>0</v>
      </c>
      <c r="AV131" s="44">
        <v>0</v>
      </c>
      <c r="AW131" s="50">
        <v>0</v>
      </c>
      <c r="AX131" s="44">
        <v>0</v>
      </c>
      <c r="AY131" s="44">
        <v>0</v>
      </c>
      <c r="AZ131" s="51">
        <v>0</v>
      </c>
      <c r="BA131" s="51">
        <v>0</v>
      </c>
      <c r="BB131" s="44">
        <v>0</v>
      </c>
      <c r="BC131" s="44">
        <v>0</v>
      </c>
      <c r="BD131" s="51">
        <v>6</v>
      </c>
      <c r="BE131" s="44">
        <v>0</v>
      </c>
      <c r="BF131" s="46">
        <f>(G131*F131*E131)+M131</f>
        <v>4125</v>
      </c>
      <c r="BG131" s="36">
        <f>(G131*F131*E131)+N131</f>
        <v>4525</v>
      </c>
      <c r="BH131" s="36">
        <f>(G131*F131*E131)+O131</f>
        <v>5325</v>
      </c>
      <c r="BI131" s="36">
        <f>(G131*F131*E131)+P131</f>
        <v>4925</v>
      </c>
      <c r="BJ131" s="36">
        <f>((H131*F131*E131)+(((F131*H131+L131)/D131)*M131))/(1.25-((H131-G131)/4))</f>
        <v>9428.5714285714294</v>
      </c>
      <c r="BK131" s="36">
        <f>((I131*F131*E131)+(((F131*I131+L131)/D131)*(N131-Q131)))/(1.25-((I131-G131)/4))</f>
        <v>6875</v>
      </c>
      <c r="BL131" s="36">
        <f>((J131*F131*E131)+(((F131*J131+L131)/D131)*(O131-Q131)))/(1.25-((J131-G131)/4))</f>
        <v>3673.3333333333335</v>
      </c>
      <c r="BM131" s="36">
        <f>((K131*F131*E131)+(((F131*K131+L131)/D131)*(P131-Q131)))/(1.25-((K131-G131)/4))</f>
        <v>998.14814814814815</v>
      </c>
      <c r="BN131" s="39"/>
      <c r="BO131" s="36">
        <f>((BJ131/2)*R131)/2</f>
        <v>10438.775510204083</v>
      </c>
      <c r="BP131" s="36">
        <f>((BK131)*(R131/2))/2</f>
        <v>7611.6071428571431</v>
      </c>
      <c r="BQ131" s="36">
        <f>((BL131*1.5)*(R131/3))/2</f>
        <v>4066.9047619047619</v>
      </c>
      <c r="BR131" s="36">
        <f>((BM131*2)*(S131/4))/2</f>
        <v>1996.2962962962963</v>
      </c>
      <c r="BS131" s="39"/>
      <c r="BT131" s="36">
        <f>(AE131*BO131)/2</f>
        <v>0</v>
      </c>
      <c r="BU131" s="36">
        <f>(AE131*BP131)/2</f>
        <v>0</v>
      </c>
      <c r="BV131" s="36">
        <f>(AE131*BQ131)/2</f>
        <v>0</v>
      </c>
      <c r="BW131" s="36">
        <f>(AE131*BR131)/2</f>
        <v>0</v>
      </c>
      <c r="BX131" s="39"/>
      <c r="BY131" s="14">
        <f>SUM(AE131*4, AC131*2, R131*2)/6-0.67</f>
        <v>2.4728571428571429</v>
      </c>
      <c r="BZ131" s="42">
        <f>SUM(AVERAGE(U131, (AVERAGE(BO131, BP131)/4000))*4, R131*4, S131*2)/7.5-0.67</f>
        <v>4.9602508503401364</v>
      </c>
      <c r="CA131" s="47">
        <f>SUM(W131*3, AVERAGE(BO131, BP131, BQ131, BR131)/3000)/3</f>
        <v>0.66982176975728569</v>
      </c>
      <c r="CB131" s="48">
        <f>IF(V131&lt;6, V131*Q131/2000, IF(V131&lt;7, V131*(AVERAGE(BJ131, BK131, BL131, BM131)/2000), V131*(AVERAGE(BJ131, BK131, BL131, BM131)/2000)*(Q131/2000)))/((10-S131+2)/4)</f>
        <v>0.2</v>
      </c>
      <c r="CC131" s="41">
        <f>SUM(AF131*4, AI131*2/(AH131+1), AG131*4)/7.5</f>
        <v>8.2666666666666675</v>
      </c>
      <c r="CD131" s="14">
        <f>SUM(AI131*3, AJ131*2, AK131*2, AL131*2, AF131*3)/8</f>
        <v>6.5</v>
      </c>
      <c r="CE131" s="14">
        <f>SUM(U131*2, BA131*1, AN131*3)/4.5</f>
        <v>0.88888888888888884</v>
      </c>
      <c r="CF131" s="39"/>
    </row>
    <row r="132" spans="2:84">
      <c r="B132" s="4">
        <v>52</v>
      </c>
      <c r="C132" s="11" t="s">
        <v>69</v>
      </c>
      <c r="D132" s="54">
        <v>14</v>
      </c>
      <c r="E132" s="54">
        <v>640</v>
      </c>
      <c r="F132" s="54">
        <v>3.3</v>
      </c>
      <c r="G132" s="54">
        <v>3</v>
      </c>
      <c r="H132" s="54">
        <v>4</v>
      </c>
      <c r="I132" s="54">
        <v>3.5</v>
      </c>
      <c r="J132" s="54">
        <v>2.5</v>
      </c>
      <c r="K132" s="54">
        <v>0</v>
      </c>
      <c r="L132" s="54">
        <v>0</v>
      </c>
      <c r="M132" s="54">
        <v>0</v>
      </c>
      <c r="N132" s="54">
        <v>0</v>
      </c>
      <c r="O132" s="54">
        <v>0</v>
      </c>
      <c r="P132" s="54">
        <v>0</v>
      </c>
      <c r="Q132" s="55">
        <v>0</v>
      </c>
      <c r="R132" s="32">
        <f>7000/1400</f>
        <v>5</v>
      </c>
      <c r="S132" s="33">
        <v>7</v>
      </c>
      <c r="T132" s="34">
        <f>(6 + 4 + 7)/3</f>
        <v>5.666666666666667</v>
      </c>
      <c r="U132" s="34">
        <v>3</v>
      </c>
      <c r="V132" s="34">
        <v>0</v>
      </c>
      <c r="W132" s="34">
        <v>0</v>
      </c>
      <c r="X132" s="34">
        <v>0</v>
      </c>
      <c r="Y132" s="34">
        <v>0</v>
      </c>
      <c r="Z132" s="34">
        <v>6</v>
      </c>
      <c r="AA132" s="34">
        <v>0</v>
      </c>
      <c r="AB132" s="34">
        <v>0</v>
      </c>
      <c r="AC132" s="31">
        <v>9</v>
      </c>
      <c r="AD132" s="31">
        <v>0</v>
      </c>
      <c r="AE132" s="27">
        <f>(BA132/5+1)*AD132</f>
        <v>0</v>
      </c>
      <c r="AF132" s="31">
        <v>0</v>
      </c>
      <c r="AG132" s="31">
        <v>0</v>
      </c>
      <c r="AH132" s="31">
        <v>0</v>
      </c>
      <c r="AI132" s="31">
        <v>0</v>
      </c>
      <c r="AJ132" s="31">
        <v>0</v>
      </c>
      <c r="AK132" s="31">
        <v>0</v>
      </c>
      <c r="AL132" s="31">
        <v>0</v>
      </c>
      <c r="AM132" s="31">
        <v>0</v>
      </c>
      <c r="AN132" s="31">
        <v>0</v>
      </c>
      <c r="AO132" s="44">
        <v>0</v>
      </c>
      <c r="AP132" s="44">
        <v>0</v>
      </c>
      <c r="AQ132" s="51">
        <v>0</v>
      </c>
      <c r="AR132" s="44">
        <v>0</v>
      </c>
      <c r="AS132" s="44">
        <f>(5 + 4)/2</f>
        <v>4.5</v>
      </c>
      <c r="AT132" s="44">
        <v>0</v>
      </c>
      <c r="AU132" s="44">
        <v>0</v>
      </c>
      <c r="AV132" s="44">
        <v>0</v>
      </c>
      <c r="AW132" s="50">
        <v>0</v>
      </c>
      <c r="AX132" s="44">
        <v>0</v>
      </c>
      <c r="AY132" s="44">
        <v>0</v>
      </c>
      <c r="AZ132" s="51">
        <v>0</v>
      </c>
      <c r="BA132" s="51">
        <v>0</v>
      </c>
      <c r="BB132" s="44">
        <v>0</v>
      </c>
      <c r="BC132" s="44">
        <v>0</v>
      </c>
      <c r="BD132" s="51">
        <v>6</v>
      </c>
      <c r="BE132" s="44">
        <v>0</v>
      </c>
      <c r="BF132" s="46">
        <f>(G132*F132*E132)+M132</f>
        <v>6335.9999999999991</v>
      </c>
      <c r="BG132" s="36">
        <f>(G132*F132*E132)+N132</f>
        <v>6335.9999999999991</v>
      </c>
      <c r="BH132" s="36">
        <f>(G132*F132*E132)+O132</f>
        <v>6335.9999999999991</v>
      </c>
      <c r="BI132" s="36">
        <f>(G132*F132*E132)+P132</f>
        <v>6335.9999999999991</v>
      </c>
      <c r="BJ132" s="36">
        <f>((H132*F132*E132)+(((F132*H132+L132)/D132)*M132))/(1.25-((H132-G132)/4))</f>
        <v>8448</v>
      </c>
      <c r="BK132" s="36">
        <f>((I132*F132*E132)+(((F132*I132+L132)/D132)*(N132-Q132)))/(1.25-((I132-G132)/4))</f>
        <v>6570.6666666666661</v>
      </c>
      <c r="BL132" s="36">
        <f>((J132*F132*E132)+(((F132*J132+L132)/D132)*(O132-Q132)))/(1.25-((J132-G132)/4))</f>
        <v>3840</v>
      </c>
      <c r="BM132" s="36">
        <f>((K132*F132*E132)+(((F132*K132+L132)/D132)*(P132-Q132)))/(1.25-((K132-G132)/4))</f>
        <v>0</v>
      </c>
      <c r="BN132" s="39"/>
      <c r="BO132" s="36">
        <f>((BJ132/2)*R132)/2</f>
        <v>10560</v>
      </c>
      <c r="BP132" s="36">
        <f>((BK132)*(R132/2))/2</f>
        <v>8213.3333333333321</v>
      </c>
      <c r="BQ132" s="36">
        <f>((BL132*1.5)*(R132/3))/2</f>
        <v>4800</v>
      </c>
      <c r="BR132" s="36">
        <f>((BM132*2)*(S132/4))/2</f>
        <v>0</v>
      </c>
      <c r="BS132" s="39"/>
      <c r="BT132" s="36">
        <f>(AE132*BO132)/2</f>
        <v>0</v>
      </c>
      <c r="BU132" s="36">
        <f>(AE132*BP132)/2</f>
        <v>0</v>
      </c>
      <c r="BV132" s="36">
        <f>(AE132*BQ132)/2</f>
        <v>0</v>
      </c>
      <c r="BW132" s="36">
        <f>(AE132*BR132)/2</f>
        <v>0</v>
      </c>
      <c r="BX132" s="39"/>
      <c r="BY132" s="14">
        <f>SUM(AE132*4, AC132*2, R132*2)/6-0.67</f>
        <v>3.996666666666667</v>
      </c>
      <c r="BZ132" s="42">
        <f>SUM(AVERAGE(U132, (AVERAGE(BO132, BP132)/4000))*4, R132*4, S132*2)/7.5-0.67</f>
        <v>5.2891111111111115</v>
      </c>
      <c r="CA132" s="47">
        <f>SUM(W132*3, AVERAGE(BO132, BP132, BQ132, BR132)/3000)/3</f>
        <v>0.65481481481481485</v>
      </c>
      <c r="CB132" s="48">
        <f>IF(V132&lt;6, V132*Q132/2000, IF(V132&lt;7, V132*(AVERAGE(BJ132, BK132, BL132, BM132)/2000), V132*(AVERAGE(BJ132, BK132, BL132, BM132)/2000)*(Q132/2000)))/((10-S132+2)/4)</f>
        <v>0</v>
      </c>
      <c r="CC132" s="41">
        <f>SUM(AF132*4, AI132*2/(AH132+1), AG132*4)/7.5</f>
        <v>0</v>
      </c>
      <c r="CD132" s="14">
        <f>SUM(AI132*3, AJ132*2, AK132*2, AL132*2, AF132*3)/8</f>
        <v>0</v>
      </c>
      <c r="CE132" s="14">
        <f>SUM(U132*2, BA132*1, AN132*3)/4.5</f>
        <v>1.3333333333333333</v>
      </c>
      <c r="CF132" s="39"/>
    </row>
  </sheetData>
  <dataValidations count="2">
    <dataValidation type="list" allowBlank="1" showInputMessage="1" showErrorMessage="1" sqref="B1:B2 B111:B112 B113 B133:B1048576" xr:uid="{7C34A5EA-8C54-4FBC-842E-A72500C2E810}">
      <formula1>"RARO,SUPER-RARO,ÉPICO,MÍTICO,LENDÁRIO,ULTRA-LENDÁRIO"</formula1>
    </dataValidation>
    <dataValidation allowBlank="1" showInputMessage="1" showErrorMessage="1" sqref="B3:B110 B114:B132" xr:uid="{82A4A6EC-64E6-4D49-B8BD-44C0521C2139}"/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DB4B-9CF1-4711-93FE-4537BD74AFF5}">
  <dimension ref="B2:D7"/>
  <sheetViews>
    <sheetView workbookViewId="0">
      <selection activeCell="D4" sqref="D4"/>
    </sheetView>
  </sheetViews>
  <sheetFormatPr defaultRowHeight="15"/>
  <cols>
    <col min="2" max="2" width="13.28515625" customWidth="1"/>
    <col min="3" max="3" width="9" customWidth="1"/>
  </cols>
  <sheetData>
    <row r="2" spans="2:4">
      <c r="B2" s="132" t="s">
        <v>196</v>
      </c>
      <c r="C2" s="132"/>
      <c r="D2" s="24"/>
    </row>
    <row r="3" spans="2:4">
      <c r="B3" t="s">
        <v>197</v>
      </c>
      <c r="C3" t="s">
        <v>198</v>
      </c>
    </row>
    <row r="4" spans="2:4">
      <c r="B4" t="s">
        <v>199</v>
      </c>
      <c r="C4" t="s">
        <v>200</v>
      </c>
    </row>
    <row r="5" spans="2:4">
      <c r="B5" t="s">
        <v>201</v>
      </c>
      <c r="C5" t="s">
        <v>202</v>
      </c>
    </row>
    <row r="6" spans="2:4">
      <c r="B6" t="s">
        <v>203</v>
      </c>
      <c r="C6" t="s">
        <v>204</v>
      </c>
    </row>
    <row r="7" spans="2:4">
      <c r="B7" t="s">
        <v>205</v>
      </c>
      <c r="C7" t="s">
        <v>206</v>
      </c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6AFC-1F0E-466A-8192-5E77213854C3}">
  <dimension ref="A2:AB90"/>
  <sheetViews>
    <sheetView workbookViewId="0">
      <selection activeCell="D8" sqref="D8"/>
    </sheetView>
  </sheetViews>
  <sheetFormatPr defaultRowHeight="19.5"/>
  <cols>
    <col min="1" max="1" width="55.140625" bestFit="1" customWidth="1"/>
    <col min="2" max="2" width="20.7109375" style="104" bestFit="1" customWidth="1"/>
    <col min="3" max="3" width="13.7109375" style="104" bestFit="1" customWidth="1"/>
    <col min="4" max="4" width="13" bestFit="1" customWidth="1"/>
    <col min="5" max="5" width="55.140625" bestFit="1" customWidth="1"/>
    <col min="6" max="6" width="20.28515625" style="104" bestFit="1" customWidth="1"/>
    <col min="7" max="7" width="27" style="104" bestFit="1" customWidth="1"/>
    <col min="8" max="8" width="13.140625" style="104" bestFit="1" customWidth="1"/>
    <col min="9" max="9" width="10.140625" customWidth="1"/>
    <col min="10" max="10" width="55.140625" bestFit="1" customWidth="1"/>
    <col min="11" max="11" width="20.28515625" style="104" bestFit="1" customWidth="1"/>
    <col min="12" max="12" width="27" style="104" bestFit="1" customWidth="1"/>
    <col min="13" max="13" width="13.140625" style="104" bestFit="1" customWidth="1"/>
    <col min="14" max="14" width="10.140625" customWidth="1"/>
    <col min="15" max="15" width="55.140625" bestFit="1" customWidth="1"/>
    <col min="16" max="16" width="20.7109375" style="104" bestFit="1" customWidth="1"/>
    <col min="17" max="17" width="36.42578125" style="104" bestFit="1" customWidth="1"/>
    <col min="18" max="18" width="13.7109375" style="104" bestFit="1" customWidth="1"/>
    <col min="19" max="19" width="5.7109375" customWidth="1"/>
    <col min="20" max="20" width="55.140625" bestFit="1" customWidth="1"/>
    <col min="21" max="21" width="20.85546875" style="104" bestFit="1" customWidth="1"/>
    <col min="22" max="22" width="36.42578125" style="104" bestFit="1" customWidth="1"/>
    <col min="23" max="23" width="13.7109375" style="104" bestFit="1" customWidth="1"/>
    <col min="24" max="24" width="4.7109375" customWidth="1"/>
    <col min="25" max="25" width="55.140625" bestFit="1" customWidth="1"/>
    <col min="26" max="26" width="20.28515625" style="104" bestFit="1" customWidth="1"/>
    <col min="27" max="27" width="27.85546875" style="104" bestFit="1" customWidth="1"/>
    <col min="28" max="28" width="13.140625" style="104" bestFit="1" customWidth="1"/>
    <col min="29" max="29" width="6.85546875" bestFit="1" customWidth="1"/>
    <col min="30" max="30" width="5.5703125" bestFit="1" customWidth="1"/>
    <col min="31" max="31" width="6.42578125" bestFit="1" customWidth="1"/>
    <col min="32" max="32" width="5" bestFit="1" customWidth="1"/>
    <col min="33" max="33" width="5.7109375" bestFit="1" customWidth="1"/>
    <col min="34" max="34" width="4.7109375" bestFit="1" customWidth="1"/>
    <col min="35" max="35" width="7.7109375" bestFit="1" customWidth="1"/>
    <col min="36" max="36" width="5.42578125" bestFit="1" customWidth="1"/>
    <col min="37" max="37" width="7" bestFit="1" customWidth="1"/>
    <col min="38" max="38" width="6.140625" bestFit="1" customWidth="1"/>
    <col min="39" max="39" width="5.42578125" bestFit="1" customWidth="1"/>
    <col min="40" max="40" width="7" bestFit="1" customWidth="1"/>
    <col min="41" max="41" width="7.5703125" bestFit="1" customWidth="1"/>
    <col min="42" max="42" width="6" bestFit="1" customWidth="1"/>
    <col min="43" max="43" width="5" bestFit="1" customWidth="1"/>
    <col min="44" max="44" width="10.42578125" bestFit="1" customWidth="1"/>
    <col min="45" max="45" width="30.28515625" bestFit="1" customWidth="1"/>
    <col min="46" max="46" width="33.85546875" bestFit="1" customWidth="1"/>
    <col min="47" max="47" width="30.28515625" bestFit="1" customWidth="1"/>
    <col min="48" max="48" width="33.85546875" bestFit="1" customWidth="1"/>
    <col min="49" max="49" width="30.28515625" bestFit="1" customWidth="1"/>
    <col min="50" max="50" width="33.85546875" bestFit="1" customWidth="1"/>
    <col min="51" max="51" width="30.28515625" bestFit="1" customWidth="1"/>
    <col min="52" max="52" width="33.85546875" bestFit="1" customWidth="1"/>
    <col min="53" max="53" width="30.28515625" bestFit="1" customWidth="1"/>
    <col min="54" max="54" width="33.85546875" bestFit="1" customWidth="1"/>
    <col min="55" max="55" width="30.28515625" bestFit="1" customWidth="1"/>
    <col min="56" max="56" width="33.85546875" bestFit="1" customWidth="1"/>
    <col min="57" max="57" width="30.28515625" bestFit="1" customWidth="1"/>
    <col min="58" max="58" width="33.85546875" bestFit="1" customWidth="1"/>
    <col min="59" max="59" width="30.28515625" bestFit="1" customWidth="1"/>
    <col min="60" max="60" width="33.85546875" bestFit="1" customWidth="1"/>
    <col min="61" max="61" width="35.140625" bestFit="1" customWidth="1"/>
    <col min="62" max="62" width="38.7109375" bestFit="1" customWidth="1"/>
    <col min="63" max="63" width="33.5703125" bestFit="1" customWidth="1"/>
    <col min="64" max="64" width="25.5703125" bestFit="1" customWidth="1"/>
    <col min="65" max="65" width="35" bestFit="1" customWidth="1"/>
    <col min="66" max="66" width="21.42578125" bestFit="1" customWidth="1"/>
    <col min="67" max="67" width="30.85546875" bestFit="1" customWidth="1"/>
    <col min="68" max="68" width="32.85546875" bestFit="1" customWidth="1"/>
    <col min="69" max="69" width="42.28515625" bestFit="1" customWidth="1"/>
    <col min="70" max="70" width="30.7109375" bestFit="1" customWidth="1"/>
    <col min="71" max="71" width="6.140625" bestFit="1" customWidth="1"/>
    <col min="72" max="72" width="5.42578125" bestFit="1" customWidth="1"/>
    <col min="73" max="73" width="7" bestFit="1" customWidth="1"/>
    <col min="74" max="74" width="7.5703125" bestFit="1" customWidth="1"/>
    <col min="75" max="75" width="6" bestFit="1" customWidth="1"/>
    <col min="76" max="76" width="5" bestFit="1" customWidth="1"/>
    <col min="77" max="77" width="46.5703125" bestFit="1" customWidth="1"/>
    <col min="78" max="78" width="6.7109375" bestFit="1" customWidth="1"/>
    <col min="79" max="79" width="4.28515625" bestFit="1" customWidth="1"/>
    <col min="80" max="80" width="6.85546875" bestFit="1" customWidth="1"/>
    <col min="81" max="81" width="5.5703125" bestFit="1" customWidth="1"/>
    <col min="82" max="82" width="6.42578125" bestFit="1" customWidth="1"/>
    <col min="83" max="83" width="5" bestFit="1" customWidth="1"/>
    <col min="84" max="84" width="5.7109375" bestFit="1" customWidth="1"/>
    <col min="85" max="85" width="4.7109375" bestFit="1" customWidth="1"/>
    <col min="86" max="86" width="7.7109375" bestFit="1" customWidth="1"/>
    <col min="87" max="87" width="5.42578125" bestFit="1" customWidth="1"/>
    <col min="88" max="88" width="7" bestFit="1" customWidth="1"/>
    <col min="89" max="89" width="6.140625" bestFit="1" customWidth="1"/>
    <col min="90" max="90" width="5.42578125" bestFit="1" customWidth="1"/>
    <col min="91" max="91" width="7" bestFit="1" customWidth="1"/>
    <col min="92" max="92" width="7.5703125" bestFit="1" customWidth="1"/>
    <col min="93" max="93" width="6" bestFit="1" customWidth="1"/>
    <col min="94" max="94" width="5" bestFit="1" customWidth="1"/>
    <col min="95" max="95" width="33.85546875" bestFit="1" customWidth="1"/>
    <col min="96" max="96" width="6.7109375" bestFit="1" customWidth="1"/>
    <col min="97" max="97" width="4.28515625" bestFit="1" customWidth="1"/>
    <col min="98" max="98" width="6.85546875" bestFit="1" customWidth="1"/>
    <col min="99" max="99" width="5.5703125" bestFit="1" customWidth="1"/>
    <col min="100" max="100" width="6.42578125" bestFit="1" customWidth="1"/>
    <col min="101" max="101" width="5" bestFit="1" customWidth="1"/>
    <col min="102" max="102" width="5.7109375" bestFit="1" customWidth="1"/>
    <col min="103" max="103" width="4.7109375" bestFit="1" customWidth="1"/>
    <col min="104" max="104" width="7.7109375" bestFit="1" customWidth="1"/>
    <col min="105" max="105" width="5.42578125" bestFit="1" customWidth="1"/>
    <col min="106" max="106" width="7" bestFit="1" customWidth="1"/>
    <col min="107" max="107" width="6.140625" bestFit="1" customWidth="1"/>
    <col min="108" max="108" width="5.42578125" bestFit="1" customWidth="1"/>
    <col min="109" max="109" width="7" bestFit="1" customWidth="1"/>
    <col min="110" max="110" width="7.5703125" bestFit="1" customWidth="1"/>
    <col min="111" max="111" width="6" bestFit="1" customWidth="1"/>
    <col min="112" max="112" width="5" bestFit="1" customWidth="1"/>
    <col min="113" max="113" width="30.28515625" bestFit="1" customWidth="1"/>
    <col min="114" max="114" width="6.7109375" bestFit="1" customWidth="1"/>
    <col min="115" max="115" width="4.28515625" bestFit="1" customWidth="1"/>
    <col min="116" max="116" width="6.85546875" bestFit="1" customWidth="1"/>
    <col min="117" max="117" width="5.5703125" bestFit="1" customWidth="1"/>
    <col min="118" max="118" width="6.42578125" bestFit="1" customWidth="1"/>
    <col min="119" max="119" width="5" bestFit="1" customWidth="1"/>
    <col min="120" max="120" width="5.7109375" bestFit="1" customWidth="1"/>
    <col min="121" max="121" width="4.7109375" bestFit="1" customWidth="1"/>
    <col min="122" max="122" width="7.7109375" bestFit="1" customWidth="1"/>
    <col min="123" max="123" width="5.42578125" bestFit="1" customWidth="1"/>
    <col min="124" max="124" width="7" bestFit="1" customWidth="1"/>
    <col min="125" max="125" width="6.140625" bestFit="1" customWidth="1"/>
    <col min="126" max="126" width="5.42578125" bestFit="1" customWidth="1"/>
    <col min="127" max="127" width="7" bestFit="1" customWidth="1"/>
    <col min="128" max="128" width="7.5703125" bestFit="1" customWidth="1"/>
    <col min="129" max="129" width="6" bestFit="1" customWidth="1"/>
    <col min="130" max="130" width="5" bestFit="1" customWidth="1"/>
    <col min="131" max="131" width="47.140625" bestFit="1" customWidth="1"/>
    <col min="132" max="132" width="6.7109375" bestFit="1" customWidth="1"/>
    <col min="133" max="133" width="4.28515625" bestFit="1" customWidth="1"/>
    <col min="134" max="134" width="6.85546875" bestFit="1" customWidth="1"/>
    <col min="135" max="135" width="5.5703125" bestFit="1" customWidth="1"/>
    <col min="136" max="136" width="6.42578125" bestFit="1" customWidth="1"/>
    <col min="137" max="137" width="5" bestFit="1" customWidth="1"/>
    <col min="138" max="138" width="5.7109375" bestFit="1" customWidth="1"/>
    <col min="139" max="139" width="4.7109375" bestFit="1" customWidth="1"/>
    <col min="140" max="140" width="7.7109375" bestFit="1" customWidth="1"/>
    <col min="141" max="141" width="5.42578125" bestFit="1" customWidth="1"/>
    <col min="142" max="142" width="7" bestFit="1" customWidth="1"/>
    <col min="143" max="143" width="6.140625" bestFit="1" customWidth="1"/>
    <col min="144" max="144" width="5.42578125" bestFit="1" customWidth="1"/>
    <col min="145" max="145" width="7" bestFit="1" customWidth="1"/>
    <col min="146" max="146" width="7.5703125" bestFit="1" customWidth="1"/>
    <col min="147" max="147" width="6" bestFit="1" customWidth="1"/>
    <col min="148" max="148" width="5" bestFit="1" customWidth="1"/>
    <col min="149" max="149" width="49.5703125" bestFit="1" customWidth="1"/>
    <col min="150" max="150" width="6.7109375" bestFit="1" customWidth="1"/>
    <col min="151" max="151" width="4.28515625" bestFit="1" customWidth="1"/>
    <col min="152" max="152" width="6.85546875" bestFit="1" customWidth="1"/>
    <col min="153" max="153" width="5.5703125" bestFit="1" customWidth="1"/>
    <col min="154" max="154" width="6.42578125" bestFit="1" customWidth="1"/>
    <col min="155" max="155" width="5" bestFit="1" customWidth="1"/>
    <col min="156" max="156" width="5.7109375" bestFit="1" customWidth="1"/>
    <col min="157" max="157" width="4.7109375" bestFit="1" customWidth="1"/>
    <col min="158" max="158" width="7.7109375" bestFit="1" customWidth="1"/>
    <col min="159" max="159" width="5.42578125" bestFit="1" customWidth="1"/>
    <col min="160" max="160" width="7" bestFit="1" customWidth="1"/>
    <col min="161" max="161" width="6.140625" bestFit="1" customWidth="1"/>
    <col min="162" max="162" width="5.42578125" bestFit="1" customWidth="1"/>
    <col min="163" max="163" width="7" bestFit="1" customWidth="1"/>
    <col min="164" max="164" width="7.5703125" bestFit="1" customWidth="1"/>
    <col min="165" max="165" width="6" bestFit="1" customWidth="1"/>
    <col min="166" max="166" width="5" bestFit="1" customWidth="1"/>
    <col min="167" max="167" width="56.140625" bestFit="1" customWidth="1"/>
    <col min="168" max="168" width="6.7109375" bestFit="1" customWidth="1"/>
    <col min="169" max="169" width="4.28515625" bestFit="1" customWidth="1"/>
    <col min="170" max="170" width="6.85546875" bestFit="1" customWidth="1"/>
    <col min="171" max="171" width="5.5703125" bestFit="1" customWidth="1"/>
    <col min="172" max="172" width="6.42578125" bestFit="1" customWidth="1"/>
    <col min="173" max="173" width="5" bestFit="1" customWidth="1"/>
    <col min="174" max="174" width="5.7109375" bestFit="1" customWidth="1"/>
    <col min="175" max="175" width="4.7109375" bestFit="1" customWidth="1"/>
    <col min="176" max="176" width="7.7109375" bestFit="1" customWidth="1"/>
    <col min="177" max="177" width="5.42578125" bestFit="1" customWidth="1"/>
    <col min="178" max="178" width="7" bestFit="1" customWidth="1"/>
    <col min="179" max="179" width="6.140625" bestFit="1" customWidth="1"/>
    <col min="180" max="180" width="5.42578125" bestFit="1" customWidth="1"/>
    <col min="181" max="181" width="7" bestFit="1" customWidth="1"/>
    <col min="182" max="182" width="7.5703125" bestFit="1" customWidth="1"/>
    <col min="183" max="183" width="6" bestFit="1" customWidth="1"/>
    <col min="184" max="184" width="5" bestFit="1" customWidth="1"/>
    <col min="185" max="185" width="43.7109375" bestFit="1" customWidth="1"/>
    <col min="186" max="186" width="6.85546875" bestFit="1" customWidth="1"/>
    <col min="187" max="187" width="4.28515625" bestFit="1" customWidth="1"/>
    <col min="188" max="189" width="6.85546875" bestFit="1" customWidth="1"/>
    <col min="190" max="190" width="6.42578125" bestFit="1" customWidth="1"/>
    <col min="191" max="191" width="6.85546875" bestFit="1" customWidth="1"/>
    <col min="192" max="192" width="5.7109375" bestFit="1" customWidth="1"/>
    <col min="193" max="193" width="4.7109375" bestFit="1" customWidth="1"/>
    <col min="194" max="194" width="7.7109375" bestFit="1" customWidth="1"/>
    <col min="195" max="195" width="6.85546875" bestFit="1" customWidth="1"/>
    <col min="196" max="196" width="7" bestFit="1" customWidth="1"/>
    <col min="197" max="197" width="6.140625" bestFit="1" customWidth="1"/>
    <col min="198" max="198" width="6.85546875" bestFit="1" customWidth="1"/>
    <col min="199" max="199" width="7" bestFit="1" customWidth="1"/>
    <col min="200" max="200" width="7.5703125" bestFit="1" customWidth="1"/>
    <col min="201" max="202" width="6.85546875" bestFit="1" customWidth="1"/>
    <col min="203" max="203" width="43.42578125" bestFit="1" customWidth="1"/>
    <col min="204" max="204" width="6.85546875" bestFit="1" customWidth="1"/>
    <col min="205" max="205" width="5.7109375" bestFit="1" customWidth="1"/>
    <col min="206" max="207" width="6.85546875" bestFit="1" customWidth="1"/>
    <col min="208" max="208" width="6.42578125" bestFit="1" customWidth="1"/>
    <col min="209" max="209" width="6.85546875" bestFit="1" customWidth="1"/>
    <col min="210" max="210" width="5.7109375" bestFit="1" customWidth="1"/>
    <col min="211" max="211" width="4.7109375" bestFit="1" customWidth="1"/>
    <col min="212" max="212" width="7.7109375" bestFit="1" customWidth="1"/>
    <col min="213" max="213" width="6.85546875" bestFit="1" customWidth="1"/>
    <col min="214" max="214" width="7" bestFit="1" customWidth="1"/>
    <col min="215" max="215" width="6.140625" bestFit="1" customWidth="1"/>
    <col min="216" max="216" width="6.85546875" bestFit="1" customWidth="1"/>
    <col min="217" max="217" width="7" bestFit="1" customWidth="1"/>
    <col min="218" max="218" width="7.5703125" bestFit="1" customWidth="1"/>
    <col min="219" max="220" width="6.85546875" bestFit="1" customWidth="1"/>
    <col min="221" max="221" width="44" bestFit="1" customWidth="1"/>
    <col min="222" max="225" width="6.85546875" bestFit="1" customWidth="1"/>
    <col min="226" max="226" width="6.42578125" bestFit="1" customWidth="1"/>
    <col min="227" max="228" width="5.7109375" bestFit="1" customWidth="1"/>
    <col min="229" max="229" width="4.7109375" bestFit="1" customWidth="1"/>
    <col min="230" max="230" width="7.7109375" bestFit="1" customWidth="1"/>
    <col min="231" max="231" width="6.85546875" bestFit="1" customWidth="1"/>
    <col min="232" max="232" width="7" bestFit="1" customWidth="1"/>
    <col min="233" max="233" width="6.140625" bestFit="1" customWidth="1"/>
    <col min="234" max="234" width="6.85546875" bestFit="1" customWidth="1"/>
    <col min="235" max="235" width="7" bestFit="1" customWidth="1"/>
    <col min="236" max="236" width="7.5703125" bestFit="1" customWidth="1"/>
    <col min="237" max="238" width="6.85546875" bestFit="1" customWidth="1"/>
    <col min="239" max="239" width="47.140625" bestFit="1" customWidth="1"/>
    <col min="240" max="240" width="6.7109375" bestFit="1" customWidth="1"/>
    <col min="241" max="241" width="5.7109375" bestFit="1" customWidth="1"/>
    <col min="242" max="243" width="6.85546875" bestFit="1" customWidth="1"/>
    <col min="244" max="244" width="6.42578125" bestFit="1" customWidth="1"/>
    <col min="245" max="245" width="5" bestFit="1" customWidth="1"/>
    <col min="246" max="246" width="5.7109375" bestFit="1" customWidth="1"/>
    <col min="247" max="247" width="4.7109375" bestFit="1" customWidth="1"/>
    <col min="248" max="248" width="7.7109375" bestFit="1" customWidth="1"/>
    <col min="249" max="249" width="6.85546875" bestFit="1" customWidth="1"/>
    <col min="250" max="250" width="7" bestFit="1" customWidth="1"/>
    <col min="251" max="251" width="6.140625" bestFit="1" customWidth="1"/>
    <col min="252" max="252" width="6.85546875" bestFit="1" customWidth="1"/>
    <col min="253" max="253" width="7" bestFit="1" customWidth="1"/>
    <col min="254" max="254" width="7.5703125" bestFit="1" customWidth="1"/>
    <col min="255" max="256" width="6.85546875" bestFit="1" customWidth="1"/>
    <col min="257" max="257" width="31.7109375" bestFit="1" customWidth="1"/>
    <col min="258" max="258" width="6.85546875" bestFit="1" customWidth="1"/>
    <col min="259" max="259" width="5.7109375" bestFit="1" customWidth="1"/>
    <col min="260" max="261" width="6.85546875" bestFit="1" customWidth="1"/>
    <col min="262" max="262" width="6.42578125" bestFit="1" customWidth="1"/>
    <col min="263" max="263" width="6.85546875" bestFit="1" customWidth="1"/>
    <col min="264" max="264" width="5.7109375" bestFit="1" customWidth="1"/>
    <col min="265" max="265" width="4.7109375" bestFit="1" customWidth="1"/>
    <col min="266" max="266" width="7.7109375" bestFit="1" customWidth="1"/>
    <col min="267" max="267" width="6.85546875" bestFit="1" customWidth="1"/>
    <col min="268" max="268" width="7" bestFit="1" customWidth="1"/>
    <col min="269" max="269" width="6.140625" bestFit="1" customWidth="1"/>
    <col min="270" max="270" width="6.85546875" bestFit="1" customWidth="1"/>
    <col min="271" max="271" width="7" bestFit="1" customWidth="1"/>
    <col min="272" max="272" width="7.5703125" bestFit="1" customWidth="1"/>
    <col min="273" max="274" width="6.85546875" bestFit="1" customWidth="1"/>
    <col min="275" max="275" width="25.5703125" bestFit="1" customWidth="1"/>
    <col min="276" max="276" width="6.7109375" bestFit="1" customWidth="1"/>
    <col min="277" max="277" width="4.28515625" bestFit="1" customWidth="1"/>
    <col min="278" max="278" width="6.85546875" bestFit="1" customWidth="1"/>
    <col min="279" max="279" width="5.5703125" bestFit="1" customWidth="1"/>
    <col min="280" max="280" width="6.42578125" bestFit="1" customWidth="1"/>
    <col min="281" max="281" width="5" bestFit="1" customWidth="1"/>
    <col min="282" max="282" width="5.7109375" bestFit="1" customWidth="1"/>
    <col min="283" max="283" width="4.7109375" bestFit="1" customWidth="1"/>
    <col min="284" max="284" width="7.7109375" bestFit="1" customWidth="1"/>
    <col min="285" max="285" width="5.42578125" bestFit="1" customWidth="1"/>
    <col min="286" max="286" width="7" bestFit="1" customWidth="1"/>
    <col min="287" max="287" width="6.140625" bestFit="1" customWidth="1"/>
    <col min="288" max="288" width="5.42578125" bestFit="1" customWidth="1"/>
    <col min="289" max="289" width="7" bestFit="1" customWidth="1"/>
    <col min="290" max="290" width="7.5703125" bestFit="1" customWidth="1"/>
    <col min="291" max="291" width="6" bestFit="1" customWidth="1"/>
    <col min="292" max="292" width="5" bestFit="1" customWidth="1"/>
    <col min="293" max="293" width="17.5703125" bestFit="1" customWidth="1"/>
    <col min="294" max="294" width="6.7109375" bestFit="1" customWidth="1"/>
    <col min="295" max="295" width="4.28515625" bestFit="1" customWidth="1"/>
    <col min="296" max="296" width="6.85546875" bestFit="1" customWidth="1"/>
    <col min="297" max="297" width="5.5703125" bestFit="1" customWidth="1"/>
    <col min="298" max="298" width="6.42578125" bestFit="1" customWidth="1"/>
    <col min="299" max="299" width="5" bestFit="1" customWidth="1"/>
    <col min="300" max="300" width="5.7109375" bestFit="1" customWidth="1"/>
    <col min="301" max="301" width="4.7109375" bestFit="1" customWidth="1"/>
    <col min="302" max="302" width="7.7109375" bestFit="1" customWidth="1"/>
    <col min="303" max="303" width="5.42578125" bestFit="1" customWidth="1"/>
    <col min="304" max="304" width="7" bestFit="1" customWidth="1"/>
    <col min="305" max="305" width="6.140625" bestFit="1" customWidth="1"/>
    <col min="306" max="306" width="5.42578125" bestFit="1" customWidth="1"/>
    <col min="307" max="307" width="7" bestFit="1" customWidth="1"/>
    <col min="308" max="308" width="7.5703125" bestFit="1" customWidth="1"/>
    <col min="309" max="309" width="6" bestFit="1" customWidth="1"/>
    <col min="310" max="310" width="5" bestFit="1" customWidth="1"/>
    <col min="311" max="311" width="24.28515625" bestFit="1" customWidth="1"/>
    <col min="312" max="312" width="6.7109375" bestFit="1" customWidth="1"/>
    <col min="313" max="313" width="4.28515625" bestFit="1" customWidth="1"/>
    <col min="314" max="314" width="6.85546875" bestFit="1" customWidth="1"/>
    <col min="315" max="315" width="5.5703125" bestFit="1" customWidth="1"/>
    <col min="316" max="316" width="6.42578125" bestFit="1" customWidth="1"/>
    <col min="317" max="317" width="5" bestFit="1" customWidth="1"/>
    <col min="318" max="318" width="5.7109375" bestFit="1" customWidth="1"/>
    <col min="319" max="319" width="4.7109375" bestFit="1" customWidth="1"/>
    <col min="320" max="320" width="7.7109375" bestFit="1" customWidth="1"/>
    <col min="321" max="321" width="5.42578125" bestFit="1" customWidth="1"/>
    <col min="322" max="322" width="7" bestFit="1" customWidth="1"/>
    <col min="323" max="323" width="6.140625" bestFit="1" customWidth="1"/>
    <col min="324" max="324" width="5.42578125" bestFit="1" customWidth="1"/>
    <col min="325" max="325" width="7" bestFit="1" customWidth="1"/>
    <col min="326" max="326" width="7.5703125" bestFit="1" customWidth="1"/>
    <col min="327" max="327" width="6" bestFit="1" customWidth="1"/>
    <col min="328" max="328" width="5" bestFit="1" customWidth="1"/>
    <col min="329" max="329" width="21.85546875" bestFit="1" customWidth="1"/>
    <col min="330" max="330" width="6.7109375" bestFit="1" customWidth="1"/>
    <col min="331" max="331" width="4.28515625" bestFit="1" customWidth="1"/>
    <col min="332" max="332" width="6.85546875" bestFit="1" customWidth="1"/>
    <col min="333" max="333" width="5.5703125" bestFit="1" customWidth="1"/>
    <col min="334" max="334" width="6.42578125" bestFit="1" customWidth="1"/>
    <col min="335" max="335" width="5" bestFit="1" customWidth="1"/>
    <col min="336" max="336" width="5.7109375" bestFit="1" customWidth="1"/>
    <col min="337" max="337" width="4.7109375" bestFit="1" customWidth="1"/>
    <col min="338" max="338" width="7.7109375" bestFit="1" customWidth="1"/>
    <col min="339" max="339" width="5.42578125" bestFit="1" customWidth="1"/>
    <col min="340" max="340" width="7" bestFit="1" customWidth="1"/>
    <col min="341" max="341" width="6.140625" bestFit="1" customWidth="1"/>
    <col min="342" max="342" width="5.42578125" bestFit="1" customWidth="1"/>
    <col min="343" max="343" width="7" bestFit="1" customWidth="1"/>
    <col min="344" max="344" width="7.5703125" bestFit="1" customWidth="1"/>
    <col min="345" max="345" width="6" bestFit="1" customWidth="1"/>
    <col min="346" max="346" width="5" bestFit="1" customWidth="1"/>
    <col min="347" max="347" width="21.42578125" bestFit="1" customWidth="1"/>
    <col min="348" max="348" width="6.7109375" bestFit="1" customWidth="1"/>
    <col min="349" max="349" width="4.28515625" bestFit="1" customWidth="1"/>
    <col min="350" max="350" width="6.85546875" bestFit="1" customWidth="1"/>
    <col min="351" max="351" width="5.5703125" bestFit="1" customWidth="1"/>
    <col min="352" max="352" width="6.42578125" bestFit="1" customWidth="1"/>
    <col min="353" max="353" width="5" bestFit="1" customWidth="1"/>
    <col min="354" max="354" width="5.7109375" bestFit="1" customWidth="1"/>
    <col min="355" max="355" width="4.7109375" bestFit="1" customWidth="1"/>
    <col min="356" max="356" width="7.7109375" bestFit="1" customWidth="1"/>
    <col min="357" max="357" width="5.42578125" bestFit="1" customWidth="1"/>
    <col min="358" max="358" width="7" bestFit="1" customWidth="1"/>
    <col min="359" max="359" width="6.140625" bestFit="1" customWidth="1"/>
    <col min="360" max="360" width="5.42578125" bestFit="1" customWidth="1"/>
    <col min="361" max="361" width="7" bestFit="1" customWidth="1"/>
    <col min="362" max="362" width="7.5703125" bestFit="1" customWidth="1"/>
    <col min="363" max="363" width="6" bestFit="1" customWidth="1"/>
    <col min="364" max="364" width="5" bestFit="1" customWidth="1"/>
    <col min="365" max="365" width="35.85546875" bestFit="1" customWidth="1"/>
    <col min="366" max="366" width="6.7109375" bestFit="1" customWidth="1"/>
    <col min="367" max="367" width="4.28515625" bestFit="1" customWidth="1"/>
    <col min="368" max="368" width="6.85546875" bestFit="1" customWidth="1"/>
    <col min="369" max="369" width="5.5703125" bestFit="1" customWidth="1"/>
    <col min="370" max="370" width="6.42578125" bestFit="1" customWidth="1"/>
    <col min="371" max="371" width="5" bestFit="1" customWidth="1"/>
    <col min="372" max="372" width="5.7109375" bestFit="1" customWidth="1"/>
    <col min="373" max="373" width="4.7109375" bestFit="1" customWidth="1"/>
    <col min="374" max="374" width="7.7109375" bestFit="1" customWidth="1"/>
    <col min="375" max="375" width="5.42578125" bestFit="1" customWidth="1"/>
    <col min="376" max="376" width="7" bestFit="1" customWidth="1"/>
    <col min="377" max="377" width="6.140625" bestFit="1" customWidth="1"/>
    <col min="378" max="378" width="5.42578125" bestFit="1" customWidth="1"/>
    <col min="379" max="379" width="7" bestFit="1" customWidth="1"/>
    <col min="380" max="380" width="7.5703125" bestFit="1" customWidth="1"/>
    <col min="381" max="381" width="6" bestFit="1" customWidth="1"/>
    <col min="382" max="382" width="5" bestFit="1" customWidth="1"/>
    <col min="383" max="383" width="26.42578125" bestFit="1" customWidth="1"/>
    <col min="384" max="384" width="6.7109375" bestFit="1" customWidth="1"/>
    <col min="385" max="385" width="4.28515625" bestFit="1" customWidth="1"/>
    <col min="386" max="386" width="6.85546875" bestFit="1" customWidth="1"/>
    <col min="387" max="387" width="5.5703125" bestFit="1" customWidth="1"/>
    <col min="388" max="388" width="6.42578125" bestFit="1" customWidth="1"/>
    <col min="389" max="389" width="5" bestFit="1" customWidth="1"/>
    <col min="390" max="390" width="5.7109375" bestFit="1" customWidth="1"/>
    <col min="391" max="391" width="4.7109375" bestFit="1" customWidth="1"/>
    <col min="392" max="392" width="7.7109375" bestFit="1" customWidth="1"/>
    <col min="393" max="393" width="5.42578125" bestFit="1" customWidth="1"/>
    <col min="394" max="394" width="7" bestFit="1" customWidth="1"/>
    <col min="395" max="395" width="6.140625" bestFit="1" customWidth="1"/>
    <col min="396" max="396" width="5.42578125" bestFit="1" customWidth="1"/>
    <col min="397" max="397" width="7" bestFit="1" customWidth="1"/>
    <col min="398" max="398" width="7.5703125" bestFit="1" customWidth="1"/>
    <col min="399" max="399" width="6" bestFit="1" customWidth="1"/>
    <col min="400" max="400" width="5" bestFit="1" customWidth="1"/>
    <col min="401" max="401" width="46.7109375" bestFit="1" customWidth="1"/>
    <col min="402" max="402" width="6.7109375" bestFit="1" customWidth="1"/>
    <col min="403" max="403" width="4.28515625" bestFit="1" customWidth="1"/>
    <col min="404" max="404" width="6.85546875" bestFit="1" customWidth="1"/>
    <col min="405" max="405" width="5.5703125" bestFit="1" customWidth="1"/>
    <col min="406" max="406" width="6.42578125" bestFit="1" customWidth="1"/>
    <col min="407" max="407" width="5" bestFit="1" customWidth="1"/>
    <col min="408" max="408" width="5.7109375" bestFit="1" customWidth="1"/>
    <col min="409" max="409" width="4.7109375" bestFit="1" customWidth="1"/>
    <col min="410" max="410" width="7.7109375" bestFit="1" customWidth="1"/>
    <col min="411" max="411" width="5.42578125" bestFit="1" customWidth="1"/>
    <col min="412" max="412" width="7" bestFit="1" customWidth="1"/>
    <col min="413" max="413" width="6.140625" bestFit="1" customWidth="1"/>
    <col min="414" max="414" width="5.42578125" bestFit="1" customWidth="1"/>
    <col min="415" max="415" width="7" bestFit="1" customWidth="1"/>
    <col min="416" max="416" width="7.5703125" bestFit="1" customWidth="1"/>
    <col min="417" max="417" width="6" bestFit="1" customWidth="1"/>
    <col min="418" max="418" width="5" bestFit="1" customWidth="1"/>
    <col min="419" max="419" width="26.42578125" bestFit="1" customWidth="1"/>
    <col min="420" max="420" width="6.7109375" bestFit="1" customWidth="1"/>
    <col min="421" max="421" width="4.28515625" bestFit="1" customWidth="1"/>
    <col min="422" max="422" width="6.85546875" bestFit="1" customWidth="1"/>
    <col min="423" max="423" width="5.5703125" bestFit="1" customWidth="1"/>
    <col min="424" max="424" width="6.42578125" bestFit="1" customWidth="1"/>
    <col min="425" max="425" width="5" bestFit="1" customWidth="1"/>
    <col min="426" max="426" width="5.7109375" bestFit="1" customWidth="1"/>
    <col min="427" max="427" width="4.7109375" bestFit="1" customWidth="1"/>
    <col min="428" max="428" width="7.7109375" bestFit="1" customWidth="1"/>
    <col min="429" max="429" width="5.42578125" bestFit="1" customWidth="1"/>
    <col min="430" max="430" width="7" bestFit="1" customWidth="1"/>
    <col min="431" max="431" width="6.140625" bestFit="1" customWidth="1"/>
    <col min="432" max="432" width="5.42578125" bestFit="1" customWidth="1"/>
    <col min="433" max="433" width="7" bestFit="1" customWidth="1"/>
    <col min="434" max="434" width="7.5703125" bestFit="1" customWidth="1"/>
    <col min="435" max="435" width="6" bestFit="1" customWidth="1"/>
    <col min="436" max="436" width="5" bestFit="1" customWidth="1"/>
    <col min="437" max="437" width="40.7109375" bestFit="1" customWidth="1"/>
    <col min="438" max="438" width="6.7109375" bestFit="1" customWidth="1"/>
    <col min="439" max="439" width="4.28515625" bestFit="1" customWidth="1"/>
    <col min="440" max="440" width="6.85546875" bestFit="1" customWidth="1"/>
    <col min="441" max="441" width="5.5703125" bestFit="1" customWidth="1"/>
    <col min="442" max="442" width="6.42578125" bestFit="1" customWidth="1"/>
    <col min="443" max="443" width="5" bestFit="1" customWidth="1"/>
    <col min="444" max="444" width="5.7109375" bestFit="1" customWidth="1"/>
    <col min="445" max="445" width="4.7109375" bestFit="1" customWidth="1"/>
    <col min="446" max="446" width="7.7109375" bestFit="1" customWidth="1"/>
    <col min="447" max="447" width="5.42578125" bestFit="1" customWidth="1"/>
    <col min="448" max="448" width="7" bestFit="1" customWidth="1"/>
    <col min="449" max="449" width="6.140625" bestFit="1" customWidth="1"/>
    <col min="450" max="450" width="5.42578125" bestFit="1" customWidth="1"/>
    <col min="451" max="451" width="7" bestFit="1" customWidth="1"/>
    <col min="452" max="452" width="7.5703125" bestFit="1" customWidth="1"/>
    <col min="453" max="453" width="6" bestFit="1" customWidth="1"/>
    <col min="454" max="454" width="5" bestFit="1" customWidth="1"/>
    <col min="455" max="455" width="41.85546875" bestFit="1" customWidth="1"/>
    <col min="456" max="456" width="6.7109375" bestFit="1" customWidth="1"/>
    <col min="457" max="457" width="4.28515625" bestFit="1" customWidth="1"/>
    <col min="458" max="458" width="6.85546875" bestFit="1" customWidth="1"/>
    <col min="459" max="459" width="5.5703125" bestFit="1" customWidth="1"/>
    <col min="460" max="460" width="6.42578125" bestFit="1" customWidth="1"/>
    <col min="461" max="461" width="5" bestFit="1" customWidth="1"/>
    <col min="462" max="462" width="5.7109375" bestFit="1" customWidth="1"/>
    <col min="463" max="463" width="4.7109375" bestFit="1" customWidth="1"/>
    <col min="464" max="464" width="7.7109375" bestFit="1" customWidth="1"/>
    <col min="465" max="465" width="5.42578125" bestFit="1" customWidth="1"/>
    <col min="466" max="466" width="7" bestFit="1" customWidth="1"/>
    <col min="467" max="467" width="6.140625" bestFit="1" customWidth="1"/>
    <col min="468" max="468" width="5.42578125" bestFit="1" customWidth="1"/>
    <col min="469" max="469" width="7" bestFit="1" customWidth="1"/>
    <col min="470" max="470" width="7.5703125" bestFit="1" customWidth="1"/>
    <col min="471" max="471" width="6" bestFit="1" customWidth="1"/>
    <col min="472" max="472" width="5" bestFit="1" customWidth="1"/>
    <col min="473" max="473" width="41.7109375" bestFit="1" customWidth="1"/>
    <col min="474" max="474" width="6.7109375" bestFit="1" customWidth="1"/>
    <col min="475" max="475" width="4.28515625" bestFit="1" customWidth="1"/>
    <col min="476" max="476" width="6.85546875" bestFit="1" customWidth="1"/>
    <col min="477" max="477" width="5.5703125" bestFit="1" customWidth="1"/>
    <col min="478" max="478" width="6.42578125" bestFit="1" customWidth="1"/>
    <col min="479" max="479" width="5" bestFit="1" customWidth="1"/>
    <col min="480" max="480" width="5.7109375" bestFit="1" customWidth="1"/>
    <col min="481" max="481" width="4.7109375" bestFit="1" customWidth="1"/>
    <col min="482" max="482" width="7.7109375" bestFit="1" customWidth="1"/>
    <col min="483" max="483" width="5.42578125" bestFit="1" customWidth="1"/>
    <col min="484" max="484" width="7" bestFit="1" customWidth="1"/>
    <col min="485" max="485" width="6.140625" bestFit="1" customWidth="1"/>
    <col min="486" max="486" width="5.42578125" bestFit="1" customWidth="1"/>
    <col min="487" max="487" width="7" bestFit="1" customWidth="1"/>
    <col min="488" max="488" width="7.5703125" bestFit="1" customWidth="1"/>
    <col min="489" max="489" width="6" bestFit="1" customWidth="1"/>
    <col min="490" max="490" width="5" bestFit="1" customWidth="1"/>
    <col min="491" max="491" width="41.140625" bestFit="1" customWidth="1"/>
    <col min="492" max="492" width="6.7109375" bestFit="1" customWidth="1"/>
    <col min="493" max="493" width="4.28515625" bestFit="1" customWidth="1"/>
    <col min="494" max="494" width="6.85546875" bestFit="1" customWidth="1"/>
    <col min="495" max="495" width="5.5703125" bestFit="1" customWidth="1"/>
    <col min="496" max="496" width="6.42578125" bestFit="1" customWidth="1"/>
    <col min="497" max="497" width="5" bestFit="1" customWidth="1"/>
    <col min="498" max="498" width="5.7109375" bestFit="1" customWidth="1"/>
    <col min="499" max="499" width="4.7109375" bestFit="1" customWidth="1"/>
    <col min="500" max="500" width="7.7109375" bestFit="1" customWidth="1"/>
    <col min="501" max="501" width="5.42578125" bestFit="1" customWidth="1"/>
    <col min="502" max="502" width="7" bestFit="1" customWidth="1"/>
    <col min="503" max="503" width="6.140625" bestFit="1" customWidth="1"/>
    <col min="504" max="504" width="5.42578125" bestFit="1" customWidth="1"/>
    <col min="505" max="505" width="7" bestFit="1" customWidth="1"/>
    <col min="506" max="506" width="7.5703125" bestFit="1" customWidth="1"/>
    <col min="507" max="507" width="6" bestFit="1" customWidth="1"/>
    <col min="508" max="508" width="5" bestFit="1" customWidth="1"/>
    <col min="509" max="509" width="32.28515625" bestFit="1" customWidth="1"/>
    <col min="510" max="510" width="6.7109375" bestFit="1" customWidth="1"/>
    <col min="511" max="511" width="4.28515625" bestFit="1" customWidth="1"/>
    <col min="512" max="512" width="6.85546875" bestFit="1" customWidth="1"/>
    <col min="513" max="513" width="5.5703125" bestFit="1" customWidth="1"/>
    <col min="514" max="514" width="6.42578125" bestFit="1" customWidth="1"/>
    <col min="515" max="515" width="5" bestFit="1" customWidth="1"/>
    <col min="516" max="516" width="5.7109375" bestFit="1" customWidth="1"/>
    <col min="517" max="517" width="4.7109375" bestFit="1" customWidth="1"/>
    <col min="518" max="518" width="7.7109375" bestFit="1" customWidth="1"/>
    <col min="519" max="519" width="5.42578125" bestFit="1" customWidth="1"/>
    <col min="520" max="520" width="7" bestFit="1" customWidth="1"/>
    <col min="521" max="521" width="6.140625" bestFit="1" customWidth="1"/>
    <col min="522" max="522" width="5.42578125" bestFit="1" customWidth="1"/>
    <col min="523" max="523" width="7" bestFit="1" customWidth="1"/>
    <col min="524" max="524" width="7.5703125" bestFit="1" customWidth="1"/>
    <col min="525" max="525" width="6" bestFit="1" customWidth="1"/>
    <col min="526" max="526" width="5" bestFit="1" customWidth="1"/>
    <col min="527" max="527" width="24.42578125" bestFit="1" customWidth="1"/>
    <col min="528" max="528" width="6.7109375" bestFit="1" customWidth="1"/>
    <col min="529" max="529" width="4.28515625" bestFit="1" customWidth="1"/>
    <col min="530" max="530" width="6.85546875" bestFit="1" customWidth="1"/>
    <col min="531" max="531" width="5.5703125" bestFit="1" customWidth="1"/>
    <col min="532" max="532" width="6.42578125" bestFit="1" customWidth="1"/>
    <col min="533" max="533" width="5" bestFit="1" customWidth="1"/>
    <col min="534" max="534" width="5.7109375" bestFit="1" customWidth="1"/>
    <col min="535" max="535" width="4.7109375" bestFit="1" customWidth="1"/>
    <col min="536" max="536" width="7.7109375" bestFit="1" customWidth="1"/>
    <col min="537" max="537" width="5.42578125" bestFit="1" customWidth="1"/>
    <col min="538" max="538" width="7" bestFit="1" customWidth="1"/>
    <col min="539" max="539" width="6.140625" bestFit="1" customWidth="1"/>
    <col min="540" max="540" width="5.42578125" bestFit="1" customWidth="1"/>
    <col min="541" max="541" width="7" bestFit="1" customWidth="1"/>
    <col min="542" max="542" width="7.5703125" bestFit="1" customWidth="1"/>
    <col min="543" max="543" width="6" bestFit="1" customWidth="1"/>
    <col min="544" max="544" width="5" bestFit="1" customWidth="1"/>
    <col min="545" max="545" width="23.85546875" bestFit="1" customWidth="1"/>
    <col min="546" max="546" width="6.7109375" bestFit="1" customWidth="1"/>
    <col min="547" max="547" width="4.28515625" bestFit="1" customWidth="1"/>
    <col min="548" max="548" width="6.85546875" bestFit="1" customWidth="1"/>
    <col min="549" max="549" width="5.5703125" bestFit="1" customWidth="1"/>
    <col min="550" max="550" width="6.42578125" bestFit="1" customWidth="1"/>
    <col min="551" max="551" width="5" bestFit="1" customWidth="1"/>
    <col min="552" max="552" width="5.7109375" bestFit="1" customWidth="1"/>
    <col min="553" max="553" width="4.7109375" bestFit="1" customWidth="1"/>
    <col min="554" max="554" width="7.7109375" bestFit="1" customWidth="1"/>
    <col min="555" max="555" width="5.42578125" bestFit="1" customWidth="1"/>
    <col min="556" max="556" width="7" bestFit="1" customWidth="1"/>
    <col min="557" max="557" width="6.140625" bestFit="1" customWidth="1"/>
    <col min="558" max="558" width="5.42578125" bestFit="1" customWidth="1"/>
    <col min="559" max="559" width="7" bestFit="1" customWidth="1"/>
    <col min="560" max="560" width="7.5703125" bestFit="1" customWidth="1"/>
    <col min="561" max="561" width="6" bestFit="1" customWidth="1"/>
    <col min="562" max="562" width="5" bestFit="1" customWidth="1"/>
    <col min="563" max="563" width="38.140625" bestFit="1" customWidth="1"/>
    <col min="564" max="564" width="6.7109375" bestFit="1" customWidth="1"/>
    <col min="565" max="565" width="4.28515625" bestFit="1" customWidth="1"/>
    <col min="566" max="566" width="6.85546875" bestFit="1" customWidth="1"/>
    <col min="567" max="567" width="5.5703125" bestFit="1" customWidth="1"/>
    <col min="568" max="568" width="6.42578125" bestFit="1" customWidth="1"/>
    <col min="569" max="569" width="5" bestFit="1" customWidth="1"/>
    <col min="570" max="570" width="5.7109375" bestFit="1" customWidth="1"/>
    <col min="571" max="571" width="4.7109375" bestFit="1" customWidth="1"/>
    <col min="572" max="572" width="7.7109375" bestFit="1" customWidth="1"/>
    <col min="573" max="573" width="5.42578125" bestFit="1" customWidth="1"/>
    <col min="574" max="574" width="7" bestFit="1" customWidth="1"/>
    <col min="575" max="575" width="6.140625" bestFit="1" customWidth="1"/>
    <col min="576" max="576" width="5.42578125" bestFit="1" customWidth="1"/>
    <col min="577" max="577" width="7" bestFit="1" customWidth="1"/>
    <col min="578" max="578" width="7.5703125" bestFit="1" customWidth="1"/>
    <col min="579" max="579" width="6" bestFit="1" customWidth="1"/>
    <col min="580" max="580" width="5" bestFit="1" customWidth="1"/>
    <col min="581" max="581" width="23" bestFit="1" customWidth="1"/>
    <col min="582" max="582" width="6.7109375" bestFit="1" customWidth="1"/>
    <col min="583" max="583" width="4.28515625" bestFit="1" customWidth="1"/>
    <col min="584" max="584" width="6.85546875" bestFit="1" customWidth="1"/>
    <col min="585" max="585" width="5.5703125" bestFit="1" customWidth="1"/>
    <col min="586" max="586" width="6.42578125" bestFit="1" customWidth="1"/>
    <col min="587" max="587" width="5" bestFit="1" customWidth="1"/>
    <col min="588" max="588" width="5.7109375" bestFit="1" customWidth="1"/>
    <col min="589" max="589" width="4.7109375" bestFit="1" customWidth="1"/>
    <col min="590" max="590" width="7.7109375" bestFit="1" customWidth="1"/>
    <col min="591" max="591" width="5.42578125" bestFit="1" customWidth="1"/>
    <col min="592" max="592" width="7" bestFit="1" customWidth="1"/>
    <col min="593" max="593" width="6.140625" bestFit="1" customWidth="1"/>
    <col min="594" max="594" width="5.42578125" bestFit="1" customWidth="1"/>
    <col min="595" max="595" width="7" bestFit="1" customWidth="1"/>
    <col min="596" max="596" width="7.5703125" bestFit="1" customWidth="1"/>
    <col min="597" max="597" width="6" bestFit="1" customWidth="1"/>
    <col min="598" max="598" width="5" bestFit="1" customWidth="1"/>
    <col min="599" max="599" width="32.28515625" bestFit="1" customWidth="1"/>
    <col min="600" max="600" width="6.7109375" bestFit="1" customWidth="1"/>
    <col min="601" max="601" width="4.28515625" bestFit="1" customWidth="1"/>
    <col min="602" max="602" width="6.85546875" bestFit="1" customWidth="1"/>
    <col min="603" max="603" width="5.5703125" bestFit="1" customWidth="1"/>
    <col min="604" max="604" width="6.42578125" bestFit="1" customWidth="1"/>
    <col min="605" max="605" width="5" bestFit="1" customWidth="1"/>
    <col min="606" max="606" width="5.7109375" bestFit="1" customWidth="1"/>
    <col min="607" max="607" width="4.7109375" bestFit="1" customWidth="1"/>
    <col min="608" max="608" width="7.7109375" bestFit="1" customWidth="1"/>
    <col min="609" max="609" width="5.42578125" bestFit="1" customWidth="1"/>
    <col min="610" max="610" width="7" bestFit="1" customWidth="1"/>
    <col min="611" max="611" width="6.140625" bestFit="1" customWidth="1"/>
    <col min="612" max="612" width="5.42578125" bestFit="1" customWidth="1"/>
    <col min="613" max="613" width="7" bestFit="1" customWidth="1"/>
    <col min="614" max="614" width="7.5703125" bestFit="1" customWidth="1"/>
    <col min="615" max="615" width="6" bestFit="1" customWidth="1"/>
    <col min="616" max="616" width="5" bestFit="1" customWidth="1"/>
    <col min="617" max="617" width="25.7109375" bestFit="1" customWidth="1"/>
    <col min="618" max="618" width="6.7109375" bestFit="1" customWidth="1"/>
    <col min="619" max="619" width="4.28515625" bestFit="1" customWidth="1"/>
    <col min="620" max="620" width="6.85546875" bestFit="1" customWidth="1"/>
    <col min="621" max="621" width="5.5703125" bestFit="1" customWidth="1"/>
    <col min="622" max="622" width="6.42578125" bestFit="1" customWidth="1"/>
    <col min="623" max="623" width="5" bestFit="1" customWidth="1"/>
    <col min="624" max="624" width="5.7109375" bestFit="1" customWidth="1"/>
    <col min="625" max="625" width="4.7109375" bestFit="1" customWidth="1"/>
    <col min="626" max="626" width="7.7109375" bestFit="1" customWidth="1"/>
    <col min="627" max="627" width="5.42578125" bestFit="1" customWidth="1"/>
    <col min="628" max="628" width="7" bestFit="1" customWidth="1"/>
    <col min="629" max="629" width="6.140625" bestFit="1" customWidth="1"/>
    <col min="630" max="630" width="5.42578125" bestFit="1" customWidth="1"/>
    <col min="631" max="631" width="7" bestFit="1" customWidth="1"/>
    <col min="632" max="632" width="7.5703125" bestFit="1" customWidth="1"/>
    <col min="633" max="633" width="6" bestFit="1" customWidth="1"/>
    <col min="634" max="634" width="5" bestFit="1" customWidth="1"/>
    <col min="635" max="635" width="19.28515625" bestFit="1" customWidth="1"/>
    <col min="636" max="636" width="6.7109375" bestFit="1" customWidth="1"/>
    <col min="637" max="637" width="4.28515625" bestFit="1" customWidth="1"/>
    <col min="638" max="638" width="6.85546875" bestFit="1" customWidth="1"/>
    <col min="639" max="639" width="5.5703125" bestFit="1" customWidth="1"/>
    <col min="640" max="640" width="6.42578125" bestFit="1" customWidth="1"/>
    <col min="641" max="641" width="5" bestFit="1" customWidth="1"/>
    <col min="642" max="642" width="5.7109375" bestFit="1" customWidth="1"/>
    <col min="643" max="643" width="4.7109375" bestFit="1" customWidth="1"/>
    <col min="644" max="644" width="7.7109375" bestFit="1" customWidth="1"/>
    <col min="645" max="645" width="5.42578125" bestFit="1" customWidth="1"/>
    <col min="646" max="646" width="7" bestFit="1" customWidth="1"/>
    <col min="647" max="647" width="6.140625" bestFit="1" customWidth="1"/>
    <col min="648" max="648" width="5.42578125" bestFit="1" customWidth="1"/>
    <col min="649" max="649" width="7" bestFit="1" customWidth="1"/>
    <col min="650" max="650" width="7.5703125" bestFit="1" customWidth="1"/>
    <col min="651" max="651" width="6" bestFit="1" customWidth="1"/>
    <col min="652" max="652" width="5" bestFit="1" customWidth="1"/>
    <col min="653" max="653" width="22.5703125" bestFit="1" customWidth="1"/>
    <col min="654" max="654" width="6.7109375" bestFit="1" customWidth="1"/>
    <col min="655" max="655" width="4.28515625" bestFit="1" customWidth="1"/>
    <col min="656" max="656" width="6.85546875" bestFit="1" customWidth="1"/>
    <col min="657" max="657" width="5.5703125" bestFit="1" customWidth="1"/>
    <col min="658" max="658" width="6.42578125" bestFit="1" customWidth="1"/>
    <col min="659" max="659" width="5" bestFit="1" customWidth="1"/>
    <col min="660" max="660" width="5.7109375" bestFit="1" customWidth="1"/>
    <col min="661" max="661" width="4.7109375" bestFit="1" customWidth="1"/>
    <col min="662" max="662" width="7.7109375" bestFit="1" customWidth="1"/>
    <col min="663" max="663" width="5.42578125" bestFit="1" customWidth="1"/>
    <col min="664" max="664" width="7" bestFit="1" customWidth="1"/>
    <col min="665" max="665" width="6.140625" bestFit="1" customWidth="1"/>
    <col min="666" max="666" width="5.42578125" bestFit="1" customWidth="1"/>
    <col min="667" max="667" width="7" bestFit="1" customWidth="1"/>
    <col min="668" max="668" width="7.5703125" bestFit="1" customWidth="1"/>
    <col min="669" max="669" width="6" bestFit="1" customWidth="1"/>
    <col min="670" max="670" width="5" bestFit="1" customWidth="1"/>
    <col min="671" max="671" width="25.5703125" bestFit="1" customWidth="1"/>
    <col min="672" max="672" width="6.7109375" bestFit="1" customWidth="1"/>
    <col min="673" max="673" width="4.28515625" bestFit="1" customWidth="1"/>
    <col min="674" max="674" width="6.85546875" bestFit="1" customWidth="1"/>
    <col min="675" max="675" width="5.5703125" bestFit="1" customWidth="1"/>
    <col min="676" max="676" width="6.42578125" bestFit="1" customWidth="1"/>
    <col min="677" max="677" width="5" bestFit="1" customWidth="1"/>
    <col min="678" max="678" width="5.7109375" bestFit="1" customWidth="1"/>
    <col min="679" max="679" width="4.7109375" bestFit="1" customWidth="1"/>
    <col min="680" max="680" width="7.7109375" bestFit="1" customWidth="1"/>
    <col min="681" max="681" width="5.42578125" bestFit="1" customWidth="1"/>
    <col min="682" max="682" width="7" bestFit="1" customWidth="1"/>
    <col min="683" max="683" width="6.140625" bestFit="1" customWidth="1"/>
    <col min="684" max="684" width="5.42578125" bestFit="1" customWidth="1"/>
    <col min="685" max="685" width="7" bestFit="1" customWidth="1"/>
    <col min="686" max="686" width="7.5703125" bestFit="1" customWidth="1"/>
    <col min="687" max="687" width="6" bestFit="1" customWidth="1"/>
    <col min="688" max="688" width="5" bestFit="1" customWidth="1"/>
    <col min="689" max="689" width="26.5703125" bestFit="1" customWidth="1"/>
    <col min="690" max="690" width="6.7109375" bestFit="1" customWidth="1"/>
    <col min="691" max="691" width="4.28515625" bestFit="1" customWidth="1"/>
    <col min="692" max="692" width="6.85546875" bestFit="1" customWidth="1"/>
    <col min="693" max="693" width="5.5703125" bestFit="1" customWidth="1"/>
    <col min="694" max="694" width="6.42578125" bestFit="1" customWidth="1"/>
    <col min="695" max="695" width="5" bestFit="1" customWidth="1"/>
    <col min="696" max="696" width="5.7109375" bestFit="1" customWidth="1"/>
    <col min="697" max="697" width="4.7109375" bestFit="1" customWidth="1"/>
    <col min="698" max="698" width="7.7109375" bestFit="1" customWidth="1"/>
    <col min="699" max="699" width="5.42578125" bestFit="1" customWidth="1"/>
    <col min="700" max="700" width="7" bestFit="1" customWidth="1"/>
    <col min="701" max="701" width="6.140625" bestFit="1" customWidth="1"/>
    <col min="702" max="702" width="5.42578125" bestFit="1" customWidth="1"/>
    <col min="703" max="703" width="7" bestFit="1" customWidth="1"/>
    <col min="704" max="704" width="7.5703125" bestFit="1" customWidth="1"/>
    <col min="705" max="705" width="6" bestFit="1" customWidth="1"/>
    <col min="706" max="706" width="5" bestFit="1" customWidth="1"/>
    <col min="707" max="707" width="46" bestFit="1" customWidth="1"/>
    <col min="708" max="708" width="6.7109375" bestFit="1" customWidth="1"/>
    <col min="709" max="709" width="4.28515625" bestFit="1" customWidth="1"/>
    <col min="710" max="710" width="6.85546875" bestFit="1" customWidth="1"/>
    <col min="711" max="711" width="5.5703125" bestFit="1" customWidth="1"/>
    <col min="712" max="712" width="6.42578125" bestFit="1" customWidth="1"/>
    <col min="713" max="713" width="5" bestFit="1" customWidth="1"/>
    <col min="714" max="714" width="5.7109375" bestFit="1" customWidth="1"/>
    <col min="715" max="715" width="4.7109375" bestFit="1" customWidth="1"/>
    <col min="716" max="716" width="7.7109375" bestFit="1" customWidth="1"/>
    <col min="717" max="717" width="5.42578125" bestFit="1" customWidth="1"/>
    <col min="718" max="718" width="7" bestFit="1" customWidth="1"/>
    <col min="719" max="719" width="6.140625" bestFit="1" customWidth="1"/>
    <col min="720" max="720" width="5.42578125" bestFit="1" customWidth="1"/>
    <col min="721" max="721" width="7" bestFit="1" customWidth="1"/>
    <col min="722" max="722" width="7.5703125" bestFit="1" customWidth="1"/>
    <col min="723" max="723" width="6" bestFit="1" customWidth="1"/>
    <col min="724" max="724" width="5" bestFit="1" customWidth="1"/>
    <col min="725" max="725" width="32.28515625" bestFit="1" customWidth="1"/>
    <col min="726" max="726" width="6.7109375" bestFit="1" customWidth="1"/>
    <col min="727" max="727" width="4.28515625" bestFit="1" customWidth="1"/>
    <col min="728" max="728" width="6.85546875" bestFit="1" customWidth="1"/>
    <col min="729" max="729" width="5.5703125" bestFit="1" customWidth="1"/>
    <col min="730" max="730" width="6.42578125" bestFit="1" customWidth="1"/>
    <col min="731" max="731" width="5" bestFit="1" customWidth="1"/>
    <col min="732" max="732" width="5.7109375" bestFit="1" customWidth="1"/>
    <col min="733" max="733" width="4.7109375" bestFit="1" customWidth="1"/>
    <col min="734" max="734" width="7.7109375" bestFit="1" customWidth="1"/>
    <col min="735" max="735" width="5.42578125" bestFit="1" customWidth="1"/>
    <col min="736" max="736" width="7" bestFit="1" customWidth="1"/>
    <col min="737" max="737" width="6.140625" bestFit="1" customWidth="1"/>
    <col min="738" max="738" width="5.42578125" bestFit="1" customWidth="1"/>
    <col min="739" max="739" width="7" bestFit="1" customWidth="1"/>
    <col min="740" max="740" width="7.5703125" bestFit="1" customWidth="1"/>
    <col min="741" max="741" width="6" bestFit="1" customWidth="1"/>
    <col min="742" max="742" width="5" bestFit="1" customWidth="1"/>
    <col min="743" max="743" width="20.42578125" bestFit="1" customWidth="1"/>
    <col min="744" max="744" width="6.7109375" bestFit="1" customWidth="1"/>
    <col min="745" max="745" width="4.28515625" bestFit="1" customWidth="1"/>
    <col min="746" max="746" width="6.85546875" bestFit="1" customWidth="1"/>
    <col min="747" max="747" width="5.5703125" bestFit="1" customWidth="1"/>
    <col min="748" max="748" width="6.42578125" bestFit="1" customWidth="1"/>
    <col min="749" max="749" width="5" bestFit="1" customWidth="1"/>
    <col min="750" max="750" width="5.7109375" bestFit="1" customWidth="1"/>
    <col min="751" max="751" width="4.7109375" bestFit="1" customWidth="1"/>
    <col min="752" max="752" width="7.7109375" bestFit="1" customWidth="1"/>
    <col min="753" max="753" width="5.42578125" bestFit="1" customWidth="1"/>
    <col min="754" max="754" width="7" bestFit="1" customWidth="1"/>
    <col min="755" max="755" width="6.140625" bestFit="1" customWidth="1"/>
    <col min="756" max="756" width="5.42578125" bestFit="1" customWidth="1"/>
    <col min="757" max="757" width="7" bestFit="1" customWidth="1"/>
    <col min="758" max="758" width="7.5703125" bestFit="1" customWidth="1"/>
    <col min="759" max="759" width="6" bestFit="1" customWidth="1"/>
    <col min="760" max="760" width="5" bestFit="1" customWidth="1"/>
    <col min="761" max="761" width="30.28515625" bestFit="1" customWidth="1"/>
    <col min="762" max="762" width="6.7109375" bestFit="1" customWidth="1"/>
    <col min="763" max="763" width="4.28515625" bestFit="1" customWidth="1"/>
    <col min="764" max="764" width="6.85546875" bestFit="1" customWidth="1"/>
    <col min="765" max="765" width="5.5703125" bestFit="1" customWidth="1"/>
    <col min="766" max="766" width="6.42578125" bestFit="1" customWidth="1"/>
    <col min="767" max="767" width="5" bestFit="1" customWidth="1"/>
    <col min="768" max="768" width="5.7109375" bestFit="1" customWidth="1"/>
    <col min="769" max="769" width="4.7109375" bestFit="1" customWidth="1"/>
    <col min="770" max="770" width="7.7109375" bestFit="1" customWidth="1"/>
    <col min="771" max="771" width="5.42578125" bestFit="1" customWidth="1"/>
    <col min="772" max="772" width="7" bestFit="1" customWidth="1"/>
    <col min="773" max="773" width="6.140625" bestFit="1" customWidth="1"/>
    <col min="774" max="774" width="5.42578125" bestFit="1" customWidth="1"/>
    <col min="775" max="775" width="7" bestFit="1" customWidth="1"/>
    <col min="776" max="776" width="7.5703125" bestFit="1" customWidth="1"/>
    <col min="777" max="777" width="6" bestFit="1" customWidth="1"/>
    <col min="778" max="778" width="5" bestFit="1" customWidth="1"/>
    <col min="779" max="779" width="23.28515625" bestFit="1" customWidth="1"/>
    <col min="780" max="780" width="6.7109375" bestFit="1" customWidth="1"/>
    <col min="781" max="781" width="4.28515625" bestFit="1" customWidth="1"/>
    <col min="782" max="782" width="6.85546875" bestFit="1" customWidth="1"/>
    <col min="783" max="783" width="5.5703125" bestFit="1" customWidth="1"/>
    <col min="784" max="784" width="6.42578125" bestFit="1" customWidth="1"/>
    <col min="785" max="785" width="5" bestFit="1" customWidth="1"/>
    <col min="786" max="786" width="5.7109375" bestFit="1" customWidth="1"/>
    <col min="787" max="787" width="4.7109375" bestFit="1" customWidth="1"/>
    <col min="788" max="788" width="7.7109375" bestFit="1" customWidth="1"/>
    <col min="789" max="789" width="5.42578125" bestFit="1" customWidth="1"/>
    <col min="790" max="790" width="7" bestFit="1" customWidth="1"/>
    <col min="791" max="791" width="6.140625" bestFit="1" customWidth="1"/>
    <col min="792" max="792" width="5.42578125" bestFit="1" customWidth="1"/>
    <col min="793" max="793" width="7" bestFit="1" customWidth="1"/>
    <col min="794" max="794" width="7.5703125" bestFit="1" customWidth="1"/>
    <col min="795" max="795" width="6" bestFit="1" customWidth="1"/>
    <col min="796" max="796" width="5" bestFit="1" customWidth="1"/>
    <col min="797" max="797" width="33" bestFit="1" customWidth="1"/>
    <col min="798" max="798" width="6.7109375" bestFit="1" customWidth="1"/>
    <col min="799" max="799" width="4.28515625" bestFit="1" customWidth="1"/>
    <col min="800" max="800" width="6.85546875" bestFit="1" customWidth="1"/>
    <col min="801" max="801" width="5.5703125" bestFit="1" customWidth="1"/>
    <col min="802" max="802" width="6.42578125" bestFit="1" customWidth="1"/>
    <col min="803" max="803" width="5" bestFit="1" customWidth="1"/>
    <col min="804" max="804" width="5.7109375" bestFit="1" customWidth="1"/>
    <col min="805" max="805" width="4.7109375" bestFit="1" customWidth="1"/>
    <col min="806" max="806" width="7.7109375" bestFit="1" customWidth="1"/>
    <col min="807" max="807" width="5.42578125" bestFit="1" customWidth="1"/>
    <col min="808" max="808" width="7" bestFit="1" customWidth="1"/>
    <col min="809" max="809" width="6.140625" bestFit="1" customWidth="1"/>
    <col min="810" max="810" width="5.42578125" bestFit="1" customWidth="1"/>
    <col min="811" max="811" width="7" bestFit="1" customWidth="1"/>
    <col min="812" max="812" width="7.5703125" bestFit="1" customWidth="1"/>
    <col min="813" max="813" width="6" bestFit="1" customWidth="1"/>
    <col min="814" max="814" width="5" bestFit="1" customWidth="1"/>
    <col min="815" max="815" width="23.7109375" bestFit="1" customWidth="1"/>
    <col min="816" max="816" width="6.7109375" bestFit="1" customWidth="1"/>
    <col min="817" max="817" width="4.28515625" bestFit="1" customWidth="1"/>
    <col min="818" max="818" width="6.85546875" bestFit="1" customWidth="1"/>
    <col min="819" max="819" width="5.5703125" bestFit="1" customWidth="1"/>
    <col min="820" max="820" width="6.42578125" bestFit="1" customWidth="1"/>
    <col min="821" max="821" width="5" bestFit="1" customWidth="1"/>
    <col min="822" max="822" width="5.7109375" bestFit="1" customWidth="1"/>
    <col min="823" max="823" width="4.7109375" bestFit="1" customWidth="1"/>
    <col min="824" max="824" width="7.7109375" bestFit="1" customWidth="1"/>
    <col min="825" max="825" width="5.42578125" bestFit="1" customWidth="1"/>
    <col min="826" max="826" width="7" bestFit="1" customWidth="1"/>
    <col min="827" max="827" width="6.140625" bestFit="1" customWidth="1"/>
    <col min="828" max="828" width="5.42578125" bestFit="1" customWidth="1"/>
    <col min="829" max="829" width="7" bestFit="1" customWidth="1"/>
    <col min="830" max="830" width="7.5703125" bestFit="1" customWidth="1"/>
    <col min="831" max="831" width="6" bestFit="1" customWidth="1"/>
    <col min="832" max="832" width="5" bestFit="1" customWidth="1"/>
    <col min="833" max="833" width="31.7109375" bestFit="1" customWidth="1"/>
    <col min="834" max="834" width="6.7109375" bestFit="1" customWidth="1"/>
    <col min="835" max="835" width="4.28515625" bestFit="1" customWidth="1"/>
    <col min="836" max="836" width="6.85546875" bestFit="1" customWidth="1"/>
    <col min="837" max="837" width="5.5703125" bestFit="1" customWidth="1"/>
    <col min="838" max="838" width="6.42578125" bestFit="1" customWidth="1"/>
    <col min="839" max="839" width="5" bestFit="1" customWidth="1"/>
    <col min="840" max="840" width="5.7109375" bestFit="1" customWidth="1"/>
    <col min="841" max="841" width="4.7109375" bestFit="1" customWidth="1"/>
    <col min="842" max="842" width="7.7109375" bestFit="1" customWidth="1"/>
    <col min="843" max="843" width="5.42578125" bestFit="1" customWidth="1"/>
    <col min="844" max="844" width="7" bestFit="1" customWidth="1"/>
    <col min="845" max="845" width="6.140625" bestFit="1" customWidth="1"/>
    <col min="846" max="846" width="5.42578125" bestFit="1" customWidth="1"/>
    <col min="847" max="847" width="7" bestFit="1" customWidth="1"/>
    <col min="848" max="848" width="7.5703125" bestFit="1" customWidth="1"/>
    <col min="849" max="849" width="6" bestFit="1" customWidth="1"/>
    <col min="850" max="850" width="5" bestFit="1" customWidth="1"/>
    <col min="851" max="851" width="25.5703125" bestFit="1" customWidth="1"/>
    <col min="852" max="852" width="6.7109375" bestFit="1" customWidth="1"/>
    <col min="853" max="853" width="4.28515625" bestFit="1" customWidth="1"/>
    <col min="854" max="854" width="6.85546875" bestFit="1" customWidth="1"/>
    <col min="855" max="855" width="5.5703125" bestFit="1" customWidth="1"/>
    <col min="856" max="856" width="6.42578125" bestFit="1" customWidth="1"/>
    <col min="857" max="857" width="5" bestFit="1" customWidth="1"/>
    <col min="858" max="858" width="5.7109375" bestFit="1" customWidth="1"/>
    <col min="859" max="859" width="4.7109375" bestFit="1" customWidth="1"/>
    <col min="860" max="860" width="7.7109375" bestFit="1" customWidth="1"/>
    <col min="861" max="861" width="5.42578125" bestFit="1" customWidth="1"/>
    <col min="862" max="862" width="7" bestFit="1" customWidth="1"/>
    <col min="863" max="863" width="6.140625" bestFit="1" customWidth="1"/>
    <col min="864" max="864" width="5.42578125" bestFit="1" customWidth="1"/>
    <col min="865" max="865" width="7" bestFit="1" customWidth="1"/>
    <col min="866" max="866" width="7.5703125" bestFit="1" customWidth="1"/>
    <col min="867" max="867" width="6" bestFit="1" customWidth="1"/>
    <col min="868" max="868" width="5" bestFit="1" customWidth="1"/>
    <col min="869" max="869" width="34.5703125" bestFit="1" customWidth="1"/>
    <col min="870" max="870" width="6.7109375" bestFit="1" customWidth="1"/>
    <col min="871" max="871" width="4.28515625" bestFit="1" customWidth="1"/>
    <col min="872" max="872" width="6.85546875" bestFit="1" customWidth="1"/>
    <col min="873" max="873" width="5.5703125" bestFit="1" customWidth="1"/>
    <col min="874" max="874" width="6.42578125" bestFit="1" customWidth="1"/>
    <col min="875" max="875" width="5" bestFit="1" customWidth="1"/>
    <col min="876" max="876" width="5.7109375" bestFit="1" customWidth="1"/>
    <col min="877" max="877" width="4.7109375" bestFit="1" customWidth="1"/>
    <col min="878" max="878" width="7.7109375" bestFit="1" customWidth="1"/>
    <col min="879" max="879" width="5.42578125" bestFit="1" customWidth="1"/>
    <col min="880" max="880" width="7" bestFit="1" customWidth="1"/>
    <col min="881" max="881" width="6.140625" bestFit="1" customWidth="1"/>
    <col min="882" max="882" width="5.42578125" bestFit="1" customWidth="1"/>
    <col min="883" max="883" width="7" bestFit="1" customWidth="1"/>
    <col min="884" max="884" width="7.5703125" bestFit="1" customWidth="1"/>
    <col min="885" max="885" width="6" bestFit="1" customWidth="1"/>
    <col min="886" max="886" width="5" bestFit="1" customWidth="1"/>
    <col min="887" max="887" width="24.140625" bestFit="1" customWidth="1"/>
    <col min="888" max="888" width="6.7109375" bestFit="1" customWidth="1"/>
    <col min="889" max="889" width="4.28515625" bestFit="1" customWidth="1"/>
    <col min="890" max="890" width="6.85546875" bestFit="1" customWidth="1"/>
    <col min="891" max="891" width="5.5703125" bestFit="1" customWidth="1"/>
    <col min="892" max="892" width="6.42578125" bestFit="1" customWidth="1"/>
    <col min="893" max="893" width="5" bestFit="1" customWidth="1"/>
    <col min="894" max="894" width="5.7109375" bestFit="1" customWidth="1"/>
    <col min="895" max="895" width="4.7109375" bestFit="1" customWidth="1"/>
    <col min="896" max="896" width="7.7109375" bestFit="1" customWidth="1"/>
    <col min="897" max="897" width="5.42578125" bestFit="1" customWidth="1"/>
    <col min="898" max="898" width="7" bestFit="1" customWidth="1"/>
    <col min="899" max="899" width="6.140625" bestFit="1" customWidth="1"/>
    <col min="900" max="900" width="5.42578125" bestFit="1" customWidth="1"/>
    <col min="901" max="901" width="7" bestFit="1" customWidth="1"/>
    <col min="902" max="902" width="7.5703125" bestFit="1" customWidth="1"/>
    <col min="903" max="903" width="6" bestFit="1" customWidth="1"/>
    <col min="904" max="904" width="5" bestFit="1" customWidth="1"/>
    <col min="905" max="905" width="33.5703125" bestFit="1" customWidth="1"/>
    <col min="906" max="906" width="6.7109375" bestFit="1" customWidth="1"/>
    <col min="907" max="907" width="4.28515625" bestFit="1" customWidth="1"/>
    <col min="908" max="908" width="6.85546875" bestFit="1" customWidth="1"/>
    <col min="909" max="909" width="5.5703125" bestFit="1" customWidth="1"/>
    <col min="910" max="910" width="6.42578125" bestFit="1" customWidth="1"/>
    <col min="911" max="911" width="5" bestFit="1" customWidth="1"/>
    <col min="912" max="912" width="5.7109375" bestFit="1" customWidth="1"/>
    <col min="913" max="913" width="4.7109375" bestFit="1" customWidth="1"/>
    <col min="914" max="914" width="7.7109375" bestFit="1" customWidth="1"/>
    <col min="915" max="915" width="5.42578125" bestFit="1" customWidth="1"/>
    <col min="916" max="916" width="7" bestFit="1" customWidth="1"/>
    <col min="917" max="917" width="6.140625" bestFit="1" customWidth="1"/>
    <col min="918" max="918" width="5.42578125" bestFit="1" customWidth="1"/>
    <col min="919" max="919" width="7" bestFit="1" customWidth="1"/>
    <col min="920" max="920" width="7.5703125" bestFit="1" customWidth="1"/>
    <col min="921" max="921" width="6" bestFit="1" customWidth="1"/>
    <col min="922" max="922" width="5" bestFit="1" customWidth="1"/>
    <col min="923" max="923" width="25.5703125" bestFit="1" customWidth="1"/>
    <col min="924" max="924" width="6.7109375" bestFit="1" customWidth="1"/>
    <col min="925" max="925" width="4.28515625" bestFit="1" customWidth="1"/>
    <col min="926" max="926" width="6.85546875" bestFit="1" customWidth="1"/>
    <col min="927" max="927" width="5.5703125" bestFit="1" customWidth="1"/>
    <col min="928" max="928" width="6.42578125" bestFit="1" customWidth="1"/>
    <col min="929" max="929" width="5" bestFit="1" customWidth="1"/>
    <col min="930" max="930" width="5.7109375" bestFit="1" customWidth="1"/>
    <col min="931" max="931" width="4.7109375" bestFit="1" customWidth="1"/>
    <col min="932" max="932" width="7.7109375" bestFit="1" customWidth="1"/>
    <col min="933" max="933" width="5.42578125" bestFit="1" customWidth="1"/>
    <col min="934" max="934" width="7" bestFit="1" customWidth="1"/>
    <col min="935" max="935" width="6.140625" bestFit="1" customWidth="1"/>
    <col min="936" max="936" width="5.42578125" bestFit="1" customWidth="1"/>
    <col min="937" max="937" width="7" bestFit="1" customWidth="1"/>
    <col min="938" max="938" width="7.5703125" bestFit="1" customWidth="1"/>
    <col min="939" max="939" width="6" bestFit="1" customWidth="1"/>
    <col min="940" max="940" width="5" bestFit="1" customWidth="1"/>
    <col min="941" max="941" width="35" bestFit="1" customWidth="1"/>
    <col min="942" max="942" width="6.7109375" bestFit="1" customWidth="1"/>
    <col min="943" max="943" width="4.28515625" bestFit="1" customWidth="1"/>
    <col min="944" max="944" width="6.85546875" bestFit="1" customWidth="1"/>
    <col min="945" max="945" width="5.5703125" bestFit="1" customWidth="1"/>
    <col min="946" max="946" width="6.42578125" bestFit="1" customWidth="1"/>
    <col min="947" max="947" width="5" bestFit="1" customWidth="1"/>
    <col min="948" max="948" width="5.7109375" bestFit="1" customWidth="1"/>
    <col min="949" max="949" width="4.7109375" bestFit="1" customWidth="1"/>
    <col min="950" max="950" width="7.7109375" bestFit="1" customWidth="1"/>
    <col min="951" max="951" width="5.42578125" bestFit="1" customWidth="1"/>
    <col min="952" max="952" width="7" bestFit="1" customWidth="1"/>
    <col min="953" max="953" width="6.140625" bestFit="1" customWidth="1"/>
    <col min="954" max="954" width="5.42578125" bestFit="1" customWidth="1"/>
    <col min="955" max="955" width="7" bestFit="1" customWidth="1"/>
    <col min="956" max="956" width="7.5703125" bestFit="1" customWidth="1"/>
    <col min="957" max="957" width="6" bestFit="1" customWidth="1"/>
    <col min="958" max="958" width="5" bestFit="1" customWidth="1"/>
    <col min="959" max="959" width="21.42578125" bestFit="1" customWidth="1"/>
    <col min="960" max="960" width="6.7109375" bestFit="1" customWidth="1"/>
    <col min="961" max="961" width="4.28515625" bestFit="1" customWidth="1"/>
    <col min="962" max="962" width="6.85546875" bestFit="1" customWidth="1"/>
    <col min="963" max="963" width="5.5703125" bestFit="1" customWidth="1"/>
    <col min="964" max="964" width="6.42578125" bestFit="1" customWidth="1"/>
    <col min="965" max="965" width="5" bestFit="1" customWidth="1"/>
    <col min="966" max="966" width="5.7109375" bestFit="1" customWidth="1"/>
    <col min="967" max="967" width="4.7109375" bestFit="1" customWidth="1"/>
    <col min="968" max="968" width="7.7109375" bestFit="1" customWidth="1"/>
    <col min="969" max="969" width="5.42578125" bestFit="1" customWidth="1"/>
    <col min="970" max="970" width="7" bestFit="1" customWidth="1"/>
    <col min="971" max="971" width="6.140625" bestFit="1" customWidth="1"/>
    <col min="972" max="972" width="5.42578125" bestFit="1" customWidth="1"/>
    <col min="973" max="973" width="7" bestFit="1" customWidth="1"/>
    <col min="974" max="974" width="7.5703125" bestFit="1" customWidth="1"/>
    <col min="975" max="975" width="6" bestFit="1" customWidth="1"/>
    <col min="976" max="976" width="5" bestFit="1" customWidth="1"/>
    <col min="977" max="977" width="30.85546875" bestFit="1" customWidth="1"/>
    <col min="978" max="978" width="6.7109375" bestFit="1" customWidth="1"/>
    <col min="979" max="979" width="4.28515625" bestFit="1" customWidth="1"/>
    <col min="980" max="980" width="6.85546875" bestFit="1" customWidth="1"/>
    <col min="981" max="981" width="5.5703125" bestFit="1" customWidth="1"/>
    <col min="982" max="982" width="6.42578125" bestFit="1" customWidth="1"/>
    <col min="983" max="983" width="5" bestFit="1" customWidth="1"/>
    <col min="984" max="984" width="5.7109375" bestFit="1" customWidth="1"/>
    <col min="985" max="985" width="4.7109375" bestFit="1" customWidth="1"/>
    <col min="986" max="986" width="7.7109375" bestFit="1" customWidth="1"/>
    <col min="987" max="987" width="5.42578125" bestFit="1" customWidth="1"/>
    <col min="988" max="988" width="7" bestFit="1" customWidth="1"/>
    <col min="989" max="989" width="6.140625" bestFit="1" customWidth="1"/>
    <col min="990" max="990" width="5.42578125" bestFit="1" customWidth="1"/>
    <col min="991" max="991" width="7" bestFit="1" customWidth="1"/>
    <col min="992" max="992" width="7.5703125" bestFit="1" customWidth="1"/>
    <col min="993" max="993" width="6" bestFit="1" customWidth="1"/>
    <col min="994" max="994" width="5" bestFit="1" customWidth="1"/>
    <col min="995" max="995" width="32.85546875" bestFit="1" customWidth="1"/>
    <col min="996" max="996" width="6.7109375" bestFit="1" customWidth="1"/>
    <col min="997" max="997" width="4.28515625" bestFit="1" customWidth="1"/>
    <col min="998" max="998" width="6.85546875" bestFit="1" customWidth="1"/>
    <col min="999" max="999" width="5.5703125" bestFit="1" customWidth="1"/>
    <col min="1000" max="1000" width="6.42578125" bestFit="1" customWidth="1"/>
    <col min="1001" max="1001" width="5" bestFit="1" customWidth="1"/>
    <col min="1002" max="1002" width="5.7109375" bestFit="1" customWidth="1"/>
    <col min="1003" max="1003" width="4.7109375" bestFit="1" customWidth="1"/>
    <col min="1004" max="1004" width="7.7109375" bestFit="1" customWidth="1"/>
    <col min="1005" max="1005" width="5.42578125" bestFit="1" customWidth="1"/>
    <col min="1006" max="1006" width="7" bestFit="1" customWidth="1"/>
    <col min="1007" max="1007" width="6.140625" bestFit="1" customWidth="1"/>
    <col min="1008" max="1008" width="5.42578125" bestFit="1" customWidth="1"/>
    <col min="1009" max="1009" width="7" bestFit="1" customWidth="1"/>
    <col min="1010" max="1010" width="7.5703125" bestFit="1" customWidth="1"/>
    <col min="1011" max="1011" width="6" bestFit="1" customWidth="1"/>
    <col min="1012" max="1012" width="5" bestFit="1" customWidth="1"/>
    <col min="1013" max="1013" width="42.28515625" bestFit="1" customWidth="1"/>
    <col min="1014" max="1014" width="6.7109375" bestFit="1" customWidth="1"/>
    <col min="1015" max="1015" width="4.28515625" bestFit="1" customWidth="1"/>
    <col min="1016" max="1016" width="6.85546875" bestFit="1" customWidth="1"/>
    <col min="1017" max="1017" width="5.5703125" bestFit="1" customWidth="1"/>
    <col min="1018" max="1018" width="6.42578125" bestFit="1" customWidth="1"/>
    <col min="1019" max="1019" width="5" bestFit="1" customWidth="1"/>
    <col min="1020" max="1020" width="5.7109375" bestFit="1" customWidth="1"/>
    <col min="1021" max="1021" width="4.7109375" bestFit="1" customWidth="1"/>
    <col min="1022" max="1022" width="7.7109375" bestFit="1" customWidth="1"/>
    <col min="1023" max="1023" width="5.42578125" bestFit="1" customWidth="1"/>
    <col min="1024" max="1024" width="7" bestFit="1" customWidth="1"/>
    <col min="1025" max="1025" width="6.140625" bestFit="1" customWidth="1"/>
    <col min="1026" max="1026" width="5.42578125" bestFit="1" customWidth="1"/>
    <col min="1027" max="1027" width="7" bestFit="1" customWidth="1"/>
    <col min="1028" max="1028" width="7.5703125" bestFit="1" customWidth="1"/>
    <col min="1029" max="1029" width="6" bestFit="1" customWidth="1"/>
    <col min="1030" max="1030" width="5" bestFit="1" customWidth="1"/>
    <col min="1031" max="1031" width="30.7109375" bestFit="1" customWidth="1"/>
    <col min="1032" max="1032" width="6.7109375" bestFit="1" customWidth="1"/>
    <col min="1033" max="1033" width="4.28515625" bestFit="1" customWidth="1"/>
    <col min="1034" max="1034" width="6.85546875" bestFit="1" customWidth="1"/>
    <col min="1035" max="1035" width="5.5703125" bestFit="1" customWidth="1"/>
    <col min="1036" max="1036" width="6.42578125" bestFit="1" customWidth="1"/>
    <col min="1037" max="1037" width="5" bestFit="1" customWidth="1"/>
    <col min="1038" max="1038" width="5.7109375" bestFit="1" customWidth="1"/>
    <col min="1039" max="1039" width="4.7109375" bestFit="1" customWidth="1"/>
    <col min="1040" max="1040" width="7.7109375" bestFit="1" customWidth="1"/>
    <col min="1041" max="1041" width="5.42578125" bestFit="1" customWidth="1"/>
    <col min="1042" max="1042" width="7" bestFit="1" customWidth="1"/>
    <col min="1043" max="1043" width="6.140625" bestFit="1" customWidth="1"/>
    <col min="1044" max="1044" width="5.42578125" bestFit="1" customWidth="1"/>
    <col min="1045" max="1045" width="7" bestFit="1" customWidth="1"/>
    <col min="1046" max="1046" width="7.5703125" bestFit="1" customWidth="1"/>
    <col min="1047" max="1047" width="6" bestFit="1" customWidth="1"/>
    <col min="1048" max="1048" width="5" bestFit="1" customWidth="1"/>
    <col min="1049" max="1049" width="50.85546875" bestFit="1" customWidth="1"/>
    <col min="1050" max="1050" width="8" bestFit="1" customWidth="1"/>
    <col min="1051" max="1051" width="6.85546875" bestFit="1" customWidth="1"/>
    <col min="1052" max="1052" width="8" bestFit="1" customWidth="1"/>
    <col min="1053" max="1057" width="6.85546875" bestFit="1" customWidth="1"/>
    <col min="1058" max="1058" width="7.7109375" bestFit="1" customWidth="1"/>
    <col min="1059" max="1059" width="8" bestFit="1" customWidth="1"/>
    <col min="1060" max="1060" width="7" bestFit="1" customWidth="1"/>
    <col min="1061" max="1061" width="6.85546875" bestFit="1" customWidth="1"/>
    <col min="1062" max="1062" width="8" bestFit="1" customWidth="1"/>
    <col min="1063" max="1063" width="7" bestFit="1" customWidth="1"/>
    <col min="1064" max="1065" width="8" bestFit="1" customWidth="1"/>
    <col min="1066" max="1066" width="6.85546875" bestFit="1" customWidth="1"/>
    <col min="1067" max="1067" width="50.7109375" bestFit="1" customWidth="1"/>
    <col min="1068" max="1068" width="8" bestFit="1" customWidth="1"/>
    <col min="1069" max="1069" width="6.85546875" bestFit="1" customWidth="1"/>
    <col min="1070" max="1070" width="8" bestFit="1" customWidth="1"/>
    <col min="1071" max="1072" width="6.85546875" bestFit="1" customWidth="1"/>
    <col min="1073" max="1073" width="8" bestFit="1" customWidth="1"/>
    <col min="1074" max="1075" width="6.85546875" bestFit="1" customWidth="1"/>
    <col min="1076" max="1076" width="7.7109375" bestFit="1" customWidth="1"/>
    <col min="1077" max="1077" width="8" bestFit="1" customWidth="1"/>
    <col min="1078" max="1078" width="7" bestFit="1" customWidth="1"/>
    <col min="1079" max="1079" width="6.85546875" bestFit="1" customWidth="1"/>
    <col min="1080" max="1080" width="8" bestFit="1" customWidth="1"/>
    <col min="1081" max="1081" width="7" bestFit="1" customWidth="1"/>
    <col min="1082" max="1083" width="8" bestFit="1" customWidth="1"/>
    <col min="1084" max="1084" width="6.85546875" bestFit="1" customWidth="1"/>
    <col min="1085" max="1085" width="51.140625" bestFit="1" customWidth="1"/>
    <col min="1086" max="1086" width="8" bestFit="1" customWidth="1"/>
    <col min="1087" max="1087" width="6.85546875" bestFit="1" customWidth="1"/>
    <col min="1088" max="1088" width="8" bestFit="1" customWidth="1"/>
    <col min="1089" max="1093" width="6.85546875" bestFit="1" customWidth="1"/>
    <col min="1094" max="1094" width="7.7109375" bestFit="1" customWidth="1"/>
    <col min="1095" max="1096" width="8" bestFit="1" customWidth="1"/>
    <col min="1097" max="1097" width="6.85546875" bestFit="1" customWidth="1"/>
    <col min="1098" max="1098" width="8" bestFit="1" customWidth="1"/>
    <col min="1099" max="1099" width="7" bestFit="1" customWidth="1"/>
    <col min="1100" max="1101" width="8" bestFit="1" customWidth="1"/>
    <col min="1102" max="1102" width="6.85546875" bestFit="1" customWidth="1"/>
    <col min="1103" max="1103" width="54.42578125" bestFit="1" customWidth="1"/>
    <col min="1104" max="1104" width="8" bestFit="1" customWidth="1"/>
    <col min="1105" max="1111" width="6.85546875" bestFit="1" customWidth="1"/>
    <col min="1112" max="1112" width="7.7109375" bestFit="1" customWidth="1"/>
    <col min="1113" max="1114" width="8" bestFit="1" customWidth="1"/>
    <col min="1115" max="1115" width="6.85546875" bestFit="1" customWidth="1"/>
    <col min="1116" max="1116" width="8" bestFit="1" customWidth="1"/>
    <col min="1117" max="1117" width="7" bestFit="1" customWidth="1"/>
    <col min="1118" max="1118" width="7.5703125" bestFit="1" customWidth="1"/>
    <col min="1119" max="1119" width="8" bestFit="1" customWidth="1"/>
    <col min="1120" max="1120" width="6.85546875" bestFit="1" customWidth="1"/>
    <col min="1121" max="1121" width="43.140625" bestFit="1" customWidth="1"/>
    <col min="1122" max="1124" width="6.85546875" bestFit="1" customWidth="1"/>
    <col min="1125" max="1125" width="8" bestFit="1" customWidth="1"/>
    <col min="1126" max="1129" width="6.85546875" bestFit="1" customWidth="1"/>
    <col min="1130" max="1130" width="7.7109375" bestFit="1" customWidth="1"/>
    <col min="1131" max="1131" width="8" bestFit="1" customWidth="1"/>
    <col min="1132" max="1132" width="7" bestFit="1" customWidth="1"/>
    <col min="1133" max="1133" width="6.85546875" bestFit="1" customWidth="1"/>
    <col min="1134" max="1134" width="8" bestFit="1" customWidth="1"/>
    <col min="1135" max="1135" width="7" bestFit="1" customWidth="1"/>
    <col min="1136" max="1137" width="8" bestFit="1" customWidth="1"/>
    <col min="1138" max="1138" width="6.85546875" bestFit="1" customWidth="1"/>
    <col min="1139" max="1139" width="42.85546875" bestFit="1" customWidth="1"/>
    <col min="1140" max="1147" width="6.85546875" bestFit="1" customWidth="1"/>
    <col min="1148" max="1148" width="7.7109375" bestFit="1" customWidth="1"/>
    <col min="1149" max="1149" width="6.85546875" bestFit="1" customWidth="1"/>
    <col min="1150" max="1150" width="7" bestFit="1" customWidth="1"/>
    <col min="1151" max="1152" width="6.85546875" bestFit="1" customWidth="1"/>
    <col min="1153" max="1153" width="7" bestFit="1" customWidth="1"/>
    <col min="1154" max="1154" width="7.5703125" bestFit="1" customWidth="1"/>
    <col min="1155" max="1156" width="6.85546875" bestFit="1" customWidth="1"/>
    <col min="1157" max="1157" width="43.42578125" bestFit="1" customWidth="1"/>
    <col min="1158" max="1158" width="6.7109375" bestFit="1" customWidth="1"/>
    <col min="1159" max="1161" width="6.85546875" bestFit="1" customWidth="1"/>
    <col min="1162" max="1162" width="6.42578125" bestFit="1" customWidth="1"/>
    <col min="1163" max="1163" width="5.7109375" bestFit="1" customWidth="1"/>
    <col min="1164" max="1165" width="6.85546875" bestFit="1" customWidth="1"/>
    <col min="1166" max="1166" width="7.7109375" bestFit="1" customWidth="1"/>
    <col min="1167" max="1167" width="6.85546875" bestFit="1" customWidth="1"/>
    <col min="1168" max="1168" width="7" bestFit="1" customWidth="1"/>
    <col min="1169" max="1170" width="6.85546875" bestFit="1" customWidth="1"/>
    <col min="1171" max="1171" width="7" bestFit="1" customWidth="1"/>
    <col min="1172" max="1172" width="7.5703125" bestFit="1" customWidth="1"/>
    <col min="1173" max="1174" width="6.85546875" bestFit="1" customWidth="1"/>
    <col min="1175" max="1175" width="46.5703125" bestFit="1" customWidth="1"/>
    <col min="1176" max="1176" width="6.7109375" bestFit="1" customWidth="1"/>
    <col min="1177" max="1177" width="5.7109375" bestFit="1" customWidth="1"/>
    <col min="1178" max="1178" width="6.85546875" bestFit="1" customWidth="1"/>
    <col min="1179" max="1179" width="5.5703125" bestFit="1" customWidth="1"/>
    <col min="1180" max="1180" width="6.42578125" bestFit="1" customWidth="1"/>
    <col min="1181" max="1181" width="5.7109375" bestFit="1" customWidth="1"/>
    <col min="1182" max="1182" width="6.85546875" bestFit="1" customWidth="1"/>
    <col min="1183" max="1183" width="4.7109375" bestFit="1" customWidth="1"/>
    <col min="1184" max="1184" width="7.7109375" bestFit="1" customWidth="1"/>
    <col min="1185" max="1185" width="6.85546875" bestFit="1" customWidth="1"/>
    <col min="1186" max="1186" width="7" bestFit="1" customWidth="1"/>
    <col min="1187" max="1187" width="6.140625" bestFit="1" customWidth="1"/>
    <col min="1188" max="1188" width="6.85546875" bestFit="1" customWidth="1"/>
    <col min="1189" max="1189" width="7" bestFit="1" customWidth="1"/>
    <col min="1190" max="1190" width="7.5703125" bestFit="1" customWidth="1"/>
    <col min="1191" max="1192" width="6.85546875" bestFit="1" customWidth="1"/>
    <col min="1193" max="1193" width="42.85546875" bestFit="1" customWidth="1"/>
    <col min="1194" max="1195" width="6.85546875" bestFit="1" customWidth="1"/>
    <col min="1196" max="1197" width="8" bestFit="1" customWidth="1"/>
    <col min="1198" max="1200" width="6.85546875" bestFit="1" customWidth="1"/>
    <col min="1201" max="1201" width="8" bestFit="1" customWidth="1"/>
    <col min="1202" max="1202" width="7.7109375" bestFit="1" customWidth="1"/>
    <col min="1203" max="1203" width="8" bestFit="1" customWidth="1"/>
    <col min="1204" max="1204" width="7" bestFit="1" customWidth="1"/>
    <col min="1205" max="1205" width="6.85546875" bestFit="1" customWidth="1"/>
    <col min="1206" max="1206" width="8" bestFit="1" customWidth="1"/>
    <col min="1207" max="1207" width="7" bestFit="1" customWidth="1"/>
    <col min="1208" max="1209" width="8" bestFit="1" customWidth="1"/>
    <col min="1210" max="1210" width="6.85546875" bestFit="1" customWidth="1"/>
    <col min="1211" max="1211" width="42.5703125" bestFit="1" customWidth="1"/>
    <col min="1212" max="1213" width="6.85546875" bestFit="1" customWidth="1"/>
    <col min="1214" max="1214" width="8" bestFit="1" customWidth="1"/>
    <col min="1215" max="1219" width="6.85546875" bestFit="1" customWidth="1"/>
    <col min="1220" max="1220" width="7.7109375" bestFit="1" customWidth="1"/>
    <col min="1221" max="1221" width="6.85546875" bestFit="1" customWidth="1"/>
    <col min="1222" max="1222" width="7" bestFit="1" customWidth="1"/>
    <col min="1223" max="1223" width="6.85546875" bestFit="1" customWidth="1"/>
    <col min="1224" max="1224" width="8" bestFit="1" customWidth="1"/>
    <col min="1225" max="1225" width="7" bestFit="1" customWidth="1"/>
    <col min="1226" max="1226" width="7.5703125" bestFit="1" customWidth="1"/>
    <col min="1227" max="1228" width="6.85546875" bestFit="1" customWidth="1"/>
    <col min="1229" max="1229" width="43.140625" bestFit="1" customWidth="1"/>
    <col min="1230" max="1230" width="6.7109375" bestFit="1" customWidth="1"/>
    <col min="1231" max="1233" width="6.85546875" bestFit="1" customWidth="1"/>
    <col min="1234" max="1234" width="6.42578125" bestFit="1" customWidth="1"/>
    <col min="1235" max="1235" width="5.7109375" bestFit="1" customWidth="1"/>
    <col min="1236" max="1237" width="6.85546875" bestFit="1" customWidth="1"/>
    <col min="1238" max="1238" width="7.7109375" bestFit="1" customWidth="1"/>
    <col min="1239" max="1239" width="6.85546875" bestFit="1" customWidth="1"/>
    <col min="1240" max="1240" width="7" bestFit="1" customWidth="1"/>
    <col min="1241" max="1242" width="6.85546875" bestFit="1" customWidth="1"/>
    <col min="1243" max="1243" width="7" bestFit="1" customWidth="1"/>
    <col min="1244" max="1244" width="7.5703125" bestFit="1" customWidth="1"/>
    <col min="1245" max="1246" width="6.85546875" bestFit="1" customWidth="1"/>
    <col min="1247" max="1247" width="46.28515625" bestFit="1" customWidth="1"/>
    <col min="1248" max="1248" width="6.7109375" bestFit="1" customWidth="1"/>
    <col min="1249" max="1250" width="6.85546875" bestFit="1" customWidth="1"/>
    <col min="1251" max="1251" width="5.5703125" bestFit="1" customWidth="1"/>
    <col min="1252" max="1252" width="6.42578125" bestFit="1" customWidth="1"/>
    <col min="1253" max="1253" width="5.7109375" bestFit="1" customWidth="1"/>
    <col min="1254" max="1254" width="6.85546875" bestFit="1" customWidth="1"/>
    <col min="1255" max="1255" width="4.7109375" bestFit="1" customWidth="1"/>
    <col min="1256" max="1256" width="7.7109375" bestFit="1" customWidth="1"/>
    <col min="1257" max="1257" width="6.85546875" bestFit="1" customWidth="1"/>
    <col min="1258" max="1258" width="7" bestFit="1" customWidth="1"/>
    <col min="1259" max="1259" width="6.140625" bestFit="1" customWidth="1"/>
    <col min="1260" max="1260" width="6.85546875" bestFit="1" customWidth="1"/>
    <col min="1261" max="1261" width="7" bestFit="1" customWidth="1"/>
    <col min="1262" max="1262" width="7.5703125" bestFit="1" customWidth="1"/>
    <col min="1263" max="1264" width="6.85546875" bestFit="1" customWidth="1"/>
    <col min="1265" max="1265" width="38.5703125" bestFit="1" customWidth="1"/>
    <col min="1266" max="1266" width="8" bestFit="1" customWidth="1"/>
    <col min="1267" max="1267" width="4.28515625" bestFit="1" customWidth="1"/>
    <col min="1268" max="1268" width="6.85546875" bestFit="1" customWidth="1"/>
    <col min="1269" max="1269" width="5.5703125" bestFit="1" customWidth="1"/>
    <col min="1270" max="1270" width="6.42578125" bestFit="1" customWidth="1"/>
    <col min="1271" max="1271" width="5" bestFit="1" customWidth="1"/>
    <col min="1272" max="1272" width="8" bestFit="1" customWidth="1"/>
    <col min="1273" max="1273" width="4.7109375" bestFit="1" customWidth="1"/>
    <col min="1274" max="1274" width="8" bestFit="1" customWidth="1"/>
    <col min="1275" max="1275" width="5.42578125" bestFit="1" customWidth="1"/>
    <col min="1276" max="1276" width="7" bestFit="1" customWidth="1"/>
    <col min="1277" max="1277" width="6.140625" bestFit="1" customWidth="1"/>
    <col min="1278" max="1278" width="5.42578125" bestFit="1" customWidth="1"/>
    <col min="1279" max="1279" width="7" bestFit="1" customWidth="1"/>
    <col min="1280" max="1280" width="7.5703125" bestFit="1" customWidth="1"/>
    <col min="1281" max="1281" width="6" bestFit="1" customWidth="1"/>
    <col min="1282" max="1282" width="5" bestFit="1" customWidth="1"/>
    <col min="1283" max="1283" width="38.28515625" bestFit="1" customWidth="1"/>
    <col min="1284" max="1284" width="6.85546875" bestFit="1" customWidth="1"/>
    <col min="1285" max="1285" width="4.28515625" bestFit="1" customWidth="1"/>
    <col min="1286" max="1286" width="6.85546875" bestFit="1" customWidth="1"/>
    <col min="1287" max="1287" width="5.5703125" bestFit="1" customWidth="1"/>
    <col min="1288" max="1288" width="6.42578125" bestFit="1" customWidth="1"/>
    <col min="1289" max="1289" width="5" bestFit="1" customWidth="1"/>
    <col min="1290" max="1290" width="8" bestFit="1" customWidth="1"/>
    <col min="1291" max="1291" width="4.7109375" bestFit="1" customWidth="1"/>
    <col min="1292" max="1292" width="8" bestFit="1" customWidth="1"/>
    <col min="1293" max="1293" width="5.42578125" bestFit="1" customWidth="1"/>
    <col min="1294" max="1294" width="7" bestFit="1" customWidth="1"/>
    <col min="1295" max="1295" width="6.140625" bestFit="1" customWidth="1"/>
    <col min="1296" max="1296" width="5.42578125" bestFit="1" customWidth="1"/>
    <col min="1297" max="1297" width="7" bestFit="1" customWidth="1"/>
    <col min="1298" max="1298" width="7.5703125" bestFit="1" customWidth="1"/>
    <col min="1299" max="1299" width="6" bestFit="1" customWidth="1"/>
    <col min="1300" max="1300" width="5" bestFit="1" customWidth="1"/>
    <col min="1301" max="1301" width="38.85546875" bestFit="1" customWidth="1"/>
    <col min="1302" max="1302" width="6.85546875" bestFit="1" customWidth="1"/>
    <col min="1303" max="1303" width="4.28515625" bestFit="1" customWidth="1"/>
    <col min="1304" max="1304" width="6.85546875" bestFit="1" customWidth="1"/>
    <col min="1305" max="1305" width="5.5703125" bestFit="1" customWidth="1"/>
    <col min="1306" max="1306" width="6.42578125" bestFit="1" customWidth="1"/>
    <col min="1307" max="1307" width="5" bestFit="1" customWidth="1"/>
    <col min="1308" max="1308" width="8" bestFit="1" customWidth="1"/>
    <col min="1309" max="1309" width="4.7109375" bestFit="1" customWidth="1"/>
    <col min="1310" max="1310" width="7.7109375" bestFit="1" customWidth="1"/>
    <col min="1311" max="1311" width="5.42578125" bestFit="1" customWidth="1"/>
    <col min="1312" max="1312" width="7" bestFit="1" customWidth="1"/>
    <col min="1313" max="1313" width="6.140625" bestFit="1" customWidth="1"/>
    <col min="1314" max="1314" width="5.42578125" bestFit="1" customWidth="1"/>
    <col min="1315" max="1315" width="7" bestFit="1" customWidth="1"/>
    <col min="1316" max="1316" width="7.5703125" bestFit="1" customWidth="1"/>
    <col min="1317" max="1317" width="6" bestFit="1" customWidth="1"/>
    <col min="1318" max="1318" width="5" bestFit="1" customWidth="1"/>
    <col min="1319" max="1319" width="42" bestFit="1" customWidth="1"/>
    <col min="1320" max="1320" width="7.5703125" bestFit="1" customWidth="1"/>
    <col min="1321" max="1321" width="4.28515625" bestFit="1" customWidth="1"/>
    <col min="1322" max="1322" width="6.85546875" bestFit="1" customWidth="1"/>
    <col min="1323" max="1323" width="5.5703125" bestFit="1" customWidth="1"/>
    <col min="1324" max="1324" width="6.42578125" bestFit="1" customWidth="1"/>
    <col min="1325" max="1325" width="5" bestFit="1" customWidth="1"/>
    <col min="1326" max="1326" width="8" bestFit="1" customWidth="1"/>
    <col min="1327" max="1327" width="4.7109375" bestFit="1" customWidth="1"/>
    <col min="1328" max="1328" width="7.7109375" bestFit="1" customWidth="1"/>
    <col min="1329" max="1329" width="5.42578125" bestFit="1" customWidth="1"/>
    <col min="1330" max="1330" width="7" bestFit="1" customWidth="1"/>
    <col min="1331" max="1331" width="6.140625" bestFit="1" customWidth="1"/>
    <col min="1332" max="1332" width="5.42578125" bestFit="1" customWidth="1"/>
    <col min="1333" max="1333" width="7" bestFit="1" customWidth="1"/>
    <col min="1334" max="1334" width="7.5703125" bestFit="1" customWidth="1"/>
    <col min="1335" max="1335" width="6" bestFit="1" customWidth="1"/>
    <col min="1336" max="1336" width="5" bestFit="1" customWidth="1"/>
    <col min="1337" max="1337" width="25.42578125" bestFit="1" customWidth="1"/>
    <col min="1338" max="1338" width="6.7109375" bestFit="1" customWidth="1"/>
    <col min="1339" max="1339" width="4.28515625" bestFit="1" customWidth="1"/>
    <col min="1340" max="1340" width="6.85546875" bestFit="1" customWidth="1"/>
    <col min="1341" max="1341" width="5.5703125" bestFit="1" customWidth="1"/>
    <col min="1342" max="1342" width="6.42578125" bestFit="1" customWidth="1"/>
    <col min="1343" max="1343" width="5" bestFit="1" customWidth="1"/>
    <col min="1344" max="1344" width="5.7109375" bestFit="1" customWidth="1"/>
    <col min="1345" max="1345" width="4.7109375" bestFit="1" customWidth="1"/>
    <col min="1346" max="1346" width="7.7109375" bestFit="1" customWidth="1"/>
    <col min="1347" max="1347" width="5.42578125" bestFit="1" customWidth="1"/>
    <col min="1348" max="1348" width="7" bestFit="1" customWidth="1"/>
    <col min="1349" max="1349" width="6.140625" bestFit="1" customWidth="1"/>
    <col min="1350" max="1350" width="5.42578125" bestFit="1" customWidth="1"/>
    <col min="1351" max="1351" width="7" bestFit="1" customWidth="1"/>
    <col min="1352" max="1352" width="7.5703125" bestFit="1" customWidth="1"/>
    <col min="1353" max="1353" width="6" bestFit="1" customWidth="1"/>
    <col min="1354" max="1354" width="5" bestFit="1" customWidth="1"/>
    <col min="1355" max="1355" width="29.28515625" bestFit="1" customWidth="1"/>
    <col min="1356" max="1356" width="6.7109375" bestFit="1" customWidth="1"/>
    <col min="1357" max="1357" width="4.28515625" bestFit="1" customWidth="1"/>
    <col min="1358" max="1358" width="6.85546875" bestFit="1" customWidth="1"/>
    <col min="1359" max="1359" width="5.5703125" bestFit="1" customWidth="1"/>
    <col min="1360" max="1360" width="6.42578125" bestFit="1" customWidth="1"/>
    <col min="1361" max="1361" width="5" bestFit="1" customWidth="1"/>
    <col min="1362" max="1362" width="5.7109375" bestFit="1" customWidth="1"/>
    <col min="1363" max="1363" width="4.7109375" bestFit="1" customWidth="1"/>
    <col min="1364" max="1364" width="7.7109375" bestFit="1" customWidth="1"/>
    <col min="1365" max="1365" width="5.42578125" bestFit="1" customWidth="1"/>
    <col min="1366" max="1366" width="7" bestFit="1" customWidth="1"/>
    <col min="1367" max="1367" width="6.140625" bestFit="1" customWidth="1"/>
    <col min="1368" max="1368" width="5.42578125" bestFit="1" customWidth="1"/>
    <col min="1369" max="1369" width="7" bestFit="1" customWidth="1"/>
    <col min="1370" max="1370" width="7.5703125" bestFit="1" customWidth="1"/>
    <col min="1371" max="1371" width="6" bestFit="1" customWidth="1"/>
    <col min="1372" max="1372" width="5" bestFit="1" customWidth="1"/>
    <col min="1373" max="1373" width="26.7109375" bestFit="1" customWidth="1"/>
    <col min="1374" max="1374" width="6.7109375" bestFit="1" customWidth="1"/>
    <col min="1375" max="1375" width="4.28515625" bestFit="1" customWidth="1"/>
    <col min="1376" max="1376" width="6.85546875" bestFit="1" customWidth="1"/>
    <col min="1377" max="1377" width="5.5703125" bestFit="1" customWidth="1"/>
    <col min="1378" max="1378" width="6.42578125" bestFit="1" customWidth="1"/>
    <col min="1379" max="1379" width="5" bestFit="1" customWidth="1"/>
    <col min="1380" max="1380" width="5.7109375" bestFit="1" customWidth="1"/>
    <col min="1381" max="1381" width="4.7109375" bestFit="1" customWidth="1"/>
    <col min="1382" max="1382" width="7.7109375" bestFit="1" customWidth="1"/>
    <col min="1383" max="1383" width="5.42578125" bestFit="1" customWidth="1"/>
    <col min="1384" max="1384" width="7" bestFit="1" customWidth="1"/>
    <col min="1385" max="1385" width="6.140625" bestFit="1" customWidth="1"/>
    <col min="1386" max="1386" width="5.42578125" bestFit="1" customWidth="1"/>
    <col min="1387" max="1387" width="7" bestFit="1" customWidth="1"/>
    <col min="1388" max="1388" width="7.5703125" bestFit="1" customWidth="1"/>
    <col min="1389" max="1389" width="6" bestFit="1" customWidth="1"/>
    <col min="1390" max="1390" width="5" bestFit="1" customWidth="1"/>
    <col min="1391" max="1391" width="23.28515625" bestFit="1" customWidth="1"/>
    <col min="1392" max="1392" width="6.7109375" bestFit="1" customWidth="1"/>
    <col min="1393" max="1393" width="4.28515625" bestFit="1" customWidth="1"/>
    <col min="1394" max="1394" width="6.85546875" bestFit="1" customWidth="1"/>
    <col min="1395" max="1395" width="5.5703125" bestFit="1" customWidth="1"/>
    <col min="1396" max="1396" width="6.42578125" bestFit="1" customWidth="1"/>
    <col min="1397" max="1397" width="5" bestFit="1" customWidth="1"/>
    <col min="1398" max="1398" width="5.7109375" bestFit="1" customWidth="1"/>
    <col min="1399" max="1399" width="4.7109375" bestFit="1" customWidth="1"/>
    <col min="1400" max="1400" width="7.7109375" bestFit="1" customWidth="1"/>
    <col min="1401" max="1401" width="5.42578125" bestFit="1" customWidth="1"/>
    <col min="1402" max="1402" width="7" bestFit="1" customWidth="1"/>
    <col min="1403" max="1403" width="6.140625" bestFit="1" customWidth="1"/>
    <col min="1404" max="1404" width="5.42578125" bestFit="1" customWidth="1"/>
    <col min="1405" max="1405" width="7" bestFit="1" customWidth="1"/>
    <col min="1406" max="1406" width="7.5703125" bestFit="1" customWidth="1"/>
    <col min="1407" max="1407" width="6" bestFit="1" customWidth="1"/>
    <col min="1408" max="1408" width="5" bestFit="1" customWidth="1"/>
    <col min="1409" max="1409" width="29.42578125" bestFit="1" customWidth="1"/>
    <col min="1410" max="1410" width="6.7109375" bestFit="1" customWidth="1"/>
    <col min="1411" max="1411" width="4.28515625" bestFit="1" customWidth="1"/>
    <col min="1412" max="1412" width="6.85546875" bestFit="1" customWidth="1"/>
    <col min="1413" max="1413" width="5.5703125" bestFit="1" customWidth="1"/>
    <col min="1414" max="1414" width="6.42578125" bestFit="1" customWidth="1"/>
    <col min="1415" max="1415" width="5" bestFit="1" customWidth="1"/>
    <col min="1416" max="1416" width="5.7109375" bestFit="1" customWidth="1"/>
    <col min="1417" max="1417" width="4.7109375" bestFit="1" customWidth="1"/>
    <col min="1418" max="1418" width="7.7109375" bestFit="1" customWidth="1"/>
    <col min="1419" max="1419" width="5.42578125" bestFit="1" customWidth="1"/>
    <col min="1420" max="1420" width="7" bestFit="1" customWidth="1"/>
    <col min="1421" max="1421" width="6.140625" bestFit="1" customWidth="1"/>
    <col min="1422" max="1422" width="5.42578125" bestFit="1" customWidth="1"/>
    <col min="1423" max="1423" width="7" bestFit="1" customWidth="1"/>
    <col min="1424" max="1424" width="7.5703125" bestFit="1" customWidth="1"/>
    <col min="1425" max="1425" width="6" bestFit="1" customWidth="1"/>
    <col min="1426" max="1426" width="5" bestFit="1" customWidth="1"/>
    <col min="1427" max="1427" width="30.85546875" bestFit="1" customWidth="1"/>
    <col min="1428" max="1428" width="6.7109375" bestFit="1" customWidth="1"/>
    <col min="1429" max="1429" width="4.28515625" bestFit="1" customWidth="1"/>
    <col min="1430" max="1430" width="6.85546875" bestFit="1" customWidth="1"/>
    <col min="1431" max="1431" width="5.5703125" bestFit="1" customWidth="1"/>
    <col min="1432" max="1432" width="6.42578125" bestFit="1" customWidth="1"/>
    <col min="1433" max="1433" width="5" bestFit="1" customWidth="1"/>
    <col min="1434" max="1434" width="5.7109375" bestFit="1" customWidth="1"/>
    <col min="1435" max="1435" width="4.7109375" bestFit="1" customWidth="1"/>
    <col min="1436" max="1436" width="7.7109375" bestFit="1" customWidth="1"/>
    <col min="1437" max="1437" width="5.42578125" bestFit="1" customWidth="1"/>
    <col min="1438" max="1438" width="7" bestFit="1" customWidth="1"/>
    <col min="1439" max="1439" width="6.140625" bestFit="1" customWidth="1"/>
    <col min="1440" max="1440" width="5.42578125" bestFit="1" customWidth="1"/>
    <col min="1441" max="1441" width="7" bestFit="1" customWidth="1"/>
    <col min="1442" max="1442" width="7.5703125" bestFit="1" customWidth="1"/>
    <col min="1443" max="1443" width="6" bestFit="1" customWidth="1"/>
    <col min="1444" max="1444" width="5" bestFit="1" customWidth="1"/>
    <col min="1445" max="1445" width="28.7109375" bestFit="1" customWidth="1"/>
    <col min="1446" max="1446" width="6.7109375" bestFit="1" customWidth="1"/>
    <col min="1447" max="1447" width="4.28515625" bestFit="1" customWidth="1"/>
    <col min="1448" max="1448" width="6.85546875" bestFit="1" customWidth="1"/>
    <col min="1449" max="1449" width="5.5703125" bestFit="1" customWidth="1"/>
    <col min="1450" max="1450" width="6.42578125" bestFit="1" customWidth="1"/>
    <col min="1451" max="1451" width="5" bestFit="1" customWidth="1"/>
    <col min="1452" max="1452" width="5.7109375" bestFit="1" customWidth="1"/>
    <col min="1453" max="1453" width="4.7109375" bestFit="1" customWidth="1"/>
    <col min="1454" max="1454" width="7.7109375" bestFit="1" customWidth="1"/>
    <col min="1455" max="1455" width="5.42578125" bestFit="1" customWidth="1"/>
    <col min="1456" max="1456" width="7" bestFit="1" customWidth="1"/>
    <col min="1457" max="1457" width="6.140625" bestFit="1" customWidth="1"/>
    <col min="1458" max="1458" width="5.42578125" bestFit="1" customWidth="1"/>
    <col min="1459" max="1459" width="7" bestFit="1" customWidth="1"/>
    <col min="1460" max="1460" width="7.5703125" bestFit="1" customWidth="1"/>
    <col min="1461" max="1461" width="6" bestFit="1" customWidth="1"/>
    <col min="1462" max="1462" width="5" bestFit="1" customWidth="1"/>
    <col min="1463" max="1463" width="38.7109375" bestFit="1" customWidth="1"/>
    <col min="1464" max="1464" width="27.85546875" bestFit="1" customWidth="1"/>
    <col min="1465" max="1465" width="51.5703125" bestFit="1" customWidth="1"/>
    <col min="1466" max="1466" width="42.140625" bestFit="1" customWidth="1"/>
    <col min="1467" max="1467" width="51.28515625" bestFit="1" customWidth="1"/>
    <col min="1468" max="1468" width="38.5703125" bestFit="1" customWidth="1"/>
    <col min="1469" max="1469" width="35.140625" bestFit="1" customWidth="1"/>
    <col min="1470" max="1470" width="51.85546875" bestFit="1" customWidth="1"/>
    <col min="1471" max="1471" width="54.42578125" bestFit="1" customWidth="1"/>
    <col min="1472" max="1472" width="61" bestFit="1" customWidth="1"/>
    <col min="1473" max="1473" width="48.42578125" bestFit="1" customWidth="1"/>
    <col min="1474" max="1474" width="48.28515625" bestFit="1" customWidth="1"/>
    <col min="1475" max="1475" width="48.7109375" bestFit="1" customWidth="1"/>
    <col min="1476" max="1476" width="52" bestFit="1" customWidth="1"/>
    <col min="1477" max="1477" width="36.42578125" bestFit="1" customWidth="1"/>
    <col min="1478" max="1478" width="30.28515625" bestFit="1" customWidth="1"/>
    <col min="1479" max="1479" width="22.42578125" bestFit="1" customWidth="1"/>
    <col min="1480" max="1480" width="29" bestFit="1" customWidth="1"/>
    <col min="1481" max="1481" width="26.5703125" bestFit="1" customWidth="1"/>
    <col min="1482" max="1482" width="26.28515625" bestFit="1" customWidth="1"/>
    <col min="1483" max="1483" width="40.7109375" bestFit="1" customWidth="1"/>
    <col min="1484" max="1484" width="31.140625" bestFit="1" customWidth="1"/>
    <col min="1485" max="1485" width="51.5703125" bestFit="1" customWidth="1"/>
    <col min="1486" max="1486" width="31.28515625" bestFit="1" customWidth="1"/>
    <col min="1487" max="1487" width="45.42578125" bestFit="1" customWidth="1"/>
    <col min="1488" max="1488" width="46.5703125" bestFit="1" customWidth="1"/>
    <col min="1489" max="1489" width="46.42578125" bestFit="1" customWidth="1"/>
    <col min="1490" max="1490" width="46" bestFit="1" customWidth="1"/>
    <col min="1491" max="1491" width="37.140625" bestFit="1" customWidth="1"/>
    <col min="1492" max="1492" width="29.140625" bestFit="1" customWidth="1"/>
    <col min="1493" max="1493" width="28.5703125" bestFit="1" customWidth="1"/>
    <col min="1494" max="1494" width="42.85546875" bestFit="1" customWidth="1"/>
    <col min="1495" max="1495" width="27.7109375" bestFit="1" customWidth="1"/>
    <col min="1496" max="1496" width="36.85546875" bestFit="1" customWidth="1"/>
    <col min="1497" max="1497" width="30.42578125" bestFit="1" customWidth="1"/>
    <col min="1498" max="1498" width="24.140625" bestFit="1" customWidth="1"/>
    <col min="1499" max="1499" width="27.28515625" bestFit="1" customWidth="1"/>
    <col min="1500" max="1500" width="30.42578125" bestFit="1" customWidth="1"/>
    <col min="1501" max="1501" width="31.42578125" bestFit="1" customWidth="1"/>
    <col min="1502" max="1502" width="50.7109375" bestFit="1" customWidth="1"/>
    <col min="1503" max="1503" width="37" bestFit="1" customWidth="1"/>
    <col min="1504" max="1504" width="25.28515625" bestFit="1" customWidth="1"/>
    <col min="1505" max="1505" width="35" bestFit="1" customWidth="1"/>
    <col min="1506" max="1506" width="28" bestFit="1" customWidth="1"/>
    <col min="1507" max="1507" width="37.85546875" bestFit="1" customWidth="1"/>
    <col min="1508" max="1508" width="28.5703125" bestFit="1" customWidth="1"/>
    <col min="1509" max="1509" width="36.5703125" bestFit="1" customWidth="1"/>
    <col min="1510" max="1510" width="30.42578125" bestFit="1" customWidth="1"/>
    <col min="1511" max="1511" width="39.42578125" bestFit="1" customWidth="1"/>
    <col min="1512" max="1512" width="29" bestFit="1" customWidth="1"/>
    <col min="1513" max="1513" width="38.42578125" bestFit="1" customWidth="1"/>
    <col min="1514" max="1514" width="30.42578125" bestFit="1" customWidth="1"/>
    <col min="1515" max="1515" width="39.85546875" bestFit="1" customWidth="1"/>
    <col min="1516" max="1516" width="26.28515625" bestFit="1" customWidth="1"/>
    <col min="1517" max="1517" width="35.7109375" bestFit="1" customWidth="1"/>
    <col min="1518" max="1518" width="37.7109375" bestFit="1" customWidth="1"/>
    <col min="1519" max="1519" width="47.140625" bestFit="1" customWidth="1"/>
    <col min="1520" max="1520" width="35.5703125" bestFit="1" customWidth="1"/>
    <col min="1521" max="1521" width="55.7109375" bestFit="1" customWidth="1"/>
    <col min="1522" max="1522" width="55.42578125" bestFit="1" customWidth="1"/>
    <col min="1523" max="1523" width="56" bestFit="1" customWidth="1"/>
    <col min="1524" max="1524" width="59.140625" bestFit="1" customWidth="1"/>
    <col min="1525" max="1525" width="47.85546875" bestFit="1" customWidth="1"/>
    <col min="1526" max="1526" width="47.5703125" bestFit="1" customWidth="1"/>
    <col min="1527" max="1527" width="48.140625" bestFit="1" customWidth="1"/>
    <col min="1528" max="1528" width="51.28515625" bestFit="1" customWidth="1"/>
    <col min="1529" max="1529" width="47.5703125" bestFit="1" customWidth="1"/>
    <col min="1530" max="1530" width="47.42578125" bestFit="1" customWidth="1"/>
    <col min="1531" max="1531" width="47.85546875" bestFit="1" customWidth="1"/>
    <col min="1532" max="1532" width="51.140625" bestFit="1" customWidth="1"/>
    <col min="1533" max="1533" width="43.42578125" bestFit="1" customWidth="1"/>
    <col min="1534" max="1534" width="43.140625" bestFit="1" customWidth="1"/>
    <col min="1535" max="1535" width="43.7109375" bestFit="1" customWidth="1"/>
    <col min="1536" max="1536" width="46.85546875" bestFit="1" customWidth="1"/>
    <col min="1537" max="1537" width="30.140625" bestFit="1" customWidth="1"/>
    <col min="1538" max="1538" width="34" bestFit="1" customWidth="1"/>
    <col min="1539" max="1539" width="31.42578125" bestFit="1" customWidth="1"/>
    <col min="1540" max="1540" width="28" bestFit="1" customWidth="1"/>
    <col min="1541" max="1541" width="34.140625" bestFit="1" customWidth="1"/>
    <col min="1542" max="1542" width="35.5703125" bestFit="1" customWidth="1"/>
    <col min="1543" max="1543" width="33.42578125" bestFit="1" customWidth="1"/>
  </cols>
  <sheetData>
    <row r="2" spans="1:28">
      <c r="A2" s="16" t="s">
        <v>111</v>
      </c>
      <c r="B2" s="104" t="s">
        <v>207</v>
      </c>
    </row>
    <row r="4" spans="1:28">
      <c r="B4" s="105" t="s">
        <v>0</v>
      </c>
      <c r="F4" s="105" t="s">
        <v>0</v>
      </c>
      <c r="G4" s="105" t="s">
        <v>208</v>
      </c>
      <c r="K4" s="105" t="s">
        <v>0</v>
      </c>
      <c r="L4" s="105" t="s">
        <v>208</v>
      </c>
      <c r="P4" s="105" t="s">
        <v>0</v>
      </c>
      <c r="Q4" s="105" t="s">
        <v>209</v>
      </c>
      <c r="U4" s="105" t="s">
        <v>0</v>
      </c>
      <c r="V4" s="105" t="s">
        <v>209</v>
      </c>
      <c r="Z4" s="105" t="s">
        <v>0</v>
      </c>
      <c r="AA4" s="105" t="s">
        <v>210</v>
      </c>
    </row>
    <row r="5" spans="1:28">
      <c r="A5" s="16" t="s">
        <v>211</v>
      </c>
      <c r="B5" s="104" t="s">
        <v>101</v>
      </c>
      <c r="C5" s="104" t="s">
        <v>106</v>
      </c>
      <c r="F5" s="104" t="s">
        <v>101</v>
      </c>
      <c r="G5" s="104" t="s">
        <v>212</v>
      </c>
      <c r="H5" s="104" t="s">
        <v>106</v>
      </c>
      <c r="K5" s="104" t="s">
        <v>101</v>
      </c>
      <c r="L5" s="104" t="s">
        <v>212</v>
      </c>
      <c r="M5" s="104" t="s">
        <v>106</v>
      </c>
      <c r="P5" s="104" t="s">
        <v>101</v>
      </c>
      <c r="Q5" s="104" t="s">
        <v>212</v>
      </c>
      <c r="R5" s="104" t="s">
        <v>106</v>
      </c>
      <c r="U5" s="104" t="s">
        <v>101</v>
      </c>
      <c r="V5" s="104" t="s">
        <v>212</v>
      </c>
      <c r="W5" s="104" t="s">
        <v>106</v>
      </c>
      <c r="Z5" s="104" t="s">
        <v>101</v>
      </c>
      <c r="AA5" s="104" t="s">
        <v>212</v>
      </c>
      <c r="AB5" s="104" t="s">
        <v>106</v>
      </c>
    </row>
    <row r="6" spans="1:28">
      <c r="A6" t="s">
        <v>213</v>
      </c>
      <c r="B6" s="106">
        <v>6</v>
      </c>
      <c r="C6" s="104">
        <v>6</v>
      </c>
      <c r="E6" s="16" t="s">
        <v>211</v>
      </c>
      <c r="F6" t="s">
        <v>214</v>
      </c>
      <c r="J6" s="16" t="s">
        <v>211</v>
      </c>
      <c r="K6" t="s">
        <v>215</v>
      </c>
      <c r="O6" s="16" t="s">
        <v>211</v>
      </c>
      <c r="P6" t="s">
        <v>216</v>
      </c>
      <c r="T6" s="16" t="s">
        <v>211</v>
      </c>
      <c r="U6" t="s">
        <v>217</v>
      </c>
      <c r="Y6" s="16" t="s">
        <v>211</v>
      </c>
      <c r="Z6" t="s">
        <v>218</v>
      </c>
    </row>
    <row r="7" spans="1:28">
      <c r="A7" t="s">
        <v>219</v>
      </c>
      <c r="B7" s="104">
        <v>2.3333333333333335</v>
      </c>
      <c r="C7" s="104">
        <v>2.3333333333333335</v>
      </c>
      <c r="E7" t="s">
        <v>213</v>
      </c>
      <c r="F7" s="104">
        <v>0</v>
      </c>
      <c r="G7" s="104">
        <v>0</v>
      </c>
      <c r="H7" s="104">
        <v>0</v>
      </c>
      <c r="J7" t="s">
        <v>213</v>
      </c>
      <c r="K7" s="104">
        <v>0</v>
      </c>
      <c r="L7" s="104">
        <v>0</v>
      </c>
      <c r="M7" s="104">
        <v>0</v>
      </c>
      <c r="O7" t="s">
        <v>213</v>
      </c>
      <c r="P7" s="104">
        <v>0</v>
      </c>
      <c r="Q7" s="104">
        <v>0</v>
      </c>
      <c r="R7" s="104">
        <v>0</v>
      </c>
      <c r="T7" t="s">
        <v>213</v>
      </c>
      <c r="U7" s="104">
        <v>0</v>
      </c>
      <c r="V7" s="104">
        <v>0</v>
      </c>
      <c r="W7" s="104">
        <v>0</v>
      </c>
      <c r="Y7" t="s">
        <v>213</v>
      </c>
      <c r="Z7" s="104">
        <v>0</v>
      </c>
      <c r="AA7" s="104">
        <v>0</v>
      </c>
      <c r="AB7" s="104">
        <v>0</v>
      </c>
    </row>
    <row r="8" spans="1:28">
      <c r="A8" t="s">
        <v>220</v>
      </c>
      <c r="B8" s="104">
        <v>1360</v>
      </c>
      <c r="C8" s="104">
        <v>1360</v>
      </c>
      <c r="E8" t="s">
        <v>219</v>
      </c>
      <c r="F8" s="104">
        <v>0</v>
      </c>
      <c r="G8" s="104">
        <v>0</v>
      </c>
      <c r="H8" s="104">
        <v>0</v>
      </c>
      <c r="J8" t="s">
        <v>219</v>
      </c>
      <c r="K8" s="104">
        <v>0</v>
      </c>
      <c r="L8" s="104">
        <v>0</v>
      </c>
      <c r="M8" s="104">
        <v>0</v>
      </c>
      <c r="O8" t="s">
        <v>219</v>
      </c>
      <c r="P8" s="104">
        <v>0</v>
      </c>
      <c r="Q8" s="104">
        <v>0</v>
      </c>
      <c r="R8" s="104">
        <v>0</v>
      </c>
      <c r="T8" t="s">
        <v>219</v>
      </c>
      <c r="U8" s="104">
        <v>0</v>
      </c>
      <c r="V8" s="104">
        <v>0</v>
      </c>
      <c r="W8" s="104">
        <v>0</v>
      </c>
      <c r="Y8" t="s">
        <v>219</v>
      </c>
      <c r="Z8" s="104">
        <v>0</v>
      </c>
      <c r="AA8" s="104">
        <v>0</v>
      </c>
      <c r="AB8" s="104">
        <v>0</v>
      </c>
    </row>
    <row r="9" spans="1:28">
      <c r="A9" t="s">
        <v>221</v>
      </c>
      <c r="B9" s="104">
        <v>1.65</v>
      </c>
      <c r="C9" s="104">
        <v>1.65</v>
      </c>
      <c r="E9" t="s">
        <v>220</v>
      </c>
      <c r="F9" s="104">
        <v>0</v>
      </c>
      <c r="G9" s="104">
        <v>0</v>
      </c>
      <c r="H9" s="104">
        <v>0</v>
      </c>
      <c r="J9" t="s">
        <v>220</v>
      </c>
      <c r="K9" s="104">
        <v>0</v>
      </c>
      <c r="L9" s="104">
        <v>0</v>
      </c>
      <c r="M9" s="104">
        <v>0</v>
      </c>
      <c r="O9" t="s">
        <v>220</v>
      </c>
      <c r="P9" s="104">
        <v>0</v>
      </c>
      <c r="Q9" s="104">
        <v>0</v>
      </c>
      <c r="R9" s="104">
        <v>0</v>
      </c>
      <c r="T9" t="s">
        <v>220</v>
      </c>
      <c r="U9" s="104">
        <v>0</v>
      </c>
      <c r="V9" s="104">
        <v>0</v>
      </c>
      <c r="W9" s="104">
        <v>0</v>
      </c>
      <c r="Y9" t="s">
        <v>220</v>
      </c>
      <c r="Z9" s="104">
        <v>29.14285714285711</v>
      </c>
      <c r="AA9" s="104">
        <v>29.14285714285711</v>
      </c>
      <c r="AB9" s="104">
        <v>29.14285714285711</v>
      </c>
    </row>
    <row r="10" spans="1:28">
      <c r="A10" t="s">
        <v>222</v>
      </c>
      <c r="B10" s="104">
        <v>2</v>
      </c>
      <c r="C10" s="104">
        <v>2</v>
      </c>
      <c r="E10" t="s">
        <v>221</v>
      </c>
      <c r="F10" s="104">
        <v>0</v>
      </c>
      <c r="G10" s="104">
        <v>0</v>
      </c>
      <c r="H10" s="104">
        <v>0</v>
      </c>
      <c r="J10" t="s">
        <v>221</v>
      </c>
      <c r="K10" s="104">
        <v>0</v>
      </c>
      <c r="L10" s="104">
        <v>0</v>
      </c>
      <c r="M10" s="104">
        <v>0</v>
      </c>
      <c r="O10" t="s">
        <v>221</v>
      </c>
      <c r="P10" s="104">
        <v>0</v>
      </c>
      <c r="Q10" s="104">
        <v>0</v>
      </c>
      <c r="R10" s="104">
        <v>0</v>
      </c>
      <c r="T10" t="s">
        <v>221</v>
      </c>
      <c r="U10" s="104">
        <v>0.14850000000000008</v>
      </c>
      <c r="V10" s="104">
        <v>0.14850000000000008</v>
      </c>
      <c r="W10" s="104">
        <v>0.14850000000000008</v>
      </c>
      <c r="Y10" t="s">
        <v>221</v>
      </c>
      <c r="Z10" s="104">
        <v>0</v>
      </c>
      <c r="AA10" s="104">
        <v>0</v>
      </c>
      <c r="AB10" s="104">
        <v>0</v>
      </c>
    </row>
    <row r="11" spans="1:28">
      <c r="A11" t="s">
        <v>223</v>
      </c>
      <c r="B11" s="104">
        <v>1</v>
      </c>
      <c r="C11" s="104">
        <v>1</v>
      </c>
      <c r="E11" t="s">
        <v>222</v>
      </c>
      <c r="F11" s="104">
        <v>0.66666666666666652</v>
      </c>
      <c r="G11" s="104">
        <v>0.66666666666666652</v>
      </c>
      <c r="H11" s="104">
        <v>0.66666666666666652</v>
      </c>
      <c r="J11" t="s">
        <v>222</v>
      </c>
      <c r="K11" s="104">
        <v>0</v>
      </c>
      <c r="L11" s="104">
        <v>0</v>
      </c>
      <c r="M11" s="104">
        <v>0</v>
      </c>
      <c r="O11" t="s">
        <v>222</v>
      </c>
      <c r="P11" s="104">
        <v>0</v>
      </c>
      <c r="Q11" s="104">
        <v>0</v>
      </c>
      <c r="R11" s="104">
        <v>0</v>
      </c>
      <c r="T11" t="s">
        <v>222</v>
      </c>
      <c r="U11" s="104">
        <v>0</v>
      </c>
      <c r="V11" s="104">
        <v>0</v>
      </c>
      <c r="W11" s="104">
        <v>0</v>
      </c>
      <c r="Y11" t="s">
        <v>222</v>
      </c>
      <c r="Z11" s="104">
        <v>0</v>
      </c>
      <c r="AA11" s="104">
        <v>0</v>
      </c>
      <c r="AB11" s="104">
        <v>0</v>
      </c>
    </row>
    <row r="12" spans="1:28">
      <c r="A12" t="s">
        <v>224</v>
      </c>
      <c r="B12" s="104">
        <v>2</v>
      </c>
      <c r="C12" s="104">
        <v>2</v>
      </c>
      <c r="E12" t="s">
        <v>223</v>
      </c>
      <c r="F12" s="104">
        <v>0.33333333333333326</v>
      </c>
      <c r="G12" s="104">
        <v>0.33333333333333326</v>
      </c>
      <c r="H12" s="104">
        <v>0.33333333333333326</v>
      </c>
      <c r="J12" t="s">
        <v>223</v>
      </c>
      <c r="K12" s="104">
        <v>0</v>
      </c>
      <c r="L12" s="104">
        <v>0</v>
      </c>
      <c r="M12" s="104">
        <v>0</v>
      </c>
      <c r="O12" t="s">
        <v>223</v>
      </c>
      <c r="P12" s="104">
        <v>0</v>
      </c>
      <c r="Q12" s="104">
        <v>0</v>
      </c>
      <c r="R12" s="104">
        <v>0</v>
      </c>
      <c r="T12" t="s">
        <v>223</v>
      </c>
      <c r="U12" s="104">
        <v>0</v>
      </c>
      <c r="V12" s="104">
        <v>0</v>
      </c>
      <c r="W12" s="104">
        <v>0</v>
      </c>
      <c r="Y12" t="s">
        <v>223</v>
      </c>
      <c r="Z12" s="104">
        <v>0</v>
      </c>
      <c r="AA12" s="104">
        <v>0</v>
      </c>
      <c r="AB12" s="104">
        <v>0</v>
      </c>
    </row>
    <row r="13" spans="1:28">
      <c r="A13" t="s">
        <v>225</v>
      </c>
      <c r="B13" s="104">
        <v>1</v>
      </c>
      <c r="C13" s="104">
        <v>1</v>
      </c>
      <c r="E13" t="s">
        <v>224</v>
      </c>
      <c r="F13" s="104">
        <v>0.66666666666666652</v>
      </c>
      <c r="G13" s="104">
        <v>0.66666666666666652</v>
      </c>
      <c r="H13" s="104">
        <v>0.66666666666666652</v>
      </c>
      <c r="J13" t="s">
        <v>224</v>
      </c>
      <c r="K13" s="104">
        <v>0</v>
      </c>
      <c r="L13" s="104">
        <v>0</v>
      </c>
      <c r="M13" s="104">
        <v>0</v>
      </c>
      <c r="O13" t="s">
        <v>224</v>
      </c>
      <c r="P13" s="104">
        <v>0</v>
      </c>
      <c r="Q13" s="104">
        <v>0</v>
      </c>
      <c r="R13" s="104">
        <v>0</v>
      </c>
      <c r="T13" t="s">
        <v>224</v>
      </c>
      <c r="U13" s="104">
        <v>0</v>
      </c>
      <c r="V13" s="104">
        <v>0</v>
      </c>
      <c r="W13" s="104">
        <v>0</v>
      </c>
      <c r="Y13" t="s">
        <v>224</v>
      </c>
      <c r="Z13" s="104">
        <v>0</v>
      </c>
      <c r="AA13" s="104">
        <v>0</v>
      </c>
      <c r="AB13" s="104">
        <v>0</v>
      </c>
    </row>
    <row r="14" spans="1:28">
      <c r="A14" t="s">
        <v>226</v>
      </c>
      <c r="B14" s="104">
        <v>1</v>
      </c>
      <c r="C14" s="104">
        <v>1</v>
      </c>
      <c r="E14" t="s">
        <v>225</v>
      </c>
      <c r="F14" s="104">
        <v>0.33333333333333326</v>
      </c>
      <c r="G14" s="104">
        <v>0.33333333333333326</v>
      </c>
      <c r="H14" s="104">
        <v>0.33333333333333326</v>
      </c>
      <c r="J14" t="s">
        <v>225</v>
      </c>
      <c r="K14" s="104">
        <v>0</v>
      </c>
      <c r="L14" s="104">
        <v>0</v>
      </c>
      <c r="M14" s="104">
        <v>0</v>
      </c>
      <c r="O14" t="s">
        <v>225</v>
      </c>
      <c r="P14" s="104">
        <v>0</v>
      </c>
      <c r="Q14" s="104">
        <v>0</v>
      </c>
      <c r="R14" s="104">
        <v>0</v>
      </c>
      <c r="T14" t="s">
        <v>225</v>
      </c>
      <c r="U14" s="104">
        <v>0</v>
      </c>
      <c r="V14" s="104">
        <v>0</v>
      </c>
      <c r="W14" s="104">
        <v>0</v>
      </c>
      <c r="Y14" t="s">
        <v>225</v>
      </c>
      <c r="Z14" s="104">
        <v>0</v>
      </c>
      <c r="AA14" s="104">
        <v>0</v>
      </c>
      <c r="AB14" s="104">
        <v>0</v>
      </c>
    </row>
    <row r="15" spans="1:28">
      <c r="A15" t="s">
        <v>227</v>
      </c>
      <c r="B15" s="104">
        <v>2</v>
      </c>
      <c r="C15" s="104">
        <v>2</v>
      </c>
      <c r="E15" t="s">
        <v>226</v>
      </c>
      <c r="F15" s="104">
        <v>0.33333333333333326</v>
      </c>
      <c r="G15" s="104">
        <v>0.33333333333333326</v>
      </c>
      <c r="H15" s="104">
        <v>0.33333333333333326</v>
      </c>
      <c r="J15" t="s">
        <v>226</v>
      </c>
      <c r="K15" s="104">
        <v>0</v>
      </c>
      <c r="L15" s="104">
        <v>0</v>
      </c>
      <c r="M15" s="104">
        <v>0</v>
      </c>
      <c r="O15" t="s">
        <v>226</v>
      </c>
      <c r="P15" s="104">
        <v>0</v>
      </c>
      <c r="Q15" s="104">
        <v>0</v>
      </c>
      <c r="R15" s="104">
        <v>0</v>
      </c>
      <c r="T15" t="s">
        <v>226</v>
      </c>
      <c r="U15" s="104">
        <v>0</v>
      </c>
      <c r="V15" s="104">
        <v>0</v>
      </c>
      <c r="W15" s="104">
        <v>0</v>
      </c>
      <c r="Y15" t="s">
        <v>226</v>
      </c>
      <c r="Z15" s="104">
        <v>0</v>
      </c>
      <c r="AA15" s="104">
        <v>0</v>
      </c>
      <c r="AB15" s="104">
        <v>0</v>
      </c>
    </row>
    <row r="16" spans="1:28">
      <c r="A16" t="s">
        <v>228</v>
      </c>
      <c r="B16" s="104">
        <v>4000</v>
      </c>
      <c r="C16" s="104">
        <v>4000</v>
      </c>
      <c r="E16" t="s">
        <v>227</v>
      </c>
      <c r="F16" s="104">
        <v>0</v>
      </c>
      <c r="G16" s="104">
        <v>0</v>
      </c>
      <c r="H16" s="104">
        <v>0</v>
      </c>
      <c r="J16" t="s">
        <v>227</v>
      </c>
      <c r="K16" s="104">
        <v>0</v>
      </c>
      <c r="L16" s="104">
        <v>0</v>
      </c>
      <c r="M16" s="104">
        <v>0</v>
      </c>
      <c r="O16" t="s">
        <v>227</v>
      </c>
      <c r="P16" s="104">
        <v>0</v>
      </c>
      <c r="Q16" s="104">
        <v>0</v>
      </c>
      <c r="R16" s="104">
        <v>0</v>
      </c>
      <c r="T16" t="s">
        <v>227</v>
      </c>
      <c r="U16" s="104">
        <v>0</v>
      </c>
      <c r="V16" s="104">
        <v>0</v>
      </c>
      <c r="W16" s="104">
        <v>0</v>
      </c>
      <c r="Y16" t="s">
        <v>227</v>
      </c>
      <c r="Z16" s="104">
        <v>0</v>
      </c>
      <c r="AA16" s="104">
        <v>0</v>
      </c>
      <c r="AB16" s="104">
        <v>0</v>
      </c>
    </row>
    <row r="17" spans="1:28">
      <c r="A17" t="s">
        <v>229</v>
      </c>
      <c r="B17" s="104">
        <v>3000</v>
      </c>
      <c r="C17" s="104">
        <v>3000</v>
      </c>
      <c r="E17" t="s">
        <v>228</v>
      </c>
      <c r="F17" s="104">
        <v>0</v>
      </c>
      <c r="G17" s="104">
        <v>0</v>
      </c>
      <c r="H17" s="104">
        <v>0</v>
      </c>
      <c r="J17" t="s">
        <v>228</v>
      </c>
      <c r="K17" s="104">
        <v>0</v>
      </c>
      <c r="L17" s="104">
        <v>0</v>
      </c>
      <c r="M17" s="104">
        <v>0</v>
      </c>
      <c r="O17" t="s">
        <v>228</v>
      </c>
      <c r="P17" s="104">
        <v>0</v>
      </c>
      <c r="Q17" s="104">
        <v>0</v>
      </c>
      <c r="R17" s="104">
        <v>0</v>
      </c>
      <c r="T17" t="s">
        <v>228</v>
      </c>
      <c r="U17" s="104">
        <v>0</v>
      </c>
      <c r="V17" s="104">
        <v>0</v>
      </c>
      <c r="W17" s="104">
        <v>0</v>
      </c>
      <c r="Y17" t="s">
        <v>228</v>
      </c>
      <c r="Z17" s="104">
        <v>1800</v>
      </c>
      <c r="AA17" s="104">
        <v>1800</v>
      </c>
      <c r="AB17" s="104">
        <v>1800</v>
      </c>
    </row>
    <row r="18" spans="1:28">
      <c r="A18" t="s">
        <v>230</v>
      </c>
      <c r="B18" s="104">
        <v>2000</v>
      </c>
      <c r="C18" s="104">
        <v>2000</v>
      </c>
      <c r="E18" t="s">
        <v>229</v>
      </c>
      <c r="F18" s="104">
        <v>0</v>
      </c>
      <c r="G18" s="104">
        <v>0</v>
      </c>
      <c r="H18" s="104">
        <v>0</v>
      </c>
      <c r="J18" t="s">
        <v>229</v>
      </c>
      <c r="K18" s="104">
        <v>0</v>
      </c>
      <c r="L18" s="104">
        <v>0</v>
      </c>
      <c r="M18" s="104">
        <v>0</v>
      </c>
      <c r="O18" t="s">
        <v>229</v>
      </c>
      <c r="P18" s="104">
        <v>0</v>
      </c>
      <c r="Q18" s="104">
        <v>0</v>
      </c>
      <c r="R18" s="104">
        <v>0</v>
      </c>
      <c r="T18" t="s">
        <v>229</v>
      </c>
      <c r="U18" s="104">
        <v>0</v>
      </c>
      <c r="V18" s="104">
        <v>0</v>
      </c>
      <c r="W18" s="104">
        <v>0</v>
      </c>
      <c r="Y18" t="s">
        <v>229</v>
      </c>
      <c r="Z18" s="104">
        <v>1350</v>
      </c>
      <c r="AA18" s="104">
        <v>1350</v>
      </c>
      <c r="AB18" s="104">
        <v>1350</v>
      </c>
    </row>
    <row r="19" spans="1:28">
      <c r="A19" t="s">
        <v>231</v>
      </c>
      <c r="B19" s="104">
        <v>1000</v>
      </c>
      <c r="C19" s="104">
        <v>1000</v>
      </c>
      <c r="E19" t="s">
        <v>230</v>
      </c>
      <c r="F19" s="104">
        <v>0</v>
      </c>
      <c r="G19" s="104">
        <v>0</v>
      </c>
      <c r="H19" s="104">
        <v>0</v>
      </c>
      <c r="J19" t="s">
        <v>230</v>
      </c>
      <c r="K19" s="104">
        <v>0</v>
      </c>
      <c r="L19" s="104">
        <v>0</v>
      </c>
      <c r="M19" s="104">
        <v>0</v>
      </c>
      <c r="O19" t="s">
        <v>230</v>
      </c>
      <c r="P19" s="104">
        <v>0</v>
      </c>
      <c r="Q19" s="104">
        <v>0</v>
      </c>
      <c r="R19" s="104">
        <v>0</v>
      </c>
      <c r="T19" t="s">
        <v>230</v>
      </c>
      <c r="U19" s="104">
        <v>0</v>
      </c>
      <c r="V19" s="104">
        <v>0</v>
      </c>
      <c r="W19" s="104">
        <v>0</v>
      </c>
      <c r="Y19" t="s">
        <v>230</v>
      </c>
      <c r="Z19" s="104">
        <v>900</v>
      </c>
      <c r="AA19" s="104">
        <v>900</v>
      </c>
      <c r="AB19" s="104">
        <v>900</v>
      </c>
    </row>
    <row r="20" spans="1:28">
      <c r="A20" t="s">
        <v>232</v>
      </c>
      <c r="B20" s="104">
        <v>2000</v>
      </c>
      <c r="C20" s="104">
        <v>2000</v>
      </c>
      <c r="E20" t="s">
        <v>231</v>
      </c>
      <c r="F20" s="104">
        <v>0</v>
      </c>
      <c r="G20" s="104">
        <v>0</v>
      </c>
      <c r="H20" s="104">
        <v>0</v>
      </c>
      <c r="J20" t="s">
        <v>231</v>
      </c>
      <c r="K20" s="104">
        <v>0</v>
      </c>
      <c r="L20" s="104">
        <v>0</v>
      </c>
      <c r="M20" s="104">
        <v>0</v>
      </c>
      <c r="O20" t="s">
        <v>231</v>
      </c>
      <c r="P20" s="104">
        <v>0</v>
      </c>
      <c r="Q20" s="104">
        <v>0</v>
      </c>
      <c r="R20" s="104">
        <v>0</v>
      </c>
      <c r="T20" t="s">
        <v>231</v>
      </c>
      <c r="U20" s="104">
        <v>0</v>
      </c>
      <c r="V20" s="104">
        <v>0</v>
      </c>
      <c r="W20" s="104">
        <v>0</v>
      </c>
      <c r="Y20" t="s">
        <v>231</v>
      </c>
      <c r="Z20" s="104">
        <v>450</v>
      </c>
      <c r="AA20" s="104">
        <v>450</v>
      </c>
      <c r="AB20" s="104">
        <v>450</v>
      </c>
    </row>
    <row r="21" spans="1:28">
      <c r="A21" t="s">
        <v>233</v>
      </c>
      <c r="B21" s="104">
        <v>0</v>
      </c>
      <c r="C21" s="104">
        <v>0</v>
      </c>
      <c r="E21" t="s">
        <v>232</v>
      </c>
      <c r="F21" s="104">
        <v>0</v>
      </c>
      <c r="G21" s="104">
        <v>0</v>
      </c>
      <c r="H21" s="104">
        <v>0</v>
      </c>
      <c r="J21" t="s">
        <v>232</v>
      </c>
      <c r="K21" s="104">
        <v>0</v>
      </c>
      <c r="L21" s="104">
        <v>0</v>
      </c>
      <c r="M21" s="104">
        <v>0</v>
      </c>
      <c r="O21" t="s">
        <v>232</v>
      </c>
      <c r="P21" s="104">
        <v>0</v>
      </c>
      <c r="Q21" s="104">
        <v>0</v>
      </c>
      <c r="R21" s="104">
        <v>0</v>
      </c>
      <c r="T21" t="s">
        <v>232</v>
      </c>
      <c r="U21" s="104">
        <v>0</v>
      </c>
      <c r="V21" s="104">
        <v>0</v>
      </c>
      <c r="W21" s="104">
        <v>0</v>
      </c>
      <c r="Y21" t="s">
        <v>232</v>
      </c>
      <c r="Z21" s="104">
        <v>900</v>
      </c>
      <c r="AA21" s="104">
        <v>900</v>
      </c>
      <c r="AB21" s="104">
        <v>900</v>
      </c>
    </row>
    <row r="22" spans="1:28">
      <c r="A22" t="s">
        <v>1</v>
      </c>
      <c r="B22" s="104">
        <v>3.4285714285714284</v>
      </c>
      <c r="C22" s="104">
        <v>3.4285714285714284</v>
      </c>
      <c r="E22" t="s">
        <v>233</v>
      </c>
      <c r="F22" s="104">
        <v>0</v>
      </c>
      <c r="G22" s="104">
        <v>0</v>
      </c>
      <c r="H22" s="104">
        <v>0</v>
      </c>
      <c r="J22" t="s">
        <v>233</v>
      </c>
      <c r="K22" s="104">
        <v>1360</v>
      </c>
      <c r="L22" s="104">
        <v>1360</v>
      </c>
      <c r="M22" s="104">
        <v>1360</v>
      </c>
      <c r="O22" t="s">
        <v>233</v>
      </c>
      <c r="P22" s="104">
        <v>0</v>
      </c>
      <c r="Q22" s="104">
        <v>0</v>
      </c>
      <c r="R22" s="104">
        <v>0</v>
      </c>
      <c r="T22" t="s">
        <v>233</v>
      </c>
      <c r="U22" s="104">
        <v>0</v>
      </c>
      <c r="V22" s="104">
        <v>0</v>
      </c>
      <c r="W22" s="104">
        <v>0</v>
      </c>
      <c r="Y22" t="s">
        <v>233</v>
      </c>
      <c r="Z22" s="104">
        <v>0</v>
      </c>
      <c r="AA22" s="104">
        <v>0</v>
      </c>
      <c r="AB22" s="104">
        <v>0</v>
      </c>
    </row>
    <row r="23" spans="1:28">
      <c r="A23" t="s">
        <v>2</v>
      </c>
      <c r="B23" s="104">
        <v>7</v>
      </c>
      <c r="C23" s="104">
        <v>7</v>
      </c>
      <c r="E23" t="s">
        <v>1</v>
      </c>
      <c r="F23" s="104">
        <v>0</v>
      </c>
      <c r="G23" s="104">
        <v>0</v>
      </c>
      <c r="H23" s="104">
        <v>0</v>
      </c>
      <c r="J23" t="s">
        <v>1</v>
      </c>
      <c r="K23" s="104">
        <v>0.57142857142857162</v>
      </c>
      <c r="L23" s="104">
        <v>0.57142857142857162</v>
      </c>
      <c r="M23" s="104">
        <v>0.57142857142857162</v>
      </c>
      <c r="O23" t="s">
        <v>1</v>
      </c>
      <c r="P23" s="104">
        <v>0.5</v>
      </c>
      <c r="Q23" s="104">
        <v>0.5</v>
      </c>
      <c r="R23" s="104">
        <v>0.5</v>
      </c>
      <c r="T23" t="s">
        <v>1</v>
      </c>
      <c r="U23" s="104">
        <v>0</v>
      </c>
      <c r="V23" s="104">
        <v>0</v>
      </c>
      <c r="W23" s="104">
        <v>0</v>
      </c>
      <c r="Y23" t="s">
        <v>1</v>
      </c>
      <c r="Z23" s="104">
        <v>7.3469387755102034E-2</v>
      </c>
      <c r="AA23" s="104">
        <v>7.3469387755102034E-2</v>
      </c>
      <c r="AB23" s="104">
        <v>7.3469387755102034E-2</v>
      </c>
    </row>
    <row r="24" spans="1:28">
      <c r="A24" t="s">
        <v>234</v>
      </c>
      <c r="B24" s="104">
        <v>0</v>
      </c>
      <c r="C24" s="104">
        <v>0</v>
      </c>
      <c r="E24" t="s">
        <v>2</v>
      </c>
      <c r="F24" s="104">
        <v>0</v>
      </c>
      <c r="G24" s="104">
        <v>0</v>
      </c>
      <c r="H24" s="104">
        <v>0</v>
      </c>
      <c r="J24" t="s">
        <v>2</v>
      </c>
      <c r="K24" s="104">
        <v>0</v>
      </c>
      <c r="L24" s="104">
        <v>0</v>
      </c>
      <c r="M24" s="104">
        <v>0</v>
      </c>
      <c r="O24" t="s">
        <v>2</v>
      </c>
      <c r="P24" s="104">
        <v>0</v>
      </c>
      <c r="Q24" s="104">
        <v>0</v>
      </c>
      <c r="R24" s="104">
        <v>0</v>
      </c>
      <c r="T24" t="s">
        <v>2</v>
      </c>
      <c r="U24" s="104">
        <v>0</v>
      </c>
      <c r="V24" s="104">
        <v>0</v>
      </c>
      <c r="W24" s="104">
        <v>0</v>
      </c>
      <c r="Y24" t="s">
        <v>2</v>
      </c>
      <c r="Z24" s="104">
        <v>0</v>
      </c>
      <c r="AA24" s="104">
        <v>0</v>
      </c>
      <c r="AB24" s="104">
        <v>0</v>
      </c>
    </row>
    <row r="25" spans="1:28">
      <c r="A25" t="s">
        <v>235</v>
      </c>
      <c r="B25" s="104">
        <v>1</v>
      </c>
      <c r="C25" s="104">
        <v>1</v>
      </c>
      <c r="E25" t="s">
        <v>234</v>
      </c>
      <c r="F25" s="104">
        <v>0</v>
      </c>
      <c r="G25" s="104">
        <v>0</v>
      </c>
      <c r="H25" s="104">
        <v>0</v>
      </c>
      <c r="J25" t="s">
        <v>234</v>
      </c>
      <c r="K25" s="104">
        <v>0</v>
      </c>
      <c r="L25" s="104">
        <v>0</v>
      </c>
      <c r="M25" s="104">
        <v>0</v>
      </c>
      <c r="O25" t="s">
        <v>234</v>
      </c>
      <c r="P25" s="104">
        <v>0</v>
      </c>
      <c r="Q25" s="104">
        <v>0</v>
      </c>
      <c r="R25" s="104">
        <v>0</v>
      </c>
      <c r="T25" t="s">
        <v>234</v>
      </c>
      <c r="U25" s="104">
        <v>0</v>
      </c>
      <c r="V25" s="104">
        <v>0</v>
      </c>
      <c r="W25" s="104">
        <v>0</v>
      </c>
      <c r="Y25" t="s">
        <v>234</v>
      </c>
      <c r="Z25" s="104">
        <v>0</v>
      </c>
      <c r="AA25" s="104">
        <v>0</v>
      </c>
      <c r="AB25" s="104">
        <v>0</v>
      </c>
    </row>
    <row r="26" spans="1:28">
      <c r="A26" t="s">
        <v>236</v>
      </c>
      <c r="B26" s="104">
        <v>7</v>
      </c>
      <c r="C26" s="104">
        <v>7</v>
      </c>
      <c r="E26" t="s">
        <v>235</v>
      </c>
      <c r="F26" s="104">
        <v>0</v>
      </c>
      <c r="G26" s="104">
        <v>0</v>
      </c>
      <c r="H26" s="104">
        <v>0</v>
      </c>
      <c r="J26" t="s">
        <v>235</v>
      </c>
      <c r="K26" s="104">
        <v>0</v>
      </c>
      <c r="L26" s="104">
        <v>0</v>
      </c>
      <c r="M26" s="104">
        <v>0</v>
      </c>
      <c r="O26" t="s">
        <v>235</v>
      </c>
      <c r="P26" s="104">
        <v>0</v>
      </c>
      <c r="Q26" s="104">
        <v>0</v>
      </c>
      <c r="R26" s="104">
        <v>0</v>
      </c>
      <c r="T26" t="s">
        <v>235</v>
      </c>
      <c r="U26" s="104">
        <v>0</v>
      </c>
      <c r="V26" s="104">
        <v>0</v>
      </c>
      <c r="W26" s="104">
        <v>0</v>
      </c>
      <c r="Y26" t="s">
        <v>235</v>
      </c>
      <c r="Z26" s="104">
        <v>0</v>
      </c>
      <c r="AA26" s="104">
        <v>0</v>
      </c>
      <c r="AB26" s="104">
        <v>0</v>
      </c>
    </row>
    <row r="27" spans="1:28">
      <c r="A27" t="s">
        <v>237</v>
      </c>
      <c r="B27" s="104">
        <v>4.75</v>
      </c>
      <c r="C27" s="104">
        <v>4.75</v>
      </c>
      <c r="E27" t="s">
        <v>236</v>
      </c>
      <c r="F27" s="104">
        <v>0</v>
      </c>
      <c r="G27" s="104">
        <v>0</v>
      </c>
      <c r="H27" s="104">
        <v>0</v>
      </c>
      <c r="J27" t="s">
        <v>236</v>
      </c>
      <c r="K27" s="104">
        <v>0</v>
      </c>
      <c r="L27" s="104">
        <v>0</v>
      </c>
      <c r="M27" s="104">
        <v>0</v>
      </c>
      <c r="O27" t="s">
        <v>236</v>
      </c>
      <c r="P27" s="104">
        <v>0</v>
      </c>
      <c r="Q27" s="104">
        <v>0</v>
      </c>
      <c r="R27" s="104">
        <v>0</v>
      </c>
      <c r="T27" t="s">
        <v>236</v>
      </c>
      <c r="U27" s="104">
        <v>0</v>
      </c>
      <c r="V27" s="104">
        <v>0</v>
      </c>
      <c r="W27" s="104">
        <v>0</v>
      </c>
      <c r="Y27" t="s">
        <v>236</v>
      </c>
      <c r="Z27" s="104">
        <v>0</v>
      </c>
      <c r="AA27" s="104">
        <v>0</v>
      </c>
      <c r="AB27" s="104">
        <v>0</v>
      </c>
    </row>
    <row r="28" spans="1:28">
      <c r="A28" t="s">
        <v>238</v>
      </c>
      <c r="B28" s="104">
        <v>1</v>
      </c>
      <c r="C28" s="104">
        <v>1</v>
      </c>
      <c r="E28" t="s">
        <v>237</v>
      </c>
      <c r="F28" s="104">
        <v>0</v>
      </c>
      <c r="G28" s="104">
        <v>0</v>
      </c>
      <c r="H28" s="104">
        <v>0</v>
      </c>
      <c r="J28" t="s">
        <v>237</v>
      </c>
      <c r="K28" s="104">
        <v>0</v>
      </c>
      <c r="L28" s="104">
        <v>0</v>
      </c>
      <c r="M28" s="104">
        <v>0</v>
      </c>
      <c r="O28" t="s">
        <v>237</v>
      </c>
      <c r="P28" s="104">
        <v>0</v>
      </c>
      <c r="Q28" s="104">
        <v>0</v>
      </c>
      <c r="R28" s="104">
        <v>0</v>
      </c>
      <c r="T28" t="s">
        <v>237</v>
      </c>
      <c r="U28" s="104">
        <v>0</v>
      </c>
      <c r="V28" s="104">
        <v>0</v>
      </c>
      <c r="W28" s="104">
        <v>0</v>
      </c>
      <c r="Y28" t="s">
        <v>237</v>
      </c>
      <c r="Z28" s="104">
        <v>0</v>
      </c>
      <c r="AA28" s="104">
        <v>0</v>
      </c>
      <c r="AB28" s="104">
        <v>0</v>
      </c>
    </row>
    <row r="29" spans="1:28">
      <c r="A29" t="s">
        <v>239</v>
      </c>
      <c r="B29" s="104">
        <v>0</v>
      </c>
      <c r="C29" s="104">
        <v>0</v>
      </c>
      <c r="E29" t="s">
        <v>238</v>
      </c>
      <c r="F29" s="104">
        <v>0</v>
      </c>
      <c r="G29" s="104">
        <v>0</v>
      </c>
      <c r="H29" s="104">
        <v>0</v>
      </c>
      <c r="J29" t="s">
        <v>238</v>
      </c>
      <c r="K29" s="104">
        <v>0</v>
      </c>
      <c r="L29" s="104">
        <v>0</v>
      </c>
      <c r="M29" s="104">
        <v>0</v>
      </c>
      <c r="O29" t="s">
        <v>238</v>
      </c>
      <c r="P29" s="104">
        <v>0</v>
      </c>
      <c r="Q29" s="104">
        <v>0</v>
      </c>
      <c r="R29" s="104">
        <v>0</v>
      </c>
      <c r="T29" t="s">
        <v>238</v>
      </c>
      <c r="U29" s="104">
        <v>0</v>
      </c>
      <c r="V29" s="104">
        <v>0</v>
      </c>
      <c r="W29" s="104">
        <v>0</v>
      </c>
      <c r="Y29" t="s">
        <v>238</v>
      </c>
      <c r="Z29" s="104">
        <v>0</v>
      </c>
      <c r="AA29" s="104">
        <v>0</v>
      </c>
      <c r="AB29" s="104">
        <v>0</v>
      </c>
    </row>
    <row r="30" spans="1:28">
      <c r="A30" t="s">
        <v>240</v>
      </c>
      <c r="B30" s="104">
        <v>6</v>
      </c>
      <c r="C30" s="104">
        <v>6</v>
      </c>
      <c r="E30" t="s">
        <v>239</v>
      </c>
      <c r="F30" s="104">
        <v>0</v>
      </c>
      <c r="G30" s="104">
        <v>0</v>
      </c>
      <c r="H30" s="104">
        <v>0</v>
      </c>
      <c r="J30" t="s">
        <v>239</v>
      </c>
      <c r="K30" s="104">
        <v>0</v>
      </c>
      <c r="L30" s="104">
        <v>0</v>
      </c>
      <c r="M30" s="104">
        <v>0</v>
      </c>
      <c r="O30" t="s">
        <v>239</v>
      </c>
      <c r="P30" s="104">
        <v>0</v>
      </c>
      <c r="Q30" s="104">
        <v>0</v>
      </c>
      <c r="R30" s="104">
        <v>0</v>
      </c>
      <c r="T30" t="s">
        <v>239</v>
      </c>
      <c r="U30" s="104">
        <v>0</v>
      </c>
      <c r="V30" s="104">
        <v>0</v>
      </c>
      <c r="W30" s="104">
        <v>0</v>
      </c>
      <c r="Y30" t="s">
        <v>239</v>
      </c>
      <c r="Z30" s="104">
        <v>0</v>
      </c>
      <c r="AA30" s="104">
        <v>0</v>
      </c>
      <c r="AB30" s="104">
        <v>0</v>
      </c>
    </row>
    <row r="31" spans="1:28">
      <c r="A31" t="s">
        <v>241</v>
      </c>
      <c r="B31" s="104">
        <v>0</v>
      </c>
      <c r="C31" s="104">
        <v>0</v>
      </c>
      <c r="E31" t="s">
        <v>240</v>
      </c>
      <c r="F31" s="104">
        <v>0</v>
      </c>
      <c r="G31" s="104">
        <v>0</v>
      </c>
      <c r="H31" s="104">
        <v>0</v>
      </c>
      <c r="J31" t="s">
        <v>240</v>
      </c>
      <c r="K31" s="104">
        <v>0</v>
      </c>
      <c r="L31" s="104">
        <v>0</v>
      </c>
      <c r="M31" s="104">
        <v>0</v>
      </c>
      <c r="O31" t="s">
        <v>240</v>
      </c>
      <c r="P31" s="104">
        <v>0</v>
      </c>
      <c r="Q31" s="104">
        <v>0</v>
      </c>
      <c r="R31" s="104">
        <v>0</v>
      </c>
      <c r="T31" t="s">
        <v>240</v>
      </c>
      <c r="U31" s="104">
        <v>0</v>
      </c>
      <c r="V31" s="104">
        <v>0</v>
      </c>
      <c r="W31" s="104">
        <v>0</v>
      </c>
      <c r="Y31" t="s">
        <v>240</v>
      </c>
      <c r="Z31" s="104">
        <v>0</v>
      </c>
      <c r="AA31" s="104">
        <v>0</v>
      </c>
      <c r="AB31" s="104">
        <v>0</v>
      </c>
    </row>
    <row r="32" spans="1:28">
      <c r="A32" t="s">
        <v>242</v>
      </c>
      <c r="B32" s="104">
        <v>0</v>
      </c>
      <c r="C32" s="104">
        <v>0</v>
      </c>
      <c r="E32" t="s">
        <v>241</v>
      </c>
      <c r="F32" s="104">
        <v>0</v>
      </c>
      <c r="G32" s="104">
        <v>0</v>
      </c>
      <c r="H32" s="104">
        <v>0</v>
      </c>
      <c r="J32" t="s">
        <v>241</v>
      </c>
      <c r="K32" s="104">
        <v>0</v>
      </c>
      <c r="L32" s="104">
        <v>0</v>
      </c>
      <c r="M32" s="104">
        <v>0</v>
      </c>
      <c r="O32" t="s">
        <v>241</v>
      </c>
      <c r="P32" s="104">
        <v>0</v>
      </c>
      <c r="Q32" s="104">
        <v>0</v>
      </c>
      <c r="R32" s="104">
        <v>0</v>
      </c>
      <c r="T32" t="s">
        <v>241</v>
      </c>
      <c r="U32" s="104">
        <v>0</v>
      </c>
      <c r="V32" s="104">
        <v>0</v>
      </c>
      <c r="W32" s="104">
        <v>0</v>
      </c>
      <c r="Y32" t="s">
        <v>241</v>
      </c>
      <c r="Z32" s="104">
        <v>0</v>
      </c>
      <c r="AA32" s="104">
        <v>0</v>
      </c>
      <c r="AB32" s="104">
        <v>0</v>
      </c>
    </row>
    <row r="33" spans="1:28">
      <c r="A33" t="s">
        <v>243</v>
      </c>
      <c r="B33" s="104">
        <v>0</v>
      </c>
      <c r="C33" s="104">
        <v>0</v>
      </c>
      <c r="E33" t="s">
        <v>242</v>
      </c>
      <c r="F33" s="104">
        <v>0</v>
      </c>
      <c r="G33" s="104">
        <v>0</v>
      </c>
      <c r="H33" s="104">
        <v>0</v>
      </c>
      <c r="J33" t="s">
        <v>242</v>
      </c>
      <c r="K33" s="104">
        <v>0</v>
      </c>
      <c r="L33" s="104">
        <v>0</v>
      </c>
      <c r="M33" s="104">
        <v>0</v>
      </c>
      <c r="O33" t="s">
        <v>242</v>
      </c>
      <c r="P33" s="104">
        <v>0</v>
      </c>
      <c r="Q33" s="104">
        <v>0</v>
      </c>
      <c r="R33" s="104">
        <v>0</v>
      </c>
      <c r="T33" t="s">
        <v>242</v>
      </c>
      <c r="U33" s="104">
        <v>0</v>
      </c>
      <c r="V33" s="104">
        <v>0</v>
      </c>
      <c r="W33" s="104">
        <v>0</v>
      </c>
      <c r="Y33" t="s">
        <v>242</v>
      </c>
      <c r="Z33" s="104">
        <v>0</v>
      </c>
      <c r="AA33" s="104">
        <v>0</v>
      </c>
      <c r="AB33" s="104">
        <v>0</v>
      </c>
    </row>
    <row r="34" spans="1:28">
      <c r="A34" t="s">
        <v>244</v>
      </c>
      <c r="B34" s="104">
        <v>5</v>
      </c>
      <c r="C34" s="104">
        <v>5</v>
      </c>
      <c r="E34" t="s">
        <v>243</v>
      </c>
      <c r="F34" s="104">
        <v>0</v>
      </c>
      <c r="G34" s="104">
        <v>0</v>
      </c>
      <c r="H34" s="104">
        <v>0</v>
      </c>
      <c r="J34" t="s">
        <v>243</v>
      </c>
      <c r="K34" s="104">
        <v>0</v>
      </c>
      <c r="L34" s="104">
        <v>0</v>
      </c>
      <c r="M34" s="104">
        <v>0</v>
      </c>
      <c r="O34" t="s">
        <v>243</v>
      </c>
      <c r="P34" s="104">
        <v>0</v>
      </c>
      <c r="Q34" s="104">
        <v>0</v>
      </c>
      <c r="R34" s="104">
        <v>0</v>
      </c>
      <c r="T34" t="s">
        <v>243</v>
      </c>
      <c r="U34" s="104">
        <v>0</v>
      </c>
      <c r="V34" s="104">
        <v>0</v>
      </c>
      <c r="W34" s="104">
        <v>0</v>
      </c>
      <c r="Y34" t="s">
        <v>243</v>
      </c>
      <c r="Z34" s="104">
        <v>0</v>
      </c>
      <c r="AA34" s="104">
        <v>0</v>
      </c>
      <c r="AB34" s="104">
        <v>0</v>
      </c>
    </row>
    <row r="35" spans="1:28">
      <c r="A35" t="s">
        <v>245</v>
      </c>
      <c r="B35" s="104">
        <v>0</v>
      </c>
      <c r="C35" s="104">
        <v>0</v>
      </c>
      <c r="E35" t="s">
        <v>244</v>
      </c>
      <c r="F35" s="104">
        <v>0</v>
      </c>
      <c r="G35" s="104">
        <v>0</v>
      </c>
      <c r="H35" s="104">
        <v>0</v>
      </c>
      <c r="J35" t="s">
        <v>244</v>
      </c>
      <c r="K35" s="104">
        <v>0</v>
      </c>
      <c r="L35" s="104">
        <v>0</v>
      </c>
      <c r="M35" s="104">
        <v>0</v>
      </c>
      <c r="O35" t="s">
        <v>244</v>
      </c>
      <c r="P35" s="104">
        <v>0</v>
      </c>
      <c r="Q35" s="104">
        <v>0</v>
      </c>
      <c r="R35" s="104">
        <v>0</v>
      </c>
      <c r="T35" t="s">
        <v>244</v>
      </c>
      <c r="U35" s="104">
        <v>0</v>
      </c>
      <c r="V35" s="104">
        <v>0</v>
      </c>
      <c r="W35" s="104">
        <v>0</v>
      </c>
      <c r="Y35" t="s">
        <v>244</v>
      </c>
      <c r="Z35" s="104">
        <v>0.42857142857142883</v>
      </c>
      <c r="AA35" s="104">
        <v>0.42857142857142883</v>
      </c>
      <c r="AB35" s="104">
        <v>0.42857142857142883</v>
      </c>
    </row>
    <row r="36" spans="1:28">
      <c r="A36" t="s">
        <v>4</v>
      </c>
      <c r="B36" s="104">
        <v>0</v>
      </c>
      <c r="C36" s="104">
        <v>0</v>
      </c>
      <c r="E36" t="s">
        <v>245</v>
      </c>
      <c r="F36" s="104">
        <v>0</v>
      </c>
      <c r="G36" s="104">
        <v>0</v>
      </c>
      <c r="H36" s="104">
        <v>0</v>
      </c>
      <c r="J36" t="s">
        <v>245</v>
      </c>
      <c r="K36" s="104">
        <v>0</v>
      </c>
      <c r="L36" s="104">
        <v>0</v>
      </c>
      <c r="M36" s="104">
        <v>0</v>
      </c>
      <c r="O36" t="s">
        <v>245</v>
      </c>
      <c r="P36" s="104">
        <v>0</v>
      </c>
      <c r="Q36" s="104">
        <v>0</v>
      </c>
      <c r="R36" s="104">
        <v>0</v>
      </c>
      <c r="T36" t="s">
        <v>245</v>
      </c>
      <c r="U36" s="104">
        <v>0</v>
      </c>
      <c r="V36" s="104">
        <v>0</v>
      </c>
      <c r="W36" s="104">
        <v>0</v>
      </c>
      <c r="Y36" t="s">
        <v>245</v>
      </c>
      <c r="Z36" s="104">
        <v>0</v>
      </c>
      <c r="AA36" s="104">
        <v>0</v>
      </c>
      <c r="AB36" s="104">
        <v>0</v>
      </c>
    </row>
    <row r="37" spans="1:28">
      <c r="A37" t="s">
        <v>246</v>
      </c>
      <c r="B37" s="104">
        <v>4</v>
      </c>
      <c r="C37" s="104">
        <v>4</v>
      </c>
      <c r="E37" t="s">
        <v>4</v>
      </c>
      <c r="F37" s="104">
        <v>0</v>
      </c>
      <c r="G37" s="104">
        <v>0</v>
      </c>
      <c r="H37" s="104">
        <v>0</v>
      </c>
      <c r="J37" t="s">
        <v>4</v>
      </c>
      <c r="K37" s="104">
        <v>0</v>
      </c>
      <c r="L37" s="104">
        <v>0</v>
      </c>
      <c r="M37" s="104">
        <v>0</v>
      </c>
      <c r="O37" t="s">
        <v>4</v>
      </c>
      <c r="P37" s="104">
        <v>0</v>
      </c>
      <c r="Q37" s="104">
        <v>0</v>
      </c>
      <c r="R37" s="104">
        <v>0</v>
      </c>
      <c r="T37" t="s">
        <v>4</v>
      </c>
      <c r="U37" s="104">
        <v>0</v>
      </c>
      <c r="V37" s="104">
        <v>0</v>
      </c>
      <c r="W37" s="104">
        <v>0</v>
      </c>
      <c r="Y37" t="s">
        <v>4</v>
      </c>
      <c r="Z37" s="104">
        <v>0</v>
      </c>
      <c r="AA37" s="104">
        <v>0</v>
      </c>
      <c r="AB37" s="104">
        <v>0</v>
      </c>
    </row>
    <row r="38" spans="1:28">
      <c r="A38" t="s">
        <v>247</v>
      </c>
      <c r="B38" s="104">
        <v>1</v>
      </c>
      <c r="C38" s="104">
        <v>1</v>
      </c>
      <c r="E38" t="s">
        <v>246</v>
      </c>
      <c r="F38" s="104">
        <v>0</v>
      </c>
      <c r="G38" s="104">
        <v>0</v>
      </c>
      <c r="H38" s="104">
        <v>0</v>
      </c>
      <c r="J38" t="s">
        <v>246</v>
      </c>
      <c r="K38" s="104">
        <v>0</v>
      </c>
      <c r="L38" s="104">
        <v>0</v>
      </c>
      <c r="M38" s="104">
        <v>0</v>
      </c>
      <c r="O38" t="s">
        <v>246</v>
      </c>
      <c r="P38" s="104">
        <v>0</v>
      </c>
      <c r="Q38" s="104">
        <v>0</v>
      </c>
      <c r="R38" s="104">
        <v>0</v>
      </c>
      <c r="T38" t="s">
        <v>246</v>
      </c>
      <c r="U38" s="104">
        <v>0</v>
      </c>
      <c r="V38" s="104">
        <v>0</v>
      </c>
      <c r="W38" s="104">
        <v>0</v>
      </c>
      <c r="Y38" t="s">
        <v>246</v>
      </c>
      <c r="Z38" s="104">
        <v>0</v>
      </c>
      <c r="AA38" s="104">
        <v>0</v>
      </c>
      <c r="AB38" s="104">
        <v>0</v>
      </c>
    </row>
    <row r="39" spans="1:28">
      <c r="A39" t="s">
        <v>248</v>
      </c>
      <c r="B39" s="104">
        <v>0</v>
      </c>
      <c r="C39" s="104">
        <v>0</v>
      </c>
      <c r="E39" t="s">
        <v>247</v>
      </c>
      <c r="F39" s="104">
        <v>0</v>
      </c>
      <c r="G39" s="104">
        <v>0</v>
      </c>
      <c r="H39" s="104">
        <v>0</v>
      </c>
      <c r="J39" t="s">
        <v>247</v>
      </c>
      <c r="K39" s="104">
        <v>0</v>
      </c>
      <c r="L39" s="104">
        <v>0</v>
      </c>
      <c r="M39" s="104">
        <v>0</v>
      </c>
      <c r="O39" t="s">
        <v>247</v>
      </c>
      <c r="P39" s="104">
        <v>0</v>
      </c>
      <c r="Q39" s="104">
        <v>0</v>
      </c>
      <c r="R39" s="104">
        <v>0</v>
      </c>
      <c r="T39" t="s">
        <v>247</v>
      </c>
      <c r="U39" s="104">
        <v>0</v>
      </c>
      <c r="V39" s="104">
        <v>0</v>
      </c>
      <c r="W39" s="104">
        <v>0</v>
      </c>
      <c r="Y39" t="s">
        <v>247</v>
      </c>
      <c r="Z39" s="104">
        <v>0</v>
      </c>
      <c r="AA39" s="104">
        <v>0</v>
      </c>
      <c r="AB39" s="104">
        <v>0</v>
      </c>
    </row>
    <row r="40" spans="1:28">
      <c r="A40" t="s">
        <v>249</v>
      </c>
      <c r="B40" s="104">
        <v>2</v>
      </c>
      <c r="C40" s="104">
        <v>2</v>
      </c>
      <c r="E40" t="s">
        <v>248</v>
      </c>
      <c r="F40" s="104">
        <v>0</v>
      </c>
      <c r="G40" s="104">
        <v>0</v>
      </c>
      <c r="H40" s="104">
        <v>0</v>
      </c>
      <c r="J40" t="s">
        <v>248</v>
      </c>
      <c r="K40" s="104">
        <v>0</v>
      </c>
      <c r="L40" s="104">
        <v>0</v>
      </c>
      <c r="M40" s="104">
        <v>0</v>
      </c>
      <c r="O40" t="s">
        <v>248</v>
      </c>
      <c r="P40" s="104">
        <v>0</v>
      </c>
      <c r="Q40" s="104">
        <v>0</v>
      </c>
      <c r="R40" s="104">
        <v>0</v>
      </c>
      <c r="T40" t="s">
        <v>248</v>
      </c>
      <c r="U40" s="104">
        <v>0</v>
      </c>
      <c r="V40" s="104">
        <v>0</v>
      </c>
      <c r="W40" s="104">
        <v>0</v>
      </c>
      <c r="Y40" t="s">
        <v>248</v>
      </c>
      <c r="Z40" s="104">
        <v>0</v>
      </c>
      <c r="AA40" s="104">
        <v>0</v>
      </c>
      <c r="AB40" s="104">
        <v>0</v>
      </c>
    </row>
    <row r="41" spans="1:28">
      <c r="A41" t="s">
        <v>250</v>
      </c>
      <c r="B41" s="104">
        <v>6</v>
      </c>
      <c r="C41" s="104">
        <v>6</v>
      </c>
      <c r="E41" t="s">
        <v>249</v>
      </c>
      <c r="F41" s="104">
        <v>0</v>
      </c>
      <c r="G41" s="104">
        <v>0</v>
      </c>
      <c r="H41" s="104">
        <v>0</v>
      </c>
      <c r="J41" t="s">
        <v>249</v>
      </c>
      <c r="K41" s="104">
        <v>0</v>
      </c>
      <c r="L41" s="104">
        <v>0</v>
      </c>
      <c r="M41" s="104">
        <v>0</v>
      </c>
      <c r="O41" t="s">
        <v>249</v>
      </c>
      <c r="P41" s="104">
        <v>0</v>
      </c>
      <c r="Q41" s="104">
        <v>0</v>
      </c>
      <c r="R41" s="104">
        <v>0</v>
      </c>
      <c r="T41" t="s">
        <v>249</v>
      </c>
      <c r="U41" s="104">
        <v>0</v>
      </c>
      <c r="V41" s="104">
        <v>0</v>
      </c>
      <c r="W41" s="104">
        <v>0</v>
      </c>
      <c r="Y41" t="s">
        <v>249</v>
      </c>
      <c r="Z41" s="104">
        <v>0</v>
      </c>
      <c r="AA41" s="104">
        <v>0</v>
      </c>
      <c r="AB41" s="104">
        <v>0</v>
      </c>
    </row>
    <row r="42" spans="1:28">
      <c r="A42" t="s">
        <v>251</v>
      </c>
      <c r="B42" s="104">
        <v>1</v>
      </c>
      <c r="C42" s="104">
        <v>1</v>
      </c>
      <c r="E42" t="s">
        <v>250</v>
      </c>
      <c r="F42" s="104">
        <v>0</v>
      </c>
      <c r="G42" s="104">
        <v>0</v>
      </c>
      <c r="H42" s="104">
        <v>0</v>
      </c>
      <c r="J42" t="s">
        <v>250</v>
      </c>
      <c r="K42" s="104">
        <v>0</v>
      </c>
      <c r="L42" s="104">
        <v>0</v>
      </c>
      <c r="M42" s="104">
        <v>0</v>
      </c>
      <c r="O42" t="s">
        <v>250</v>
      </c>
      <c r="P42" s="104">
        <v>0</v>
      </c>
      <c r="Q42" s="104">
        <v>0</v>
      </c>
      <c r="R42" s="104">
        <v>0</v>
      </c>
      <c r="T42" t="s">
        <v>250</v>
      </c>
      <c r="U42" s="104">
        <v>0</v>
      </c>
      <c r="V42" s="104">
        <v>0</v>
      </c>
      <c r="W42" s="104">
        <v>0</v>
      </c>
      <c r="Y42" t="s">
        <v>250</v>
      </c>
      <c r="Z42" s="104">
        <v>0</v>
      </c>
      <c r="AA42" s="104">
        <v>0</v>
      </c>
      <c r="AB42" s="104">
        <v>0</v>
      </c>
    </row>
    <row r="43" spans="1:28">
      <c r="A43" t="s">
        <v>252</v>
      </c>
      <c r="B43" s="104">
        <v>10</v>
      </c>
      <c r="C43" s="104">
        <v>10</v>
      </c>
      <c r="E43" t="s">
        <v>251</v>
      </c>
      <c r="F43" s="104">
        <v>0</v>
      </c>
      <c r="G43" s="104">
        <v>0</v>
      </c>
      <c r="H43" s="104">
        <v>0</v>
      </c>
      <c r="J43" t="s">
        <v>251</v>
      </c>
      <c r="K43" s="104">
        <v>0</v>
      </c>
      <c r="L43" s="104">
        <v>0</v>
      </c>
      <c r="M43" s="104">
        <v>0</v>
      </c>
      <c r="O43" t="s">
        <v>251</v>
      </c>
      <c r="P43" s="104">
        <v>0</v>
      </c>
      <c r="Q43" s="104">
        <v>0</v>
      </c>
      <c r="R43" s="104">
        <v>0</v>
      </c>
      <c r="T43" t="s">
        <v>251</v>
      </c>
      <c r="U43" s="104">
        <v>0</v>
      </c>
      <c r="V43" s="104">
        <v>0</v>
      </c>
      <c r="W43" s="104">
        <v>0</v>
      </c>
      <c r="Y43" t="s">
        <v>251</v>
      </c>
      <c r="Z43" s="104">
        <v>0</v>
      </c>
      <c r="AA43" s="104">
        <v>0</v>
      </c>
      <c r="AB43" s="104">
        <v>0</v>
      </c>
    </row>
    <row r="44" spans="1:28">
      <c r="A44" t="s">
        <v>253</v>
      </c>
      <c r="B44" s="104">
        <v>5</v>
      </c>
      <c r="C44" s="104">
        <v>5</v>
      </c>
      <c r="E44" t="s">
        <v>252</v>
      </c>
      <c r="F44" s="104">
        <v>0</v>
      </c>
      <c r="G44" s="104">
        <v>0</v>
      </c>
      <c r="H44" s="104">
        <v>0</v>
      </c>
      <c r="J44" t="s">
        <v>252</v>
      </c>
      <c r="K44" s="104">
        <v>0</v>
      </c>
      <c r="L44" s="104">
        <v>0</v>
      </c>
      <c r="M44" s="104">
        <v>0</v>
      </c>
      <c r="O44" t="s">
        <v>252</v>
      </c>
      <c r="P44" s="104">
        <v>0</v>
      </c>
      <c r="Q44" s="104">
        <v>0</v>
      </c>
      <c r="R44" s="104">
        <v>0</v>
      </c>
      <c r="T44" t="s">
        <v>252</v>
      </c>
      <c r="U44" s="104">
        <v>0</v>
      </c>
      <c r="V44" s="104">
        <v>0</v>
      </c>
      <c r="W44" s="104">
        <v>0</v>
      </c>
      <c r="Y44" t="s">
        <v>252</v>
      </c>
      <c r="Z44" s="104">
        <v>0.85714285714285765</v>
      </c>
      <c r="AA44" s="104">
        <v>0.85714285714285765</v>
      </c>
      <c r="AB44" s="104">
        <v>0.85714285714285765</v>
      </c>
    </row>
    <row r="45" spans="1:28">
      <c r="A45" t="s">
        <v>254</v>
      </c>
      <c r="B45" s="104">
        <v>1</v>
      </c>
      <c r="C45" s="104">
        <v>1</v>
      </c>
      <c r="E45" t="s">
        <v>253</v>
      </c>
      <c r="F45" s="104">
        <v>0</v>
      </c>
      <c r="G45" s="104">
        <v>0</v>
      </c>
      <c r="H45" s="104">
        <v>0</v>
      </c>
      <c r="J45" t="s">
        <v>253</v>
      </c>
      <c r="K45" s="104">
        <v>0</v>
      </c>
      <c r="L45" s="104">
        <v>0</v>
      </c>
      <c r="M45" s="104">
        <v>0</v>
      </c>
      <c r="O45" t="s">
        <v>253</v>
      </c>
      <c r="P45" s="104">
        <v>0</v>
      </c>
      <c r="Q45" s="104">
        <v>0</v>
      </c>
      <c r="R45" s="104">
        <v>0</v>
      </c>
      <c r="T45" t="s">
        <v>253</v>
      </c>
      <c r="U45" s="104">
        <v>0</v>
      </c>
      <c r="V45" s="104">
        <v>0</v>
      </c>
      <c r="W45" s="104">
        <v>0</v>
      </c>
      <c r="Y45" t="s">
        <v>253</v>
      </c>
      <c r="Z45" s="104">
        <v>0</v>
      </c>
      <c r="AA45" s="104">
        <v>0</v>
      </c>
      <c r="AB45" s="104">
        <v>0</v>
      </c>
    </row>
    <row r="46" spans="1:28">
      <c r="A46" t="s">
        <v>255</v>
      </c>
      <c r="B46" s="104">
        <v>0</v>
      </c>
      <c r="C46" s="104">
        <v>0</v>
      </c>
      <c r="E46" t="s">
        <v>254</v>
      </c>
      <c r="F46" s="104">
        <v>0</v>
      </c>
      <c r="G46" s="104">
        <v>0</v>
      </c>
      <c r="H46" s="104">
        <v>0</v>
      </c>
      <c r="J46" t="s">
        <v>254</v>
      </c>
      <c r="K46" s="104">
        <v>0</v>
      </c>
      <c r="L46" s="104">
        <v>0</v>
      </c>
      <c r="M46" s="104">
        <v>0</v>
      </c>
      <c r="O46" t="s">
        <v>254</v>
      </c>
      <c r="P46" s="104">
        <v>0</v>
      </c>
      <c r="Q46" s="104">
        <v>0</v>
      </c>
      <c r="R46" s="104">
        <v>0</v>
      </c>
      <c r="T46" t="s">
        <v>254</v>
      </c>
      <c r="U46" s="104">
        <v>0</v>
      </c>
      <c r="V46" s="104">
        <v>0</v>
      </c>
      <c r="W46" s="104">
        <v>0</v>
      </c>
      <c r="Y46" t="s">
        <v>254</v>
      </c>
      <c r="Z46" s="104">
        <v>0</v>
      </c>
      <c r="AA46" s="104">
        <v>0</v>
      </c>
      <c r="AB46" s="104">
        <v>0</v>
      </c>
    </row>
    <row r="47" spans="1:28">
      <c r="A47" t="s">
        <v>256</v>
      </c>
      <c r="B47" s="104">
        <v>0</v>
      </c>
      <c r="C47" s="104">
        <v>0</v>
      </c>
      <c r="E47" t="s">
        <v>257</v>
      </c>
      <c r="F47" s="104">
        <v>0</v>
      </c>
      <c r="G47" s="104">
        <v>0</v>
      </c>
      <c r="H47" s="104">
        <v>0</v>
      </c>
      <c r="J47" t="s">
        <v>258</v>
      </c>
      <c r="K47" s="104">
        <v>0</v>
      </c>
      <c r="L47" s="104">
        <v>0</v>
      </c>
      <c r="M47" s="104">
        <v>0</v>
      </c>
      <c r="O47" t="s">
        <v>257</v>
      </c>
      <c r="P47" s="104">
        <v>0</v>
      </c>
      <c r="Q47" s="104">
        <v>0</v>
      </c>
      <c r="R47" s="104">
        <v>0</v>
      </c>
      <c r="T47" t="s">
        <v>257</v>
      </c>
      <c r="U47" s="104">
        <v>0</v>
      </c>
      <c r="V47" s="104">
        <v>0</v>
      </c>
      <c r="W47" s="104">
        <v>0</v>
      </c>
      <c r="Y47" t="s">
        <v>257</v>
      </c>
      <c r="Z47" s="104">
        <v>0</v>
      </c>
      <c r="AA47" s="104">
        <v>0</v>
      </c>
      <c r="AB47" s="104">
        <v>0</v>
      </c>
    </row>
    <row r="48" spans="1:28">
      <c r="A48" t="s">
        <v>259</v>
      </c>
      <c r="B48" s="104">
        <v>0</v>
      </c>
      <c r="C48" s="104">
        <v>0</v>
      </c>
      <c r="E48" t="s">
        <v>256</v>
      </c>
      <c r="F48" s="104">
        <v>0</v>
      </c>
      <c r="G48" s="104">
        <v>0</v>
      </c>
      <c r="H48" s="104">
        <v>0</v>
      </c>
      <c r="J48" t="s">
        <v>256</v>
      </c>
      <c r="K48" s="104">
        <v>0</v>
      </c>
      <c r="L48" s="104">
        <v>0</v>
      </c>
      <c r="M48" s="104">
        <v>0</v>
      </c>
      <c r="O48" t="s">
        <v>256</v>
      </c>
      <c r="P48" s="104">
        <v>0</v>
      </c>
      <c r="Q48" s="104">
        <v>0</v>
      </c>
      <c r="R48" s="104">
        <v>0</v>
      </c>
      <c r="T48" t="s">
        <v>256</v>
      </c>
      <c r="U48" s="104">
        <v>0</v>
      </c>
      <c r="V48" s="104">
        <v>0</v>
      </c>
      <c r="W48" s="104">
        <v>0</v>
      </c>
      <c r="Y48" t="s">
        <v>256</v>
      </c>
      <c r="Z48" s="104">
        <v>0</v>
      </c>
      <c r="AA48" s="104">
        <v>0</v>
      </c>
      <c r="AB48" s="104">
        <v>0</v>
      </c>
    </row>
    <row r="49" spans="1:28">
      <c r="A49" t="s">
        <v>260</v>
      </c>
      <c r="B49" s="104">
        <v>0</v>
      </c>
      <c r="C49" s="104">
        <v>0</v>
      </c>
      <c r="E49" t="s">
        <v>259</v>
      </c>
      <c r="F49" s="104">
        <v>0</v>
      </c>
      <c r="G49" s="104">
        <v>0</v>
      </c>
      <c r="H49" s="104">
        <v>0</v>
      </c>
      <c r="J49" t="s">
        <v>259</v>
      </c>
      <c r="K49" s="104">
        <v>0</v>
      </c>
      <c r="L49" s="104">
        <v>0</v>
      </c>
      <c r="M49" s="104">
        <v>0</v>
      </c>
      <c r="O49" t="s">
        <v>259</v>
      </c>
      <c r="P49" s="104">
        <v>0</v>
      </c>
      <c r="Q49" s="104">
        <v>0</v>
      </c>
      <c r="R49" s="104">
        <v>0</v>
      </c>
      <c r="T49" t="s">
        <v>259</v>
      </c>
      <c r="U49" s="104">
        <v>0</v>
      </c>
      <c r="V49" s="104">
        <v>0</v>
      </c>
      <c r="W49" s="104">
        <v>0</v>
      </c>
      <c r="Y49" t="s">
        <v>259</v>
      </c>
      <c r="Z49" s="104">
        <v>0</v>
      </c>
      <c r="AA49" s="104">
        <v>0</v>
      </c>
      <c r="AB49" s="104">
        <v>0</v>
      </c>
    </row>
    <row r="50" spans="1:28">
      <c r="A50" t="s">
        <v>261</v>
      </c>
      <c r="B50" s="104">
        <v>0</v>
      </c>
      <c r="C50" s="104">
        <v>0</v>
      </c>
      <c r="E50" t="s">
        <v>260</v>
      </c>
      <c r="F50" s="104">
        <v>0</v>
      </c>
      <c r="G50" s="104">
        <v>0</v>
      </c>
      <c r="H50" s="104">
        <v>0</v>
      </c>
      <c r="J50" t="s">
        <v>260</v>
      </c>
      <c r="K50" s="104">
        <v>0</v>
      </c>
      <c r="L50" s="104">
        <v>0</v>
      </c>
      <c r="M50" s="104">
        <v>0</v>
      </c>
      <c r="O50" t="s">
        <v>260</v>
      </c>
      <c r="P50" s="104">
        <v>0</v>
      </c>
      <c r="Q50" s="104">
        <v>0</v>
      </c>
      <c r="R50" s="104">
        <v>0</v>
      </c>
      <c r="T50" t="s">
        <v>260</v>
      </c>
      <c r="U50" s="104">
        <v>0</v>
      </c>
      <c r="V50" s="104">
        <v>0</v>
      </c>
      <c r="W50" s="104">
        <v>0</v>
      </c>
      <c r="Y50" t="s">
        <v>260</v>
      </c>
      <c r="Z50" s="104">
        <v>0</v>
      </c>
      <c r="AA50" s="104">
        <v>0</v>
      </c>
      <c r="AB50" s="104">
        <v>0</v>
      </c>
    </row>
    <row r="51" spans="1:28">
      <c r="A51" t="s">
        <v>262</v>
      </c>
      <c r="B51" s="104">
        <v>0</v>
      </c>
      <c r="C51" s="104">
        <v>0</v>
      </c>
      <c r="E51" t="s">
        <v>261</v>
      </c>
      <c r="F51" s="104">
        <v>0</v>
      </c>
      <c r="G51" s="104">
        <v>0</v>
      </c>
      <c r="H51" s="104">
        <v>0</v>
      </c>
      <c r="J51" t="s">
        <v>261</v>
      </c>
      <c r="K51" s="104">
        <v>0</v>
      </c>
      <c r="L51" s="104">
        <v>0</v>
      </c>
      <c r="M51" s="104">
        <v>0</v>
      </c>
      <c r="O51" t="s">
        <v>261</v>
      </c>
      <c r="P51" s="104">
        <v>0</v>
      </c>
      <c r="Q51" s="104">
        <v>0</v>
      </c>
      <c r="R51" s="104">
        <v>0</v>
      </c>
      <c r="T51" t="s">
        <v>261</v>
      </c>
      <c r="U51" s="104">
        <v>0</v>
      </c>
      <c r="V51" s="104">
        <v>0</v>
      </c>
      <c r="W51" s="104">
        <v>0</v>
      </c>
      <c r="Y51" t="s">
        <v>261</v>
      </c>
      <c r="Z51" s="104">
        <v>0</v>
      </c>
      <c r="AA51" s="104">
        <v>0</v>
      </c>
      <c r="AB51" s="104">
        <v>0</v>
      </c>
    </row>
    <row r="52" spans="1:28">
      <c r="A52" t="s">
        <v>263</v>
      </c>
      <c r="B52" s="104">
        <v>0</v>
      </c>
      <c r="C52" s="104">
        <v>0</v>
      </c>
      <c r="E52" t="s">
        <v>262</v>
      </c>
      <c r="F52" s="104">
        <v>0</v>
      </c>
      <c r="G52" s="104">
        <v>0</v>
      </c>
      <c r="H52" s="104">
        <v>0</v>
      </c>
      <c r="J52" t="s">
        <v>262</v>
      </c>
      <c r="K52" s="104">
        <v>0</v>
      </c>
      <c r="L52" s="104">
        <v>0</v>
      </c>
      <c r="M52" s="104">
        <v>0</v>
      </c>
      <c r="O52" t="s">
        <v>262</v>
      </c>
      <c r="P52" s="104">
        <v>0</v>
      </c>
      <c r="Q52" s="104">
        <v>0</v>
      </c>
      <c r="R52" s="104">
        <v>0</v>
      </c>
      <c r="T52" t="s">
        <v>262</v>
      </c>
      <c r="U52" s="104">
        <v>0</v>
      </c>
      <c r="V52" s="104">
        <v>0</v>
      </c>
      <c r="W52" s="104">
        <v>0</v>
      </c>
      <c r="Y52" t="s">
        <v>262</v>
      </c>
      <c r="Z52" s="104">
        <v>0</v>
      </c>
      <c r="AA52" s="104">
        <v>0</v>
      </c>
      <c r="AB52" s="104">
        <v>0</v>
      </c>
    </row>
    <row r="53" spans="1:28">
      <c r="A53" t="s">
        <v>264</v>
      </c>
      <c r="B53" s="104">
        <v>0</v>
      </c>
      <c r="C53" s="104">
        <v>0</v>
      </c>
      <c r="E53" t="s">
        <v>263</v>
      </c>
      <c r="F53" s="104">
        <v>0</v>
      </c>
      <c r="G53" s="104">
        <v>0</v>
      </c>
      <c r="H53" s="104">
        <v>0</v>
      </c>
      <c r="J53" t="s">
        <v>263</v>
      </c>
      <c r="K53" s="104">
        <v>0</v>
      </c>
      <c r="L53" s="104">
        <v>0</v>
      </c>
      <c r="M53" s="104">
        <v>0</v>
      </c>
      <c r="O53" t="s">
        <v>263</v>
      </c>
      <c r="P53" s="104">
        <v>0</v>
      </c>
      <c r="Q53" s="104">
        <v>0</v>
      </c>
      <c r="R53" s="104">
        <v>0</v>
      </c>
      <c r="T53" t="s">
        <v>263</v>
      </c>
      <c r="U53" s="104">
        <v>0</v>
      </c>
      <c r="V53" s="104">
        <v>0</v>
      </c>
      <c r="W53" s="104">
        <v>0</v>
      </c>
      <c r="Y53" t="s">
        <v>263</v>
      </c>
      <c r="Z53" s="104">
        <v>0</v>
      </c>
      <c r="AA53" s="104">
        <v>0</v>
      </c>
      <c r="AB53" s="104">
        <v>0</v>
      </c>
    </row>
    <row r="54" spans="1:28">
      <c r="A54" t="s">
        <v>265</v>
      </c>
      <c r="B54" s="104">
        <v>0</v>
      </c>
      <c r="C54" s="104">
        <v>0</v>
      </c>
      <c r="E54" t="s">
        <v>264</v>
      </c>
      <c r="F54" s="104">
        <v>0</v>
      </c>
      <c r="G54" s="104">
        <v>0</v>
      </c>
      <c r="H54" s="104">
        <v>0</v>
      </c>
      <c r="J54" t="s">
        <v>264</v>
      </c>
      <c r="K54" s="104">
        <v>0</v>
      </c>
      <c r="L54" s="104">
        <v>0</v>
      </c>
      <c r="M54" s="104">
        <v>0</v>
      </c>
      <c r="O54" t="s">
        <v>264</v>
      </c>
      <c r="P54" s="104">
        <v>0</v>
      </c>
      <c r="Q54" s="104">
        <v>0</v>
      </c>
      <c r="R54" s="104">
        <v>0</v>
      </c>
      <c r="T54" t="s">
        <v>264</v>
      </c>
      <c r="U54" s="104">
        <v>0</v>
      </c>
      <c r="V54" s="104">
        <v>0</v>
      </c>
      <c r="W54" s="104">
        <v>0</v>
      </c>
      <c r="Y54" t="s">
        <v>264</v>
      </c>
      <c r="Z54" s="104">
        <v>0</v>
      </c>
      <c r="AA54" s="104">
        <v>0</v>
      </c>
      <c r="AB54" s="104">
        <v>0</v>
      </c>
    </row>
    <row r="55" spans="1:28">
      <c r="A55" t="s">
        <v>266</v>
      </c>
      <c r="B55" s="104">
        <v>0</v>
      </c>
      <c r="C55" s="104">
        <v>0</v>
      </c>
      <c r="E55" t="s">
        <v>265</v>
      </c>
      <c r="F55" s="104">
        <v>0</v>
      </c>
      <c r="G55" s="104">
        <v>0</v>
      </c>
      <c r="H55" s="104">
        <v>0</v>
      </c>
      <c r="J55" t="s">
        <v>265</v>
      </c>
      <c r="K55" s="104">
        <v>0</v>
      </c>
      <c r="L55" s="104">
        <v>0</v>
      </c>
      <c r="M55" s="104">
        <v>0</v>
      </c>
      <c r="O55" t="s">
        <v>265</v>
      </c>
      <c r="P55" s="104">
        <v>0</v>
      </c>
      <c r="Q55" s="104">
        <v>0</v>
      </c>
      <c r="R55" s="104">
        <v>0</v>
      </c>
      <c r="T55" t="s">
        <v>265</v>
      </c>
      <c r="U55" s="104">
        <v>0</v>
      </c>
      <c r="V55" s="104">
        <v>0</v>
      </c>
      <c r="W55" s="104">
        <v>0</v>
      </c>
      <c r="Y55" t="s">
        <v>265</v>
      </c>
      <c r="Z55" s="104">
        <v>0</v>
      </c>
      <c r="AA55" s="104">
        <v>0</v>
      </c>
      <c r="AB55" s="104">
        <v>0</v>
      </c>
    </row>
    <row r="56" spans="1:28">
      <c r="A56" t="s">
        <v>267</v>
      </c>
      <c r="B56" s="104">
        <v>0</v>
      </c>
      <c r="C56" s="104">
        <v>0</v>
      </c>
      <c r="E56" t="s">
        <v>266</v>
      </c>
      <c r="F56" s="104">
        <v>0</v>
      </c>
      <c r="G56" s="104">
        <v>0</v>
      </c>
      <c r="H56" s="104">
        <v>0</v>
      </c>
      <c r="J56" t="s">
        <v>266</v>
      </c>
      <c r="K56" s="104">
        <v>0</v>
      </c>
      <c r="L56" s="104">
        <v>0</v>
      </c>
      <c r="M56" s="104">
        <v>0</v>
      </c>
      <c r="O56" t="s">
        <v>266</v>
      </c>
      <c r="P56" s="104">
        <v>0</v>
      </c>
      <c r="Q56" s="104">
        <v>0</v>
      </c>
      <c r="R56" s="104">
        <v>0</v>
      </c>
      <c r="T56" t="s">
        <v>266</v>
      </c>
      <c r="U56" s="104">
        <v>0</v>
      </c>
      <c r="V56" s="104">
        <v>0</v>
      </c>
      <c r="W56" s="104">
        <v>0</v>
      </c>
      <c r="Y56" t="s">
        <v>266</v>
      </c>
      <c r="Z56" s="104">
        <v>0</v>
      </c>
      <c r="AA56" s="104">
        <v>0</v>
      </c>
      <c r="AB56" s="104">
        <v>0</v>
      </c>
    </row>
    <row r="57" spans="1:28">
      <c r="A57" t="s">
        <v>268</v>
      </c>
      <c r="B57" s="104">
        <v>0</v>
      </c>
      <c r="C57" s="104">
        <v>0</v>
      </c>
      <c r="E57" t="s">
        <v>267</v>
      </c>
      <c r="F57" s="104">
        <v>0</v>
      </c>
      <c r="G57" s="104">
        <v>0</v>
      </c>
      <c r="H57" s="104">
        <v>0</v>
      </c>
      <c r="J57" t="s">
        <v>267</v>
      </c>
      <c r="K57" s="104">
        <v>0</v>
      </c>
      <c r="L57" s="104">
        <v>0</v>
      </c>
      <c r="M57" s="104">
        <v>0</v>
      </c>
      <c r="O57" t="s">
        <v>267</v>
      </c>
      <c r="P57" s="104">
        <v>0</v>
      </c>
      <c r="Q57" s="104">
        <v>0</v>
      </c>
      <c r="R57" s="104">
        <v>0</v>
      </c>
      <c r="T57" t="s">
        <v>267</v>
      </c>
      <c r="U57" s="104">
        <v>0</v>
      </c>
      <c r="V57" s="104">
        <v>0</v>
      </c>
      <c r="W57" s="104">
        <v>0</v>
      </c>
      <c r="Y57" t="s">
        <v>267</v>
      </c>
      <c r="Z57" s="104">
        <v>0</v>
      </c>
      <c r="AA57" s="104">
        <v>0</v>
      </c>
      <c r="AB57" s="104">
        <v>0</v>
      </c>
    </row>
    <row r="58" spans="1:28">
      <c r="A58" t="s">
        <v>269</v>
      </c>
      <c r="B58" s="104">
        <v>0</v>
      </c>
      <c r="C58" s="104">
        <v>0</v>
      </c>
      <c r="E58" t="s">
        <v>268</v>
      </c>
      <c r="F58" s="104">
        <v>0</v>
      </c>
      <c r="G58" s="104">
        <v>0</v>
      </c>
      <c r="H58" s="104">
        <v>0</v>
      </c>
      <c r="J58" t="s">
        <v>268</v>
      </c>
      <c r="K58" s="104">
        <v>0</v>
      </c>
      <c r="L58" s="104">
        <v>0</v>
      </c>
      <c r="M58" s="104">
        <v>0</v>
      </c>
      <c r="O58" t="s">
        <v>268</v>
      </c>
      <c r="P58" s="104">
        <v>0</v>
      </c>
      <c r="Q58" s="104">
        <v>0</v>
      </c>
      <c r="R58" s="104">
        <v>0</v>
      </c>
      <c r="T58" t="s">
        <v>268</v>
      </c>
      <c r="U58" s="104">
        <v>0</v>
      </c>
      <c r="V58" s="104">
        <v>0</v>
      </c>
      <c r="W58" s="104">
        <v>0</v>
      </c>
      <c r="Y58" t="s">
        <v>268</v>
      </c>
      <c r="Z58" s="104">
        <v>0</v>
      </c>
      <c r="AA58" s="104">
        <v>0</v>
      </c>
      <c r="AB58" s="104">
        <v>0</v>
      </c>
    </row>
    <row r="59" spans="1:28">
      <c r="A59" t="s">
        <v>270</v>
      </c>
      <c r="B59" s="104">
        <v>0</v>
      </c>
      <c r="C59" s="104">
        <v>0</v>
      </c>
      <c r="E59" t="s">
        <v>269</v>
      </c>
      <c r="F59" s="104">
        <v>0</v>
      </c>
      <c r="G59" s="104">
        <v>0</v>
      </c>
      <c r="H59" s="104">
        <v>0</v>
      </c>
      <c r="J59" t="s">
        <v>269</v>
      </c>
      <c r="K59" s="104">
        <v>0</v>
      </c>
      <c r="L59" s="104">
        <v>0</v>
      </c>
      <c r="M59" s="104">
        <v>0</v>
      </c>
      <c r="O59" t="s">
        <v>269</v>
      </c>
      <c r="P59" s="104">
        <v>0</v>
      </c>
      <c r="Q59" s="104">
        <v>0</v>
      </c>
      <c r="R59" s="104">
        <v>0</v>
      </c>
      <c r="T59" t="s">
        <v>269</v>
      </c>
      <c r="U59" s="104">
        <v>0</v>
      </c>
      <c r="V59" s="104">
        <v>0</v>
      </c>
      <c r="W59" s="104">
        <v>0</v>
      </c>
      <c r="Y59" t="s">
        <v>269</v>
      </c>
      <c r="Z59" s="104">
        <v>0</v>
      </c>
      <c r="AA59" s="104">
        <v>0</v>
      </c>
      <c r="AB59" s="104">
        <v>0</v>
      </c>
    </row>
    <row r="60" spans="1:28">
      <c r="A60" t="s">
        <v>271</v>
      </c>
      <c r="B60" s="104">
        <v>0</v>
      </c>
      <c r="C60" s="104">
        <v>0</v>
      </c>
      <c r="E60" t="s">
        <v>270</v>
      </c>
      <c r="F60" s="104">
        <v>0</v>
      </c>
      <c r="G60" s="104">
        <v>0</v>
      </c>
      <c r="H60" s="104">
        <v>0</v>
      </c>
      <c r="J60" t="s">
        <v>270</v>
      </c>
      <c r="K60" s="104">
        <v>0</v>
      </c>
      <c r="L60" s="104">
        <v>0</v>
      </c>
      <c r="M60" s="104">
        <v>0</v>
      </c>
      <c r="O60" t="s">
        <v>270</v>
      </c>
      <c r="P60" s="104">
        <v>0</v>
      </c>
      <c r="Q60" s="104">
        <v>0</v>
      </c>
      <c r="R60" s="104">
        <v>0</v>
      </c>
      <c r="T60" t="s">
        <v>270</v>
      </c>
      <c r="U60" s="104">
        <v>0</v>
      </c>
      <c r="V60" s="104">
        <v>0</v>
      </c>
      <c r="W60" s="104">
        <v>0</v>
      </c>
      <c r="Y60" t="s">
        <v>270</v>
      </c>
      <c r="Z60" s="104">
        <v>0</v>
      </c>
      <c r="AA60" s="104">
        <v>0</v>
      </c>
      <c r="AB60" s="104">
        <v>0</v>
      </c>
    </row>
    <row r="61" spans="1:28">
      <c r="A61" t="s">
        <v>272</v>
      </c>
      <c r="B61" s="104">
        <v>0</v>
      </c>
      <c r="C61" s="104">
        <v>0</v>
      </c>
      <c r="E61" t="s">
        <v>271</v>
      </c>
      <c r="F61" s="104">
        <v>0</v>
      </c>
      <c r="G61" s="104">
        <v>0</v>
      </c>
      <c r="H61" s="104">
        <v>0</v>
      </c>
      <c r="J61" t="s">
        <v>271</v>
      </c>
      <c r="K61" s="104">
        <v>0</v>
      </c>
      <c r="L61" s="104">
        <v>0</v>
      </c>
      <c r="M61" s="104">
        <v>0</v>
      </c>
      <c r="O61" t="s">
        <v>271</v>
      </c>
      <c r="P61" s="104">
        <v>0</v>
      </c>
      <c r="Q61" s="104">
        <v>0</v>
      </c>
      <c r="R61" s="104">
        <v>0</v>
      </c>
      <c r="T61" t="s">
        <v>271</v>
      </c>
      <c r="U61" s="104">
        <v>0</v>
      </c>
      <c r="V61" s="104">
        <v>0</v>
      </c>
      <c r="W61" s="104">
        <v>0</v>
      </c>
      <c r="Y61" t="s">
        <v>271</v>
      </c>
      <c r="Z61" s="104">
        <v>0</v>
      </c>
      <c r="AA61" s="104">
        <v>0</v>
      </c>
      <c r="AB61" s="104">
        <v>0</v>
      </c>
    </row>
    <row r="62" spans="1:28">
      <c r="A62" t="s">
        <v>273</v>
      </c>
      <c r="B62" s="104">
        <v>0.5</v>
      </c>
      <c r="C62" s="104">
        <v>0.5</v>
      </c>
      <c r="E62" t="s">
        <v>272</v>
      </c>
      <c r="F62" s="104">
        <v>0</v>
      </c>
      <c r="G62" s="104">
        <v>0</v>
      </c>
      <c r="H62" s="104">
        <v>0</v>
      </c>
      <c r="J62" t="s">
        <v>272</v>
      </c>
      <c r="K62" s="104">
        <v>0</v>
      </c>
      <c r="L62" s="104">
        <v>0</v>
      </c>
      <c r="M62" s="104">
        <v>0</v>
      </c>
      <c r="O62" t="s">
        <v>272</v>
      </c>
      <c r="P62" s="104">
        <v>0</v>
      </c>
      <c r="Q62" s="104">
        <v>0</v>
      </c>
      <c r="R62" s="104">
        <v>0</v>
      </c>
      <c r="T62" t="s">
        <v>272</v>
      </c>
      <c r="U62" s="104">
        <v>0</v>
      </c>
      <c r="V62" s="104">
        <v>0</v>
      </c>
      <c r="W62" s="104">
        <v>0</v>
      </c>
      <c r="Y62" t="s">
        <v>272</v>
      </c>
      <c r="Z62" s="104">
        <v>0</v>
      </c>
      <c r="AA62" s="104">
        <v>0</v>
      </c>
      <c r="AB62" s="104">
        <v>0</v>
      </c>
    </row>
    <row r="63" spans="1:28">
      <c r="A63" t="s">
        <v>274</v>
      </c>
      <c r="B63" s="104">
        <v>7</v>
      </c>
      <c r="C63" s="104">
        <v>7</v>
      </c>
      <c r="E63" t="s">
        <v>273</v>
      </c>
      <c r="F63" s="104">
        <v>0</v>
      </c>
      <c r="G63" s="104">
        <v>0</v>
      </c>
      <c r="H63" s="104">
        <v>0</v>
      </c>
      <c r="J63" t="s">
        <v>273</v>
      </c>
      <c r="K63" s="104">
        <v>1</v>
      </c>
      <c r="L63" s="104">
        <v>1</v>
      </c>
      <c r="M63" s="104">
        <v>1</v>
      </c>
      <c r="O63" t="s">
        <v>273</v>
      </c>
      <c r="P63" s="104">
        <v>0</v>
      </c>
      <c r="Q63" s="104">
        <v>0</v>
      </c>
      <c r="R63" s="104">
        <v>0</v>
      </c>
      <c r="T63" t="s">
        <v>273</v>
      </c>
      <c r="U63" s="104">
        <v>0</v>
      </c>
      <c r="V63" s="104">
        <v>0</v>
      </c>
      <c r="W63" s="104">
        <v>0</v>
      </c>
      <c r="Y63" t="s">
        <v>273</v>
      </c>
      <c r="Z63" s="104">
        <v>0</v>
      </c>
      <c r="AA63" s="104">
        <v>0</v>
      </c>
      <c r="AB63" s="104">
        <v>0</v>
      </c>
    </row>
    <row r="64" spans="1:28">
      <c r="A64" t="s">
        <v>275</v>
      </c>
      <c r="E64" t="s">
        <v>274</v>
      </c>
      <c r="F64" s="104">
        <v>0</v>
      </c>
      <c r="G64" s="104">
        <v>0</v>
      </c>
      <c r="H64" s="104">
        <v>0</v>
      </c>
      <c r="J64" t="s">
        <v>274</v>
      </c>
      <c r="K64" s="104">
        <v>0</v>
      </c>
      <c r="L64" s="104">
        <v>0</v>
      </c>
      <c r="M64" s="104">
        <v>0</v>
      </c>
      <c r="O64" t="s">
        <v>274</v>
      </c>
      <c r="P64" s="104">
        <v>0</v>
      </c>
      <c r="Q64" s="104">
        <v>0</v>
      </c>
      <c r="R64" s="104">
        <v>0</v>
      </c>
      <c r="T64" t="s">
        <v>274</v>
      </c>
      <c r="U64" s="104">
        <v>0</v>
      </c>
      <c r="V64" s="104">
        <v>0</v>
      </c>
      <c r="W64" s="104">
        <v>0</v>
      </c>
      <c r="Y64" t="s">
        <v>274</v>
      </c>
      <c r="Z64" s="104">
        <v>0</v>
      </c>
      <c r="AA64" s="104">
        <v>0</v>
      </c>
      <c r="AB64" s="104">
        <v>0</v>
      </c>
    </row>
    <row r="65" spans="1:3">
      <c r="A65" t="s">
        <v>276</v>
      </c>
    </row>
    <row r="66" spans="1:3">
      <c r="A66" t="s">
        <v>277</v>
      </c>
    </row>
    <row r="67" spans="1:3">
      <c r="A67" t="s">
        <v>278</v>
      </c>
    </row>
    <row r="68" spans="1:3">
      <c r="A68" t="s">
        <v>279</v>
      </c>
      <c r="B68" s="104">
        <v>8488</v>
      </c>
      <c r="C68" s="104">
        <v>8488</v>
      </c>
    </row>
    <row r="69" spans="1:3">
      <c r="A69" t="s">
        <v>280</v>
      </c>
      <c r="B69" s="104">
        <v>7488</v>
      </c>
      <c r="C69" s="104">
        <v>7488</v>
      </c>
    </row>
    <row r="70" spans="1:3">
      <c r="A70" t="s">
        <v>281</v>
      </c>
      <c r="B70" s="104">
        <v>6488</v>
      </c>
      <c r="C70" s="104">
        <v>6488</v>
      </c>
    </row>
    <row r="71" spans="1:3">
      <c r="A71" t="s">
        <v>282</v>
      </c>
      <c r="B71" s="104">
        <v>5488</v>
      </c>
      <c r="C71" s="104">
        <v>5488</v>
      </c>
    </row>
    <row r="72" spans="1:3">
      <c r="A72" t="s">
        <v>283</v>
      </c>
      <c r="B72" s="104">
        <v>3118.2222222222222</v>
      </c>
      <c r="C72" s="104">
        <v>3118.2222222222222</v>
      </c>
    </row>
    <row r="73" spans="1:3">
      <c r="A73" t="s">
        <v>284</v>
      </c>
      <c r="B73" s="104">
        <v>4297.0666666666666</v>
      </c>
      <c r="C73" s="104">
        <v>4297.0666666666666</v>
      </c>
    </row>
    <row r="74" spans="1:3">
      <c r="A74" t="s">
        <v>285</v>
      </c>
      <c r="B74" s="104">
        <v>1496</v>
      </c>
      <c r="C74" s="104">
        <v>1496</v>
      </c>
    </row>
    <row r="75" spans="1:3">
      <c r="A75" t="s">
        <v>286</v>
      </c>
      <c r="B75" s="104">
        <v>1090.4444444444446</v>
      </c>
      <c r="C75" s="104">
        <v>1090.4444444444446</v>
      </c>
    </row>
    <row r="76" spans="1:3">
      <c r="A76" t="s">
        <v>287</v>
      </c>
      <c r="B76" s="104">
        <v>2672.7619047619046</v>
      </c>
      <c r="C76" s="104">
        <v>2672.7619047619046</v>
      </c>
    </row>
    <row r="77" spans="1:3">
      <c r="A77" t="s">
        <v>288</v>
      </c>
      <c r="B77" s="104">
        <v>3683.2</v>
      </c>
      <c r="C77" s="104">
        <v>3683.2</v>
      </c>
    </row>
    <row r="78" spans="1:3">
      <c r="A78" t="s">
        <v>289</v>
      </c>
      <c r="B78" s="104">
        <v>1282.2857142857142</v>
      </c>
      <c r="C78" s="104">
        <v>1282.2857142857142</v>
      </c>
    </row>
    <row r="79" spans="1:3">
      <c r="A79" t="s">
        <v>290</v>
      </c>
      <c r="B79" s="104">
        <v>1908.2777777777781</v>
      </c>
      <c r="C79" s="104">
        <v>1908.2777777777781</v>
      </c>
    </row>
    <row r="80" spans="1:3">
      <c r="A80" t="s">
        <v>291</v>
      </c>
      <c r="B80" s="104">
        <v>0</v>
      </c>
      <c r="C80" s="104">
        <v>0</v>
      </c>
    </row>
    <row r="81" spans="1:3">
      <c r="A81" t="s">
        <v>292</v>
      </c>
      <c r="B81" s="104">
        <v>0</v>
      </c>
      <c r="C81" s="104">
        <v>0</v>
      </c>
    </row>
    <row r="82" spans="1:3">
      <c r="A82" t="s">
        <v>293</v>
      </c>
      <c r="B82" s="104">
        <v>0</v>
      </c>
      <c r="C82" s="104">
        <v>0</v>
      </c>
    </row>
    <row r="83" spans="1:3">
      <c r="A83" t="s">
        <v>294</v>
      </c>
      <c r="B83" s="104">
        <v>0</v>
      </c>
      <c r="C83" s="104">
        <v>0</v>
      </c>
    </row>
    <row r="84" spans="1:3">
      <c r="A84" t="s">
        <v>5</v>
      </c>
      <c r="B84" s="104">
        <v>2.8095238095238098</v>
      </c>
      <c r="C84" s="104">
        <v>2.8095238095238098</v>
      </c>
    </row>
    <row r="85" spans="1:3">
      <c r="A85" t="s">
        <v>295</v>
      </c>
      <c r="B85" s="104">
        <v>4.173770158730159</v>
      </c>
      <c r="C85" s="104">
        <v>4.173770158730159</v>
      </c>
    </row>
    <row r="86" spans="1:3">
      <c r="A86" t="s">
        <v>296</v>
      </c>
      <c r="B86" s="104">
        <v>5.0151812610229278</v>
      </c>
      <c r="C86" s="104">
        <v>5.0151812610229278</v>
      </c>
    </row>
    <row r="87" spans="1:3">
      <c r="A87" t="s">
        <v>297</v>
      </c>
      <c r="B87" s="104">
        <v>7.0012133333333342</v>
      </c>
      <c r="C87" s="104">
        <v>7.0012133333333342</v>
      </c>
    </row>
    <row r="88" spans="1:3">
      <c r="A88" t="s">
        <v>298</v>
      </c>
      <c r="B88" s="104">
        <v>3.2</v>
      </c>
      <c r="C88" s="104">
        <v>3.2</v>
      </c>
    </row>
    <row r="89" spans="1:3">
      <c r="A89" t="s">
        <v>299</v>
      </c>
      <c r="B89" s="104">
        <v>6.5</v>
      </c>
      <c r="C89" s="104">
        <v>6.5</v>
      </c>
    </row>
    <row r="90" spans="1:3">
      <c r="A90" t="s">
        <v>300</v>
      </c>
      <c r="B90" s="104">
        <v>1.1111111111111112</v>
      </c>
      <c r="C90" s="104">
        <v>1.1111111111111112</v>
      </c>
    </row>
  </sheetData>
  <conditionalFormatting sqref="B1:C1048576 F1:H1048576 K1:M1048576 P1:R1048576 U1:W1048576 Z1:AB1048576">
    <cfRule type="cellIs" dxfId="48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9094-F956-4635-9506-6786149C0032}">
  <dimension ref="A1:CP39"/>
  <sheetViews>
    <sheetView tabSelected="1" workbookViewId="0">
      <pane xSplit="3" topLeftCell="CJ1" activePane="topRight" state="frozen"/>
      <selection pane="topRight" activeCell="CO3" sqref="CO3:CP20"/>
    </sheetView>
  </sheetViews>
  <sheetFormatPr defaultRowHeight="15"/>
  <sheetData>
    <row r="1" spans="1:94">
      <c r="A1" s="57"/>
      <c r="M1" t="s">
        <v>301</v>
      </c>
      <c r="T1" t="s">
        <v>301</v>
      </c>
    </row>
    <row r="2" spans="1:94">
      <c r="B2" s="2" t="s">
        <v>111</v>
      </c>
      <c r="C2" s="7" t="s">
        <v>302</v>
      </c>
      <c r="D2" s="53" t="s">
        <v>303</v>
      </c>
      <c r="E2" s="53" t="s">
        <v>304</v>
      </c>
      <c r="F2" s="53" t="s">
        <v>305</v>
      </c>
      <c r="G2" s="53" t="s">
        <v>306</v>
      </c>
      <c r="H2" s="53" t="s">
        <v>307</v>
      </c>
      <c r="I2" s="53" t="s">
        <v>308</v>
      </c>
      <c r="J2" s="53" t="s">
        <v>309</v>
      </c>
      <c r="K2" s="53" t="s">
        <v>310</v>
      </c>
      <c r="L2" s="53" t="s">
        <v>311</v>
      </c>
      <c r="M2" s="53" t="s">
        <v>312</v>
      </c>
      <c r="N2" s="53" t="s">
        <v>313</v>
      </c>
      <c r="O2" s="53" t="s">
        <v>314</v>
      </c>
      <c r="P2" s="53" t="s">
        <v>315</v>
      </c>
      <c r="Q2" s="53" t="s">
        <v>316</v>
      </c>
      <c r="R2" s="53" t="s">
        <v>317</v>
      </c>
      <c r="S2" s="53" t="s">
        <v>318</v>
      </c>
      <c r="T2" s="53" t="s">
        <v>319</v>
      </c>
      <c r="U2" s="53" t="s">
        <v>320</v>
      </c>
      <c r="V2" s="26" t="s">
        <v>321</v>
      </c>
      <c r="W2" s="26" t="s">
        <v>322</v>
      </c>
      <c r="X2" s="26" t="s">
        <v>323</v>
      </c>
      <c r="Y2" s="26" t="s">
        <v>324</v>
      </c>
      <c r="Z2" s="26" t="s">
        <v>325</v>
      </c>
      <c r="AA2" s="26" t="s">
        <v>326</v>
      </c>
      <c r="AB2" s="26" t="s">
        <v>327</v>
      </c>
      <c r="AC2" s="26" t="s">
        <v>328</v>
      </c>
      <c r="AD2" s="26" t="s">
        <v>329</v>
      </c>
      <c r="AE2" s="26" t="s">
        <v>330</v>
      </c>
      <c r="AF2" s="26" t="s">
        <v>331</v>
      </c>
      <c r="AG2" s="20" t="s">
        <v>332</v>
      </c>
      <c r="AH2" s="20" t="s">
        <v>333</v>
      </c>
      <c r="AI2" s="20" t="s">
        <v>334</v>
      </c>
      <c r="AJ2" s="26" t="s">
        <v>335</v>
      </c>
      <c r="AK2" s="20" t="s">
        <v>336</v>
      </c>
      <c r="AL2" s="20" t="s">
        <v>337</v>
      </c>
      <c r="AM2" s="20" t="s">
        <v>338</v>
      </c>
      <c r="AN2" s="20" t="s">
        <v>339</v>
      </c>
      <c r="AO2" s="20" t="s">
        <v>340</v>
      </c>
      <c r="AP2" s="20" t="s">
        <v>341</v>
      </c>
      <c r="AQ2" s="20" t="s">
        <v>342</v>
      </c>
      <c r="AR2" s="20" t="s">
        <v>343</v>
      </c>
      <c r="AS2" s="20" t="s">
        <v>344</v>
      </c>
      <c r="AT2" s="20" t="s">
        <v>345</v>
      </c>
      <c r="AU2" s="20" t="s">
        <v>346</v>
      </c>
      <c r="AV2" s="43" t="s">
        <v>347</v>
      </c>
      <c r="AW2" s="43" t="s">
        <v>348</v>
      </c>
      <c r="AX2" s="7" t="s">
        <v>349</v>
      </c>
      <c r="AY2" s="43" t="s">
        <v>350</v>
      </c>
      <c r="AZ2" s="43" t="s">
        <v>351</v>
      </c>
      <c r="BA2" s="43" t="s">
        <v>352</v>
      </c>
      <c r="BB2" s="43" t="s">
        <v>353</v>
      </c>
      <c r="BC2" s="43" t="s">
        <v>354</v>
      </c>
      <c r="BD2" s="49" t="s">
        <v>355</v>
      </c>
      <c r="BE2" s="43" t="s">
        <v>356</v>
      </c>
      <c r="BF2" s="43" t="s">
        <v>357</v>
      </c>
      <c r="BG2" s="7" t="s">
        <v>358</v>
      </c>
      <c r="BH2" s="7" t="s">
        <v>359</v>
      </c>
      <c r="BI2" s="43" t="s">
        <v>360</v>
      </c>
      <c r="BJ2" s="43" t="s">
        <v>361</v>
      </c>
      <c r="BK2" s="7" t="s">
        <v>362</v>
      </c>
      <c r="BL2" s="43" t="s">
        <v>363</v>
      </c>
      <c r="BM2" s="45" t="s">
        <v>364</v>
      </c>
      <c r="BN2" s="45" t="s">
        <v>365</v>
      </c>
      <c r="BO2" s="45" t="s">
        <v>366</v>
      </c>
      <c r="BP2" s="45" t="s">
        <v>367</v>
      </c>
      <c r="BQ2" s="25" t="s">
        <v>368</v>
      </c>
      <c r="BR2" s="25" t="s">
        <v>369</v>
      </c>
      <c r="BS2" s="25" t="s">
        <v>370</v>
      </c>
      <c r="BT2" s="25" t="s">
        <v>371</v>
      </c>
      <c r="BU2" s="2" t="s">
        <v>181</v>
      </c>
      <c r="BV2" s="25" t="s">
        <v>372</v>
      </c>
      <c r="BW2" s="25" t="s">
        <v>373</v>
      </c>
      <c r="BX2" s="25" t="s">
        <v>374</v>
      </c>
      <c r="BY2" s="25" t="s">
        <v>375</v>
      </c>
      <c r="BZ2" s="2" t="s">
        <v>181</v>
      </c>
      <c r="CA2" s="25" t="s">
        <v>376</v>
      </c>
      <c r="CB2" s="25" t="s">
        <v>377</v>
      </c>
      <c r="CC2" s="25" t="s">
        <v>378</v>
      </c>
      <c r="CD2" s="25" t="s">
        <v>379</v>
      </c>
      <c r="CE2" s="2" t="s">
        <v>181</v>
      </c>
      <c r="CF2" s="13" t="s">
        <v>380</v>
      </c>
      <c r="CG2" s="25" t="s">
        <v>381</v>
      </c>
      <c r="CH2" s="8" t="s">
        <v>382</v>
      </c>
      <c r="CI2" s="40" t="s">
        <v>383</v>
      </c>
      <c r="CJ2" s="40" t="s">
        <v>384</v>
      </c>
      <c r="CK2" s="8" t="s">
        <v>385</v>
      </c>
      <c r="CL2" s="8" t="s">
        <v>386</v>
      </c>
      <c r="CM2" s="2" t="s">
        <v>181</v>
      </c>
      <c r="CO2" t="s">
        <v>387</v>
      </c>
      <c r="CP2" t="s">
        <v>388</v>
      </c>
    </row>
    <row r="3" spans="1:94">
      <c r="B3" s="29">
        <v>28</v>
      </c>
      <c r="C3" s="30" t="s">
        <v>78</v>
      </c>
      <c r="D3" s="59">
        <v>5</v>
      </c>
      <c r="E3" s="59">
        <f>17/D3</f>
        <v>3.4</v>
      </c>
      <c r="F3" s="59">
        <v>1600</v>
      </c>
      <c r="G3" s="59">
        <f>(2.5-((M3*2.5)/2))</f>
        <v>1.5</v>
      </c>
      <c r="H3" s="59">
        <v>3</v>
      </c>
      <c r="I3" s="59">
        <v>3</v>
      </c>
      <c r="J3" s="59">
        <v>2.5</v>
      </c>
      <c r="K3" s="59">
        <v>1.5</v>
      </c>
      <c r="L3" s="59">
        <v>1</v>
      </c>
      <c r="M3" s="59">
        <f>2.4 / 3</f>
        <v>0.79999999999999993</v>
      </c>
      <c r="N3" s="59">
        <f>1-(1*(T3/2))</f>
        <v>0.95</v>
      </c>
      <c r="O3" s="59">
        <v>3600</v>
      </c>
      <c r="P3" s="59">
        <v>2700</v>
      </c>
      <c r="Q3" s="59">
        <v>1800</v>
      </c>
      <c r="R3" s="59">
        <v>1800</v>
      </c>
      <c r="S3" s="60">
        <v>3600</v>
      </c>
      <c r="T3" s="60">
        <v>0.1</v>
      </c>
      <c r="U3" s="60">
        <v>0</v>
      </c>
      <c r="V3" s="32">
        <f>5000/1400</f>
        <v>3.5714285714285716</v>
      </c>
      <c r="W3" s="32">
        <v>10</v>
      </c>
      <c r="X3" s="32">
        <f>(5 + 2 + 3)/3</f>
        <v>3.3333333333333335</v>
      </c>
      <c r="Y3" s="32">
        <v>2</v>
      </c>
      <c r="Z3" s="32">
        <v>1</v>
      </c>
      <c r="AA3" s="32">
        <v>0</v>
      </c>
      <c r="AB3" s="32">
        <v>1</v>
      </c>
      <c r="AC3" s="32">
        <v>0</v>
      </c>
      <c r="AD3" s="32">
        <v>6</v>
      </c>
      <c r="AE3" s="32">
        <v>1</v>
      </c>
      <c r="AF3" s="32">
        <v>1</v>
      </c>
      <c r="AG3" s="61">
        <v>0</v>
      </c>
      <c r="AH3" s="61">
        <v>5</v>
      </c>
      <c r="AI3" s="61">
        <v>0</v>
      </c>
      <c r="AJ3" s="62">
        <f>(BH3/5+1)*AI3</f>
        <v>0</v>
      </c>
      <c r="AK3" s="61">
        <v>0</v>
      </c>
      <c r="AL3" s="61">
        <v>0</v>
      </c>
      <c r="AM3" s="61">
        <v>0</v>
      </c>
      <c r="AN3" s="61">
        <v>0</v>
      </c>
      <c r="AO3" s="61">
        <v>0</v>
      </c>
      <c r="AP3" s="61">
        <v>0</v>
      </c>
      <c r="AQ3" s="61">
        <v>0</v>
      </c>
      <c r="AR3" s="61">
        <v>0</v>
      </c>
      <c r="AS3" s="61">
        <v>0</v>
      </c>
      <c r="AT3" s="61">
        <v>0</v>
      </c>
      <c r="AU3" s="61">
        <v>0</v>
      </c>
      <c r="AV3" s="63">
        <v>0</v>
      </c>
      <c r="AW3" s="63">
        <v>0</v>
      </c>
      <c r="AX3" s="64">
        <v>0</v>
      </c>
      <c r="AY3" s="63">
        <v>0</v>
      </c>
      <c r="AZ3" s="63">
        <v>0</v>
      </c>
      <c r="BA3" s="63">
        <v>0</v>
      </c>
      <c r="BB3" s="63">
        <v>0</v>
      </c>
      <c r="BC3" s="63">
        <v>0</v>
      </c>
      <c r="BD3" s="65">
        <v>0</v>
      </c>
      <c r="BE3" s="63">
        <v>0</v>
      </c>
      <c r="BF3" s="64">
        <v>1</v>
      </c>
      <c r="BG3" s="64">
        <v>0</v>
      </c>
      <c r="BH3" s="64">
        <v>0</v>
      </c>
      <c r="BI3" s="63">
        <v>0</v>
      </c>
      <c r="BJ3" s="63">
        <v>1</v>
      </c>
      <c r="BK3" s="64">
        <v>3</v>
      </c>
      <c r="BL3" s="63">
        <v>0</v>
      </c>
      <c r="BM3" s="66">
        <f>(((H3*G3*F3)+O3+(U3/4))/1500)+((AO3*(AP3/3))/5)</f>
        <v>7.2</v>
      </c>
      <c r="BN3" s="58">
        <f>(((H3*G3*F3)+P3+(U3/4))/1500)+((AO3*(AP3/5))/5)</f>
        <v>6.6</v>
      </c>
      <c r="BO3" s="58">
        <f>((((H3*(W3/7))*G3*F3)+Q3+(U3/4))/1500)+((AO3*(AP3/7))/5)</f>
        <v>8.0571428571428569</v>
      </c>
      <c r="BP3" s="58">
        <f>((((H3*(W3/9))*G3*F3)+R3+(U3/4))/1200)+((AO3*(AP3/9))/5)</f>
        <v>8.1666666666666661</v>
      </c>
      <c r="BQ3" s="58">
        <f>(((I3*G3*F3)+(((G3*I3+N3)/D3)*O3))/(1.25-((I3-H3)/4))+(U3/4))/1300</f>
        <v>6.845538461538462</v>
      </c>
      <c r="BR3" s="58">
        <f>(((J3*G3*F3)+(((G3*J3+N3)/D3)*(P3)))/(1.25-((J3-H3)/4))+(U3/4))/800</f>
        <v>7.7618181818181817</v>
      </c>
      <c r="BS3" s="58">
        <f>(((K3*G3*F3)+(((G3*K3+N3)/D3)*(Q3)))/(1.25-((K3-H3)/4))+(U3/4))/400</f>
        <v>7.3107692307692309</v>
      </c>
      <c r="BT3" s="58">
        <f>(((L3*G3*F3)+(((G3*L3+N3)/D3)*(R3)))/(1.25-((L3-H3)/4))+(U3/4))/250</f>
        <v>7.5017142857142849</v>
      </c>
      <c r="BU3" s="67"/>
      <c r="BV3" s="58">
        <f>((BQ3/2)*V3)/2.5</f>
        <v>4.8896703296703299</v>
      </c>
      <c r="BW3" s="58">
        <f>((BR3)*(V3/2))/3.5</f>
        <v>3.9601113172541744</v>
      </c>
      <c r="BX3" s="58">
        <f>((BS3*1.5)*(V3/3))/3</f>
        <v>4.3516483516483513</v>
      </c>
      <c r="BY3" s="58">
        <f>((BT3*2)*(W3/4))/5</f>
        <v>7.501714285714284</v>
      </c>
      <c r="BZ3" s="67"/>
      <c r="CA3" s="58">
        <f>(AJ3*BV3)/3</f>
        <v>0</v>
      </c>
      <c r="CB3" s="58">
        <f>(AJ3*BW3)/2.7</f>
        <v>0</v>
      </c>
      <c r="CC3" s="58">
        <f>(AJ3*BX3)/2.5</f>
        <v>0</v>
      </c>
      <c r="CD3" s="58">
        <f>(AJ3*BY3)/1.9</f>
        <v>0</v>
      </c>
      <c r="CE3" s="67"/>
      <c r="CF3" s="68">
        <f t="shared" ref="CF3:CF19" si="0">SUM(AJ3*4, AH3*2, V3*2, BA3*2)/6</f>
        <v>2.8571428571428572</v>
      </c>
      <c r="CG3" s="69">
        <f>SUM(AVERAGE(Y3, (AVERAGE(BV3, BW3))/1.5)*4, V3*4, W3*2, CF3*2)/9</f>
        <v>5.5444282701425562</v>
      </c>
      <c r="CH3" s="70">
        <f>SUM(AA3*5, (AVERAGE(BV3, BW3, BX3, BY3)/2)*2, BA3*2)/6</f>
        <v>0.86263101184529756</v>
      </c>
      <c r="CI3" s="71">
        <f t="shared" ref="CI3:CI16" si="1">IF(Z3&lt;6, (Z3/2)*S3/2000, IF(Z3&lt;7, (Z3/2)*(AVERAGE(BQ3, BR3, BS3, BT3)/2.5), (Z3/2)*(AVERAGE(BQ3, BR3, BS3, BT3)/2.5)+(S3/2000)))</f>
        <v>0.9</v>
      </c>
      <c r="CJ3" s="72">
        <f>SUM(AK3*4, AN3*2/(AM3+1), AL3*4)/7.5</f>
        <v>0</v>
      </c>
      <c r="CK3" s="68">
        <f>SUM(AN3*3, AO3*2, AP3*2, AQ3*2, AK3*3)/8</f>
        <v>0</v>
      </c>
      <c r="CL3" s="68">
        <f>(SUM(Y3*2, BH3*1, AS3*3)/4.5)*1.5</f>
        <v>1.3333333333333333</v>
      </c>
      <c r="CM3" s="67"/>
      <c r="CO3" t="s">
        <v>389</v>
      </c>
      <c r="CP3" t="s">
        <v>389</v>
      </c>
    </row>
    <row r="4" spans="1:94">
      <c r="B4" s="29">
        <v>44</v>
      </c>
      <c r="C4" s="30" t="s">
        <v>10</v>
      </c>
      <c r="D4" s="59">
        <v>3</v>
      </c>
      <c r="E4" s="59">
        <f>9/D4</f>
        <v>3</v>
      </c>
      <c r="F4" s="59">
        <v>4000</v>
      </c>
      <c r="G4" s="59">
        <f>1.2</f>
        <v>1.2</v>
      </c>
      <c r="H4" s="59">
        <v>1</v>
      </c>
      <c r="I4" s="59">
        <v>1</v>
      </c>
      <c r="J4" s="59">
        <v>0.7</v>
      </c>
      <c r="K4" s="59">
        <v>0.5</v>
      </c>
      <c r="L4" s="59">
        <v>0.4</v>
      </c>
      <c r="M4" s="59">
        <f>12 / 3</f>
        <v>4</v>
      </c>
      <c r="N4" s="59">
        <f>0-(0*(T4/2))</f>
        <v>0</v>
      </c>
      <c r="O4" s="59">
        <v>2000</v>
      </c>
      <c r="P4" s="59">
        <v>2000</v>
      </c>
      <c r="Q4" s="59">
        <v>2000</v>
      </c>
      <c r="R4" s="59">
        <v>2000</v>
      </c>
      <c r="S4" s="60">
        <v>2000</v>
      </c>
      <c r="T4" s="60">
        <v>0.1</v>
      </c>
      <c r="U4" s="60">
        <v>0</v>
      </c>
      <c r="V4" s="32">
        <f>6200/1400</f>
        <v>4.4285714285714288</v>
      </c>
      <c r="W4" s="32">
        <v>9</v>
      </c>
      <c r="X4" s="32">
        <v>0</v>
      </c>
      <c r="Y4" s="32">
        <v>0</v>
      </c>
      <c r="Z4" s="32">
        <v>0</v>
      </c>
      <c r="AA4" s="32">
        <f>(3 + 2 + 8 + 0)/4</f>
        <v>3.25</v>
      </c>
      <c r="AB4" s="32">
        <v>0</v>
      </c>
      <c r="AC4" s="32">
        <v>1</v>
      </c>
      <c r="AD4" s="32">
        <v>7</v>
      </c>
      <c r="AE4" s="32">
        <v>0</v>
      </c>
      <c r="AF4" s="32">
        <v>0</v>
      </c>
      <c r="AG4" s="61">
        <v>0</v>
      </c>
      <c r="AH4" s="61">
        <v>9</v>
      </c>
      <c r="AI4" s="61">
        <v>0</v>
      </c>
      <c r="AJ4" s="62">
        <f>(BH4/5+1)*AI4</f>
        <v>0</v>
      </c>
      <c r="AK4" s="61">
        <v>0</v>
      </c>
      <c r="AL4" s="61">
        <v>0</v>
      </c>
      <c r="AM4" s="61">
        <v>0</v>
      </c>
      <c r="AN4" s="61">
        <v>0</v>
      </c>
      <c r="AO4" s="61">
        <v>0</v>
      </c>
      <c r="AP4" s="61">
        <v>0</v>
      </c>
      <c r="AQ4" s="61">
        <v>0</v>
      </c>
      <c r="AR4" s="61">
        <v>0</v>
      </c>
      <c r="AS4" s="61">
        <v>0</v>
      </c>
      <c r="AT4" s="61">
        <v>0</v>
      </c>
      <c r="AU4" s="61">
        <v>2.5</v>
      </c>
      <c r="AV4" s="63">
        <v>0</v>
      </c>
      <c r="AW4" s="63">
        <v>0</v>
      </c>
      <c r="AX4" s="64">
        <v>0</v>
      </c>
      <c r="AY4" s="63">
        <v>0</v>
      </c>
      <c r="AZ4" s="63">
        <v>0</v>
      </c>
      <c r="BA4" s="63">
        <v>0</v>
      </c>
      <c r="BB4" s="63">
        <v>0</v>
      </c>
      <c r="BC4" s="63">
        <v>0</v>
      </c>
      <c r="BD4" s="65">
        <v>4</v>
      </c>
      <c r="BE4" s="63">
        <v>0</v>
      </c>
      <c r="BF4" s="64">
        <v>0</v>
      </c>
      <c r="BG4" s="64">
        <v>0</v>
      </c>
      <c r="BH4" s="64">
        <v>0</v>
      </c>
      <c r="BI4" s="63">
        <v>0</v>
      </c>
      <c r="BJ4" s="63">
        <v>0</v>
      </c>
      <c r="BK4" s="64">
        <v>5</v>
      </c>
      <c r="BL4" s="63">
        <v>0</v>
      </c>
      <c r="BM4" s="66">
        <f t="shared" ref="BM3:BM14" si="2">(((H4*G4*F4)+O4+(U4/4))/1500)+((AO4*(AP4/3))/5)</f>
        <v>4.5333333333333332</v>
      </c>
      <c r="BN4" s="58">
        <f t="shared" ref="BN4:BN14" si="3">(((H4*G4*F4)+P4+(U4/4))/1500)+((AO4*(AP4/5))/5)</f>
        <v>4.5333333333333332</v>
      </c>
      <c r="BO4" s="58">
        <f t="shared" ref="BO4:BO14" si="4">((((H4*(W4/7))*G4*F4)+Q4+(U4/4))/1500)+((AO4*(AP4/7))/5)</f>
        <v>5.4476190476190478</v>
      </c>
      <c r="BP4" s="58">
        <f t="shared" ref="BP4:BP14" si="5">((((H4*(W4/9))*G4*F4)+R4+(U4/4))/1200)+((AO4*(AP4/9))/5)</f>
        <v>5.666666666666667</v>
      </c>
      <c r="BQ4" s="58">
        <f t="shared" ref="BQ4:BQ20" si="6">(((I4*G4*F4)+(((G4*I4+N4)/D4)*O4))/(1.25-((I4-H4)/4))+(U4/4))/1300</f>
        <v>3.4461538461538463</v>
      </c>
      <c r="BR4" s="58">
        <f t="shared" ref="BR4:BR20" si="7">(((J4*G4*F4)+(((G4*J4+N4)/D4)*(P4)))/(1.25-((J4-H4)/4))+(U4/4))/800</f>
        <v>3.6981132075471699</v>
      </c>
      <c r="BS4" s="58">
        <f t="shared" ref="BS4:BS20" si="8">(((K4*G4*F4)+(((G4*K4+N4)/D4)*(Q4)))/(1.25-((K4-H4)/4))+(U4/4))/400</f>
        <v>5.0909090909090908</v>
      </c>
      <c r="BT4" s="58">
        <f t="shared" ref="BT4:BT20" si="9">(((L4*G4*F4)+(((G4*L4+N4)/D4)*(R4)))/(1.25-((L4-H4)/4))+(U4/4))/250</f>
        <v>6.4</v>
      </c>
      <c r="BU4" s="67"/>
      <c r="BV4" s="58">
        <f t="shared" ref="BV4:BV20" si="10">((BQ4/2)*V4)/2.5</f>
        <v>3.0523076923076924</v>
      </c>
      <c r="BW4" s="58">
        <f t="shared" ref="BW4:BW20" si="11">((BR4)*(V4/2))/3.5</f>
        <v>2.3396226415094339</v>
      </c>
      <c r="BX4" s="58">
        <f t="shared" ref="BX4:BX20" si="12">((BS4*1.5)*(V4/3))/3</f>
        <v>3.7575757575757578</v>
      </c>
      <c r="BY4" s="58">
        <f t="shared" ref="BY4:BY20" si="13">((BT4*2)*(W4/4))/5</f>
        <v>5.76</v>
      </c>
      <c r="BZ4" s="67"/>
      <c r="CA4" s="58">
        <f t="shared" ref="CA4:CA20" si="14">(AJ4*BV4)/3</f>
        <v>0</v>
      </c>
      <c r="CB4" s="58">
        <f t="shared" ref="CB4:CB20" si="15">(AJ4*BW4)/2.7</f>
        <v>0</v>
      </c>
      <c r="CC4" s="58">
        <f t="shared" ref="CC4:CC20" si="16">(AJ4*BX4)/2.5</f>
        <v>0</v>
      </c>
      <c r="CD4" s="58">
        <f t="shared" ref="CD4:CD20" si="17">(AJ4*BY4)/1.9</f>
        <v>0</v>
      </c>
      <c r="CE4" s="67"/>
      <c r="CF4" s="68">
        <f t="shared" si="0"/>
        <v>4.4761904761904763</v>
      </c>
      <c r="CG4" s="69">
        <f t="shared" ref="CG4:CG20" si="18">SUM(AVERAGE(Y4, (AVERAGE(BV4, BW4))/1.5)*4, V4*4, W4*2, CF4*2)/9</f>
        <v>5.3623652099123795</v>
      </c>
      <c r="CH4" s="70">
        <f t="shared" ref="CH4:CH20" si="19">SUM(AA4*5, (AVERAGE(BV4, BW4, BX4, BY4)/2)*2, BA4*2)/6</f>
        <v>3.329562753808037</v>
      </c>
      <c r="CI4" s="71">
        <f t="shared" si="1"/>
        <v>0</v>
      </c>
      <c r="CJ4" s="72">
        <f>SUM(AK4*4, AN4*2/(AM4+1), AL4*4)/7.5</f>
        <v>0</v>
      </c>
      <c r="CK4" s="68">
        <f>SUM(AN4*3, AO4*2, AP4*2, AQ4*2, AK4*3)/8</f>
        <v>0</v>
      </c>
      <c r="CL4" s="68">
        <f t="shared" ref="CL4:CL20" si="20">(SUM(Y4*2, BH4*1, AS4*3)/4.5)*1.5</f>
        <v>0</v>
      </c>
      <c r="CM4" s="67"/>
      <c r="CO4" t="s">
        <v>389</v>
      </c>
      <c r="CP4" t="s">
        <v>389</v>
      </c>
    </row>
    <row r="5" spans="1:94">
      <c r="B5" s="29">
        <v>14</v>
      </c>
      <c r="C5" s="37" t="s">
        <v>88</v>
      </c>
      <c r="D5" s="59">
        <v>16</v>
      </c>
      <c r="E5" s="59">
        <f>36/D5</f>
        <v>2.25</v>
      </c>
      <c r="F5" s="59">
        <v>600</v>
      </c>
      <c r="G5" s="59">
        <f>(3.3-((M5*3.3)/2))</f>
        <v>1.8699999999999999</v>
      </c>
      <c r="H5" s="59">
        <v>5</v>
      </c>
      <c r="I5" s="59">
        <v>5</v>
      </c>
      <c r="J5" s="59">
        <v>4</v>
      </c>
      <c r="K5" s="59">
        <v>2</v>
      </c>
      <c r="L5" s="59">
        <v>0.8</v>
      </c>
      <c r="M5" s="59">
        <f>2.6 / 3</f>
        <v>0.8666666666666667</v>
      </c>
      <c r="N5" s="59">
        <f>16-(16*(T5/2))</f>
        <v>8</v>
      </c>
      <c r="O5" s="59">
        <v>8640</v>
      </c>
      <c r="P5" s="59">
        <v>6480</v>
      </c>
      <c r="Q5" s="59">
        <v>4320</v>
      </c>
      <c r="R5" s="59">
        <v>2160</v>
      </c>
      <c r="S5" s="59">
        <v>8640</v>
      </c>
      <c r="T5" s="59">
        <v>1</v>
      </c>
      <c r="U5" s="59">
        <v>0</v>
      </c>
      <c r="V5" s="32">
        <f>6000/1400</f>
        <v>4.2857142857142856</v>
      </c>
      <c r="W5" s="32">
        <v>8</v>
      </c>
      <c r="X5" s="32">
        <v>0</v>
      </c>
      <c r="Y5" s="32">
        <v>3</v>
      </c>
      <c r="Z5" s="32">
        <v>0</v>
      </c>
      <c r="AA5" s="32">
        <v>0</v>
      </c>
      <c r="AB5" s="32">
        <v>0</v>
      </c>
      <c r="AC5" s="32">
        <v>0</v>
      </c>
      <c r="AD5" s="32">
        <v>6</v>
      </c>
      <c r="AE5" s="32">
        <v>0</v>
      </c>
      <c r="AF5" s="32">
        <v>0</v>
      </c>
      <c r="AG5" s="61">
        <v>0</v>
      </c>
      <c r="AH5" s="73">
        <v>5</v>
      </c>
      <c r="AI5" s="73">
        <v>0</v>
      </c>
      <c r="AJ5" s="62">
        <f>(BH5/5+1)*AI5</f>
        <v>0</v>
      </c>
      <c r="AK5" s="73">
        <v>0</v>
      </c>
      <c r="AL5" s="73">
        <v>0</v>
      </c>
      <c r="AM5" s="73">
        <v>0</v>
      </c>
      <c r="AN5" s="73">
        <v>0</v>
      </c>
      <c r="AO5" s="73">
        <v>0</v>
      </c>
      <c r="AP5" s="73">
        <v>0</v>
      </c>
      <c r="AQ5" s="73">
        <v>0</v>
      </c>
      <c r="AR5" s="73">
        <v>0</v>
      </c>
      <c r="AS5" s="73">
        <v>3</v>
      </c>
      <c r="AT5" s="73">
        <v>0</v>
      </c>
      <c r="AU5" s="73">
        <v>0</v>
      </c>
      <c r="AV5" s="63">
        <v>0</v>
      </c>
      <c r="AW5" s="63">
        <v>0</v>
      </c>
      <c r="AX5" s="64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5">
        <v>0</v>
      </c>
      <c r="BE5" s="63">
        <v>0</v>
      </c>
      <c r="BF5" s="74">
        <v>0</v>
      </c>
      <c r="BG5" s="64">
        <v>0</v>
      </c>
      <c r="BH5" s="74">
        <v>0</v>
      </c>
      <c r="BI5" s="63">
        <v>0</v>
      </c>
      <c r="BJ5" s="63">
        <v>0</v>
      </c>
      <c r="BK5" s="64">
        <v>6</v>
      </c>
      <c r="BL5" s="63">
        <v>0</v>
      </c>
      <c r="BM5" s="66">
        <f t="shared" si="2"/>
        <v>9.5</v>
      </c>
      <c r="BN5" s="58">
        <f t="shared" si="3"/>
        <v>8.06</v>
      </c>
      <c r="BO5" s="58">
        <f t="shared" si="4"/>
        <v>7.1542857142857121</v>
      </c>
      <c r="BP5" s="58">
        <f t="shared" si="5"/>
        <v>5.9555555555555557</v>
      </c>
      <c r="BQ5" s="58">
        <f t="shared" si="6"/>
        <v>9.2178461538461551</v>
      </c>
      <c r="BR5" s="58">
        <f t="shared" si="7"/>
        <v>8.964500000000001</v>
      </c>
      <c r="BS5" s="58">
        <f t="shared" si="8"/>
        <v>6.7672500000000007</v>
      </c>
      <c r="BT5" s="58">
        <f t="shared" si="9"/>
        <v>3.7905391304347829</v>
      </c>
      <c r="BU5" s="67"/>
      <c r="BV5" s="58">
        <f t="shared" si="10"/>
        <v>7.9010109890109899</v>
      </c>
      <c r="BW5" s="58">
        <f t="shared" si="11"/>
        <v>5.488469387755103</v>
      </c>
      <c r="BX5" s="58">
        <f t="shared" si="12"/>
        <v>4.8337500000000011</v>
      </c>
      <c r="BY5" s="58">
        <f t="shared" si="13"/>
        <v>3.0324313043478264</v>
      </c>
      <c r="BZ5" s="67"/>
      <c r="CA5" s="58">
        <f t="shared" si="14"/>
        <v>0</v>
      </c>
      <c r="CB5" s="58">
        <f t="shared" si="15"/>
        <v>0</v>
      </c>
      <c r="CC5" s="58">
        <f t="shared" si="16"/>
        <v>0</v>
      </c>
      <c r="CD5" s="58">
        <f t="shared" si="17"/>
        <v>0</v>
      </c>
      <c r="CE5" s="67"/>
      <c r="CF5" s="68">
        <f t="shared" si="0"/>
        <v>3.0952380952380949</v>
      </c>
      <c r="CG5" s="69">
        <f t="shared" si="18"/>
        <v>6.0288503982789701</v>
      </c>
      <c r="CH5" s="70">
        <f t="shared" si="19"/>
        <v>0.8856525700464134</v>
      </c>
      <c r="CI5" s="71">
        <f t="shared" si="1"/>
        <v>0</v>
      </c>
      <c r="CJ5" s="72">
        <f>SUM(AK5*4, AN5*2/(AM5+1), AL5*4)/7.5</f>
        <v>0</v>
      </c>
      <c r="CK5" s="68">
        <f>SUM(AN5*3, AO5*2, AP5*2, AQ5*2, AK5*3)/8</f>
        <v>0</v>
      </c>
      <c r="CL5" s="68">
        <f t="shared" si="20"/>
        <v>5</v>
      </c>
      <c r="CM5" s="67"/>
      <c r="CO5" t="s">
        <v>389</v>
      </c>
      <c r="CP5" t="s">
        <v>389</v>
      </c>
    </row>
    <row r="6" spans="1:94">
      <c r="B6" s="29">
        <v>86</v>
      </c>
      <c r="C6" s="30" t="s">
        <v>96</v>
      </c>
      <c r="D6" s="59">
        <v>8</v>
      </c>
      <c r="E6" s="59">
        <f>26/D6</f>
        <v>3.25</v>
      </c>
      <c r="F6" s="59">
        <v>980</v>
      </c>
      <c r="G6" s="59">
        <f>(2.15-((M6*2.15)/2))</f>
        <v>1.5408333333333333</v>
      </c>
      <c r="H6" s="59">
        <v>3</v>
      </c>
      <c r="I6" s="59">
        <v>4</v>
      </c>
      <c r="J6" s="59">
        <v>2</v>
      </c>
      <c r="K6" s="59">
        <v>1.5</v>
      </c>
      <c r="L6" s="59">
        <v>0.5</v>
      </c>
      <c r="M6" s="59">
        <f>1.7 / 3</f>
        <v>0.56666666666666665</v>
      </c>
      <c r="N6" s="59">
        <f>2.5-(2.5*(T6/2))</f>
        <v>2.125</v>
      </c>
      <c r="O6" s="59">
        <v>4000</v>
      </c>
      <c r="P6" s="59">
        <v>3200</v>
      </c>
      <c r="Q6" s="59">
        <v>1600</v>
      </c>
      <c r="R6" s="59">
        <v>800</v>
      </c>
      <c r="S6" s="60">
        <v>4000</v>
      </c>
      <c r="T6" s="60">
        <v>0.3</v>
      </c>
      <c r="U6" s="60">
        <v>0</v>
      </c>
      <c r="V6" s="32">
        <f>6000/1400</f>
        <v>4.2857142857142856</v>
      </c>
      <c r="W6" s="32">
        <v>7</v>
      </c>
      <c r="X6" s="32">
        <v>0</v>
      </c>
      <c r="Y6" s="32">
        <v>4</v>
      </c>
      <c r="Z6" s="32">
        <v>3</v>
      </c>
      <c r="AA6" s="32">
        <f>(9 + 4 + 5 + 7)/4</f>
        <v>6.25</v>
      </c>
      <c r="AB6" s="32">
        <v>0</v>
      </c>
      <c r="AC6" s="32">
        <v>0</v>
      </c>
      <c r="AD6" s="32">
        <v>6</v>
      </c>
      <c r="AE6" s="32">
        <v>0</v>
      </c>
      <c r="AF6" s="32">
        <v>0</v>
      </c>
      <c r="AG6" s="61">
        <v>0</v>
      </c>
      <c r="AH6" s="61">
        <v>5</v>
      </c>
      <c r="AI6" s="61">
        <v>0</v>
      </c>
      <c r="AJ6" s="62">
        <f>(BH6/5+1)*AI6</f>
        <v>0</v>
      </c>
      <c r="AK6" s="61">
        <v>0</v>
      </c>
      <c r="AL6" s="61">
        <v>0</v>
      </c>
      <c r="AM6" s="61">
        <v>0</v>
      </c>
      <c r="AN6" s="61">
        <v>0</v>
      </c>
      <c r="AO6" s="61">
        <v>0</v>
      </c>
      <c r="AP6" s="61">
        <v>0</v>
      </c>
      <c r="AQ6" s="61">
        <v>0</v>
      </c>
      <c r="AR6" s="61">
        <v>0</v>
      </c>
      <c r="AS6" s="61">
        <v>4</v>
      </c>
      <c r="AT6" s="61">
        <v>0</v>
      </c>
      <c r="AU6" s="61">
        <v>0</v>
      </c>
      <c r="AV6" s="63">
        <v>0</v>
      </c>
      <c r="AW6" s="63">
        <v>0</v>
      </c>
      <c r="AX6" s="64">
        <v>0</v>
      </c>
      <c r="AY6" s="63">
        <v>0</v>
      </c>
      <c r="AZ6" s="63">
        <v>0</v>
      </c>
      <c r="BA6" s="63">
        <v>0</v>
      </c>
      <c r="BB6" s="63">
        <v>0</v>
      </c>
      <c r="BC6" s="63">
        <v>0</v>
      </c>
      <c r="BD6" s="65">
        <v>0</v>
      </c>
      <c r="BE6" s="63">
        <v>0</v>
      </c>
      <c r="BF6" s="64">
        <v>0</v>
      </c>
      <c r="BG6" s="63">
        <v>0</v>
      </c>
      <c r="BH6" s="63">
        <f>(5 + 5 + 10)/3</f>
        <v>6.666666666666667</v>
      </c>
      <c r="BI6" s="63">
        <v>0</v>
      </c>
      <c r="BJ6" s="63">
        <v>0</v>
      </c>
      <c r="BK6" s="64">
        <v>7</v>
      </c>
      <c r="BL6" s="63">
        <v>0</v>
      </c>
      <c r="BM6" s="66">
        <f t="shared" si="2"/>
        <v>5.6866999999999992</v>
      </c>
      <c r="BN6" s="58">
        <f t="shared" si="3"/>
        <v>5.153366666666666</v>
      </c>
      <c r="BO6" s="58">
        <f t="shared" si="4"/>
        <v>4.0866999999999996</v>
      </c>
      <c r="BP6" s="58">
        <f t="shared" si="5"/>
        <v>3.6028101851851853</v>
      </c>
      <c r="BQ6" s="58">
        <f t="shared" si="6"/>
        <v>7.834025641025641</v>
      </c>
      <c r="BR6" s="58">
        <f t="shared" si="7"/>
        <v>4.252250000000001</v>
      </c>
      <c r="BS6" s="58">
        <f t="shared" si="8"/>
        <v>4.8496538461538456</v>
      </c>
      <c r="BT6" s="58">
        <f t="shared" si="9"/>
        <v>2.2283733333333333</v>
      </c>
      <c r="BU6" s="67"/>
      <c r="BV6" s="58">
        <f t="shared" si="10"/>
        <v>6.7148791208791208</v>
      </c>
      <c r="BW6" s="58">
        <f t="shared" si="11"/>
        <v>2.6034183673469395</v>
      </c>
      <c r="BX6" s="58">
        <f t="shared" si="12"/>
        <v>3.4640384615384612</v>
      </c>
      <c r="BY6" s="58">
        <f t="shared" si="13"/>
        <v>1.5598613333333333</v>
      </c>
      <c r="BZ6" s="67"/>
      <c r="CA6" s="58">
        <f t="shared" si="14"/>
        <v>0</v>
      </c>
      <c r="CB6" s="58">
        <f t="shared" si="15"/>
        <v>0</v>
      </c>
      <c r="CC6" s="58">
        <f t="shared" si="16"/>
        <v>0</v>
      </c>
      <c r="CD6" s="58">
        <f t="shared" si="17"/>
        <v>0</v>
      </c>
      <c r="CE6" s="67"/>
      <c r="CF6" s="68">
        <f t="shared" si="0"/>
        <v>3.0952380952380949</v>
      </c>
      <c r="CG6" s="69">
        <f t="shared" si="18"/>
        <v>5.7272812954241523</v>
      </c>
      <c r="CH6" s="70">
        <f t="shared" si="19"/>
        <v>5.8059248867957436</v>
      </c>
      <c r="CI6" s="71">
        <f t="shared" si="1"/>
        <v>3</v>
      </c>
      <c r="CJ6" s="72">
        <f>SUM(AK6*4, AN6*2/(AM6+1), AL6*4)/7.5</f>
        <v>0</v>
      </c>
      <c r="CK6" s="68">
        <f>SUM(AN6*3, AO6*2, AP6*2, AQ6*2, AK6*3)/8</f>
        <v>0</v>
      </c>
      <c r="CL6" s="68">
        <f t="shared" si="20"/>
        <v>8.8888888888888893</v>
      </c>
      <c r="CM6" s="67"/>
      <c r="CO6" t="s">
        <v>389</v>
      </c>
      <c r="CP6" t="s">
        <v>389</v>
      </c>
    </row>
    <row r="7" spans="1:94">
      <c r="B7" s="29">
        <v>88</v>
      </c>
      <c r="C7" s="30" t="s">
        <v>62</v>
      </c>
      <c r="D7" s="59">
        <v>9</v>
      </c>
      <c r="E7" s="59">
        <f>31/D7</f>
        <v>3.4444444444444446</v>
      </c>
      <c r="F7" s="59">
        <v>960</v>
      </c>
      <c r="G7" s="59">
        <f>(2.5-((M7*2.5)/2))</f>
        <v>1.6666666666666667</v>
      </c>
      <c r="H7" s="59">
        <v>4</v>
      </c>
      <c r="I7" s="59">
        <v>4</v>
      </c>
      <c r="J7" s="59">
        <v>2.5</v>
      </c>
      <c r="K7" s="59">
        <v>1.2</v>
      </c>
      <c r="L7" s="59">
        <v>0.5</v>
      </c>
      <c r="M7" s="59">
        <f>2 / 3</f>
        <v>0.66666666666666663</v>
      </c>
      <c r="N7" s="59">
        <f>0-(0*(T7/2))</f>
        <v>0</v>
      </c>
      <c r="O7" s="59">
        <v>0</v>
      </c>
      <c r="P7" s="59">
        <v>0</v>
      </c>
      <c r="Q7" s="59">
        <v>0</v>
      </c>
      <c r="R7" s="59">
        <v>0</v>
      </c>
      <c r="S7" s="60">
        <v>0</v>
      </c>
      <c r="T7" s="60">
        <v>0.1</v>
      </c>
      <c r="U7" s="60">
        <v>0</v>
      </c>
      <c r="V7" s="32">
        <f>6600/1400</f>
        <v>4.7142857142857144</v>
      </c>
      <c r="W7" s="32">
        <v>7</v>
      </c>
      <c r="X7" s="32">
        <f>(5 + 8 + 5)/3</f>
        <v>6</v>
      </c>
      <c r="Y7" s="32">
        <v>3</v>
      </c>
      <c r="Z7" s="32">
        <v>0</v>
      </c>
      <c r="AA7" s="32">
        <v>0</v>
      </c>
      <c r="AB7" s="32">
        <v>0</v>
      </c>
      <c r="AC7" s="32">
        <v>0</v>
      </c>
      <c r="AD7" s="32">
        <v>6</v>
      </c>
      <c r="AE7" s="32">
        <v>0</v>
      </c>
      <c r="AF7" s="32">
        <v>0</v>
      </c>
      <c r="AG7" s="61">
        <v>0</v>
      </c>
      <c r="AH7" s="61">
        <v>9</v>
      </c>
      <c r="AI7" s="61">
        <v>7</v>
      </c>
      <c r="AJ7" s="62">
        <f>(BH7/5+1)*AI7</f>
        <v>7</v>
      </c>
      <c r="AK7" s="61">
        <v>0</v>
      </c>
      <c r="AL7" s="61">
        <v>0</v>
      </c>
      <c r="AM7" s="61">
        <v>0</v>
      </c>
      <c r="AN7" s="61">
        <v>0</v>
      </c>
      <c r="AO7" s="61">
        <v>0</v>
      </c>
      <c r="AP7" s="61">
        <v>0</v>
      </c>
      <c r="AQ7" s="61">
        <v>0</v>
      </c>
      <c r="AR7" s="61">
        <v>0</v>
      </c>
      <c r="AS7" s="61">
        <v>0</v>
      </c>
      <c r="AT7" s="61">
        <v>0</v>
      </c>
      <c r="AU7" s="61">
        <v>0</v>
      </c>
      <c r="AV7" s="63">
        <v>0</v>
      </c>
      <c r="AW7" s="63">
        <v>0</v>
      </c>
      <c r="AX7" s="64">
        <v>0</v>
      </c>
      <c r="AY7" s="63">
        <v>0</v>
      </c>
      <c r="AZ7" s="63">
        <v>0</v>
      </c>
      <c r="BA7" s="63">
        <v>0</v>
      </c>
      <c r="BB7" s="63">
        <v>0</v>
      </c>
      <c r="BC7" s="63">
        <v>0</v>
      </c>
      <c r="BD7" s="65">
        <v>0</v>
      </c>
      <c r="BE7" s="63">
        <v>0</v>
      </c>
      <c r="BF7" s="64">
        <v>0</v>
      </c>
      <c r="BG7" s="64">
        <v>0</v>
      </c>
      <c r="BH7" s="64">
        <v>0</v>
      </c>
      <c r="BI7" s="63">
        <v>0</v>
      </c>
      <c r="BJ7" s="63">
        <v>0</v>
      </c>
      <c r="BK7" s="64">
        <v>6</v>
      </c>
      <c r="BL7" s="63">
        <v>0</v>
      </c>
      <c r="BM7" s="66">
        <f t="shared" si="2"/>
        <v>4.2666666666666666</v>
      </c>
      <c r="BN7" s="58">
        <f t="shared" si="3"/>
        <v>4.2666666666666666</v>
      </c>
      <c r="BO7" s="58">
        <f t="shared" si="4"/>
        <v>4.2666666666666666</v>
      </c>
      <c r="BP7" s="58">
        <f t="shared" si="5"/>
        <v>4.1481481481481479</v>
      </c>
      <c r="BQ7" s="58">
        <f t="shared" si="6"/>
        <v>3.9384615384615387</v>
      </c>
      <c r="BR7" s="58">
        <f t="shared" si="7"/>
        <v>3.0769230769230775</v>
      </c>
      <c r="BS7" s="58">
        <f t="shared" si="8"/>
        <v>2.4615384615384617</v>
      </c>
      <c r="BT7" s="58">
        <f t="shared" si="9"/>
        <v>1.5058823529411767</v>
      </c>
      <c r="BU7" s="67"/>
      <c r="BV7" s="58">
        <f t="shared" si="10"/>
        <v>3.7134065934065936</v>
      </c>
      <c r="BW7" s="58">
        <f t="shared" si="11"/>
        <v>2.0722135007849301</v>
      </c>
      <c r="BX7" s="58">
        <f t="shared" si="12"/>
        <v>1.9340659340659341</v>
      </c>
      <c r="BY7" s="58">
        <f t="shared" si="13"/>
        <v>1.0541176470588236</v>
      </c>
      <c r="BZ7" s="67"/>
      <c r="CA7" s="58">
        <f t="shared" si="14"/>
        <v>8.6646153846153862</v>
      </c>
      <c r="CB7" s="58">
        <f t="shared" si="15"/>
        <v>5.3724053724053737</v>
      </c>
      <c r="CC7" s="58">
        <f t="shared" si="16"/>
        <v>5.4153846153846157</v>
      </c>
      <c r="CD7" s="58">
        <f t="shared" si="17"/>
        <v>3.8835913312693502</v>
      </c>
      <c r="CE7" s="67"/>
      <c r="CF7" s="68">
        <f t="shared" si="0"/>
        <v>9.238095238095239</v>
      </c>
      <c r="CG7" s="69">
        <f t="shared" si="18"/>
        <v>6.7989348217919643</v>
      </c>
      <c r="CH7" s="70">
        <f t="shared" si="19"/>
        <v>0.3655751531381784</v>
      </c>
      <c r="CI7" s="71">
        <f t="shared" si="1"/>
        <v>0</v>
      </c>
      <c r="CJ7" s="72">
        <f>SUM(AK7*4, AN7*2/(AM7+1), AL7*4)/7.5</f>
        <v>0</v>
      </c>
      <c r="CK7" s="68">
        <f>SUM(AN7*3, AO7*2, AP7*2, AQ7*2, AK7*3)/8</f>
        <v>0</v>
      </c>
      <c r="CL7" s="68">
        <f t="shared" si="20"/>
        <v>2</v>
      </c>
      <c r="CM7" s="67"/>
      <c r="CO7" t="s">
        <v>389</v>
      </c>
      <c r="CP7" t="s">
        <v>389</v>
      </c>
    </row>
    <row r="8" spans="1:94">
      <c r="B8" s="29">
        <v>33</v>
      </c>
      <c r="C8" s="30" t="s">
        <v>44</v>
      </c>
      <c r="D8" s="59">
        <v>15</v>
      </c>
      <c r="E8" s="59">
        <f>60/D8</f>
        <v>4</v>
      </c>
      <c r="F8" s="59">
        <v>600</v>
      </c>
      <c r="G8" s="59">
        <f>(3.3-((M8*3.3)/2))</f>
        <v>2.42</v>
      </c>
      <c r="H8" s="59">
        <v>4</v>
      </c>
      <c r="I8" s="59">
        <v>4</v>
      </c>
      <c r="J8" s="59">
        <v>4</v>
      </c>
      <c r="K8" s="59">
        <v>2</v>
      </c>
      <c r="L8" s="59">
        <v>0</v>
      </c>
      <c r="M8" s="59">
        <f>1.6 / 3</f>
        <v>0.53333333333333333</v>
      </c>
      <c r="N8" s="59">
        <f>3-(3*(T8/2))</f>
        <v>2.7</v>
      </c>
      <c r="O8" s="59">
        <v>1200</v>
      </c>
      <c r="P8" s="59">
        <v>1200</v>
      </c>
      <c r="Q8" s="59">
        <v>1200</v>
      </c>
      <c r="R8" s="59">
        <v>1200</v>
      </c>
      <c r="S8" s="59">
        <v>1200</v>
      </c>
      <c r="T8" s="59">
        <v>0.2</v>
      </c>
      <c r="U8" s="59">
        <v>0</v>
      </c>
      <c r="V8" s="32">
        <f>8000/1400</f>
        <v>5.7142857142857144</v>
      </c>
      <c r="W8" s="32">
        <v>7</v>
      </c>
      <c r="X8" s="32">
        <f>(5 + 7 + 4)/3</f>
        <v>5.333333333333333</v>
      </c>
      <c r="Y8" s="32">
        <f>(4 + 6)/2</f>
        <v>5</v>
      </c>
      <c r="Z8" s="32">
        <v>3</v>
      </c>
      <c r="AA8" s="32">
        <v>0</v>
      </c>
      <c r="AB8" s="32">
        <v>10</v>
      </c>
      <c r="AC8" s="32">
        <v>0</v>
      </c>
      <c r="AD8" s="32">
        <v>6</v>
      </c>
      <c r="AE8" s="32">
        <v>0</v>
      </c>
      <c r="AF8" s="32">
        <v>0</v>
      </c>
      <c r="AG8" s="61">
        <v>0</v>
      </c>
      <c r="AH8" s="61">
        <v>5</v>
      </c>
      <c r="AI8" s="61">
        <v>0</v>
      </c>
      <c r="AJ8" s="62">
        <f>(BH8/5+1)*AI8</f>
        <v>0</v>
      </c>
      <c r="AK8" s="61">
        <v>0</v>
      </c>
      <c r="AL8" s="61">
        <v>0</v>
      </c>
      <c r="AM8" s="61">
        <v>0</v>
      </c>
      <c r="AN8" s="61">
        <v>0</v>
      </c>
      <c r="AO8" s="61">
        <v>0</v>
      </c>
      <c r="AP8" s="61">
        <v>0</v>
      </c>
      <c r="AQ8" s="61">
        <v>0</v>
      </c>
      <c r="AR8" s="61">
        <v>0</v>
      </c>
      <c r="AS8" s="61">
        <v>1</v>
      </c>
      <c r="AT8" s="61">
        <v>0</v>
      </c>
      <c r="AU8" s="61">
        <v>0</v>
      </c>
      <c r="AV8" s="63">
        <v>0</v>
      </c>
      <c r="AW8" s="63">
        <v>0</v>
      </c>
      <c r="AX8" s="64">
        <v>0</v>
      </c>
      <c r="AY8" s="63">
        <v>0</v>
      </c>
      <c r="AZ8" s="63">
        <v>0</v>
      </c>
      <c r="BA8" s="63">
        <v>0</v>
      </c>
      <c r="BB8" s="63">
        <v>0</v>
      </c>
      <c r="BC8" s="63">
        <v>0</v>
      </c>
      <c r="BD8" s="65">
        <v>0</v>
      </c>
      <c r="BE8" s="63">
        <v>0</v>
      </c>
      <c r="BF8" s="64">
        <v>1</v>
      </c>
      <c r="BG8" s="64">
        <v>0</v>
      </c>
      <c r="BH8" s="64">
        <v>0</v>
      </c>
      <c r="BI8" s="63">
        <v>0</v>
      </c>
      <c r="BJ8" s="63">
        <v>10</v>
      </c>
      <c r="BK8" s="64">
        <v>7</v>
      </c>
      <c r="BL8" s="63">
        <v>0</v>
      </c>
      <c r="BM8" s="66">
        <f t="shared" si="2"/>
        <v>4.6719999999999997</v>
      </c>
      <c r="BN8" s="58">
        <f t="shared" si="3"/>
        <v>4.6719999999999997</v>
      </c>
      <c r="BO8" s="58">
        <f t="shared" si="4"/>
        <v>4.6719999999999997</v>
      </c>
      <c r="BP8" s="58">
        <f t="shared" si="5"/>
        <v>4.764444444444444</v>
      </c>
      <c r="BQ8" s="58">
        <f t="shared" si="6"/>
        <v>4.1836307692307688</v>
      </c>
      <c r="BR8" s="58">
        <f t="shared" si="7"/>
        <v>6.7983999999999991</v>
      </c>
      <c r="BS8" s="58">
        <f t="shared" si="8"/>
        <v>5.0102857142857138</v>
      </c>
      <c r="BT8" s="58">
        <f t="shared" si="9"/>
        <v>0.38400000000000006</v>
      </c>
      <c r="BU8" s="67"/>
      <c r="BV8" s="58">
        <f t="shared" si="10"/>
        <v>4.7812923076923068</v>
      </c>
      <c r="BW8" s="58">
        <f t="shared" si="11"/>
        <v>5.5497142857142858</v>
      </c>
      <c r="BX8" s="58">
        <f t="shared" si="12"/>
        <v>4.7717006802721089</v>
      </c>
      <c r="BY8" s="58">
        <f t="shared" si="13"/>
        <v>0.26880000000000004</v>
      </c>
      <c r="BZ8" s="67"/>
      <c r="CA8" s="58">
        <f t="shared" si="14"/>
        <v>0</v>
      </c>
      <c r="CB8" s="58">
        <f t="shared" si="15"/>
        <v>0</v>
      </c>
      <c r="CC8" s="58">
        <f t="shared" si="16"/>
        <v>0</v>
      </c>
      <c r="CD8" s="58">
        <f t="shared" si="17"/>
        <v>0</v>
      </c>
      <c r="CE8" s="67"/>
      <c r="CF8" s="68">
        <f t="shared" si="0"/>
        <v>3.5714285714285716</v>
      </c>
      <c r="CG8" s="69">
        <f t="shared" si="18"/>
        <v>6.7652597476597478</v>
      </c>
      <c r="CH8" s="70">
        <f t="shared" si="19"/>
        <v>0.64047946973661252</v>
      </c>
      <c r="CI8" s="71">
        <f t="shared" si="1"/>
        <v>0.9</v>
      </c>
      <c r="CJ8" s="72">
        <f>SUM(AK8*4, AN8*2/(AM8+1), AL8*4)/7.5</f>
        <v>0</v>
      </c>
      <c r="CK8" s="68">
        <f>SUM(AN8*3, AO8*2, AP8*2, AQ8*2, AK8*3)/8</f>
        <v>0</v>
      </c>
      <c r="CL8" s="68">
        <f t="shared" si="20"/>
        <v>4.333333333333333</v>
      </c>
      <c r="CM8" s="67"/>
      <c r="CO8" t="s">
        <v>389</v>
      </c>
      <c r="CP8" t="s">
        <v>389</v>
      </c>
    </row>
    <row r="9" spans="1:94">
      <c r="B9" s="29">
        <v>1</v>
      </c>
      <c r="C9" s="37" t="s">
        <v>95</v>
      </c>
      <c r="D9" s="59">
        <v>10</v>
      </c>
      <c r="E9" s="59">
        <f>34/D9</f>
        <v>3.4</v>
      </c>
      <c r="F9" s="59">
        <v>600</v>
      </c>
      <c r="G9" s="59">
        <f>(2.5-((M9*2.5)/2))</f>
        <v>1.8333333333333335</v>
      </c>
      <c r="H9" s="59">
        <v>5</v>
      </c>
      <c r="I9" s="59">
        <v>5</v>
      </c>
      <c r="J9" s="59">
        <v>3</v>
      </c>
      <c r="K9" s="59">
        <v>1.5</v>
      </c>
      <c r="L9" s="59">
        <v>0</v>
      </c>
      <c r="M9" s="59">
        <f>1.6 / 3</f>
        <v>0.53333333333333333</v>
      </c>
      <c r="N9" s="59">
        <f>2-(2*(T9/2))</f>
        <v>1.8</v>
      </c>
      <c r="O9" s="59">
        <v>5760</v>
      </c>
      <c r="P9" s="59">
        <v>3200</v>
      </c>
      <c r="Q9" s="59">
        <v>1920</v>
      </c>
      <c r="R9" s="59">
        <v>0</v>
      </c>
      <c r="S9" s="59">
        <v>5760</v>
      </c>
      <c r="T9" s="59">
        <v>0.2</v>
      </c>
      <c r="U9" s="59">
        <v>0</v>
      </c>
      <c r="V9" s="32">
        <f>7800/1400</f>
        <v>5.5714285714285712</v>
      </c>
      <c r="W9" s="32">
        <v>6</v>
      </c>
      <c r="X9" s="32">
        <f>(6 + 5 + 3)/3</f>
        <v>4.666666666666667</v>
      </c>
      <c r="Y9" s="32">
        <v>4</v>
      </c>
      <c r="Z9" s="32">
        <v>0</v>
      </c>
      <c r="AA9" s="32">
        <v>0</v>
      </c>
      <c r="AB9" s="32">
        <v>3</v>
      </c>
      <c r="AC9" s="32">
        <v>0</v>
      </c>
      <c r="AD9" s="32">
        <v>5</v>
      </c>
      <c r="AE9" s="32">
        <v>5</v>
      </c>
      <c r="AF9" s="32">
        <v>5</v>
      </c>
      <c r="AG9" s="61">
        <v>0</v>
      </c>
      <c r="AH9" s="73">
        <v>7</v>
      </c>
      <c r="AI9" s="73">
        <v>0</v>
      </c>
      <c r="AJ9" s="62">
        <f>(BH9/5+1)*AI9</f>
        <v>0</v>
      </c>
      <c r="AK9" s="73">
        <v>0</v>
      </c>
      <c r="AL9" s="73">
        <v>0</v>
      </c>
      <c r="AM9" s="73">
        <v>0</v>
      </c>
      <c r="AN9" s="73">
        <v>0</v>
      </c>
      <c r="AO9" s="73">
        <v>0</v>
      </c>
      <c r="AP9" s="73">
        <v>0</v>
      </c>
      <c r="AQ9" s="73">
        <v>0</v>
      </c>
      <c r="AR9" s="73">
        <v>0</v>
      </c>
      <c r="AS9" s="73">
        <v>2</v>
      </c>
      <c r="AT9" s="73">
        <v>0</v>
      </c>
      <c r="AU9" s="73">
        <v>0</v>
      </c>
      <c r="AV9" s="63">
        <v>0</v>
      </c>
      <c r="AW9" s="63">
        <v>0</v>
      </c>
      <c r="AX9" s="64">
        <v>0</v>
      </c>
      <c r="AY9" s="63">
        <v>0</v>
      </c>
      <c r="AZ9" s="63">
        <v>0</v>
      </c>
      <c r="BA9" s="63">
        <v>0</v>
      </c>
      <c r="BB9" s="63">
        <v>0</v>
      </c>
      <c r="BC9" s="63">
        <v>0</v>
      </c>
      <c r="BD9" s="65">
        <v>0</v>
      </c>
      <c r="BE9" s="63">
        <v>0</v>
      </c>
      <c r="BF9" s="74">
        <v>2</v>
      </c>
      <c r="BG9" s="64">
        <v>0</v>
      </c>
      <c r="BH9" s="74">
        <v>0</v>
      </c>
      <c r="BI9" s="63">
        <v>0</v>
      </c>
      <c r="BJ9" s="63">
        <v>3</v>
      </c>
      <c r="BK9" s="64">
        <v>7</v>
      </c>
      <c r="BL9" s="63">
        <v>0</v>
      </c>
      <c r="BM9" s="66">
        <f t="shared" si="2"/>
        <v>7.5066666666666668</v>
      </c>
      <c r="BN9" s="58">
        <f t="shared" si="3"/>
        <v>5.8</v>
      </c>
      <c r="BO9" s="58">
        <f t="shared" si="4"/>
        <v>4.4228571428571435</v>
      </c>
      <c r="BP9" s="58">
        <f t="shared" si="5"/>
        <v>3.0555555555555554</v>
      </c>
      <c r="BQ9" s="58">
        <f t="shared" si="6"/>
        <v>7.2718769230769249</v>
      </c>
      <c r="BR9" s="58">
        <f t="shared" si="7"/>
        <v>4.0257142857142858</v>
      </c>
      <c r="BS9" s="58">
        <f t="shared" si="8"/>
        <v>2.968941176470588</v>
      </c>
      <c r="BT9" s="58">
        <f t="shared" si="9"/>
        <v>0</v>
      </c>
      <c r="BU9" s="67"/>
      <c r="BV9" s="58">
        <f t="shared" si="10"/>
        <v>8.1029485714285734</v>
      </c>
      <c r="BW9" s="58">
        <f t="shared" si="11"/>
        <v>3.2041399416909617</v>
      </c>
      <c r="BX9" s="58">
        <f t="shared" si="12"/>
        <v>2.7568739495798309</v>
      </c>
      <c r="BY9" s="58">
        <f t="shared" si="13"/>
        <v>0</v>
      </c>
      <c r="BZ9" s="67"/>
      <c r="CA9" s="58">
        <f t="shared" si="14"/>
        <v>0</v>
      </c>
      <c r="CB9" s="58">
        <f t="shared" si="15"/>
        <v>0</v>
      </c>
      <c r="CC9" s="58">
        <f t="shared" si="16"/>
        <v>0</v>
      </c>
      <c r="CD9" s="58">
        <f t="shared" si="17"/>
        <v>0</v>
      </c>
      <c r="CE9" s="67"/>
      <c r="CF9" s="68">
        <f t="shared" si="0"/>
        <v>4.1904761904761907</v>
      </c>
      <c r="CG9" s="69">
        <f t="shared" si="18"/>
        <v>6.4671917417125577</v>
      </c>
      <c r="CH9" s="70">
        <f t="shared" si="19"/>
        <v>0.58599843594580692</v>
      </c>
      <c r="CI9" s="71">
        <f t="shared" si="1"/>
        <v>0</v>
      </c>
      <c r="CJ9" s="72">
        <f>SUM(AK9*4, AN9*2/(AM9+1), AL9*4)/7.5</f>
        <v>0</v>
      </c>
      <c r="CK9" s="68">
        <f>SUM(AN9*3, AO9*2, AP9*2, AQ9*2, AK9*3)/8</f>
        <v>0</v>
      </c>
      <c r="CL9" s="68">
        <f t="shared" si="20"/>
        <v>4.666666666666667</v>
      </c>
      <c r="CM9" s="67"/>
      <c r="CO9" t="s">
        <v>389</v>
      </c>
      <c r="CP9" t="s">
        <v>389</v>
      </c>
    </row>
    <row r="10" spans="1:94">
      <c r="B10" s="29">
        <v>8</v>
      </c>
      <c r="C10" s="37" t="s">
        <v>87</v>
      </c>
      <c r="D10" s="59">
        <v>4</v>
      </c>
      <c r="E10" s="59">
        <f>10/D10</f>
        <v>2.5</v>
      </c>
      <c r="F10" s="59">
        <v>1520</v>
      </c>
      <c r="G10" s="59">
        <f>(2.5-((M10*2.5)/2))</f>
        <v>1.8333333333333335</v>
      </c>
      <c r="H10" s="59">
        <v>1</v>
      </c>
      <c r="I10" s="59">
        <v>1</v>
      </c>
      <c r="J10" s="59">
        <v>1</v>
      </c>
      <c r="K10" s="59">
        <v>0.5</v>
      </c>
      <c r="L10" s="59">
        <v>0</v>
      </c>
      <c r="M10" s="59">
        <f>1.6 / 3</f>
        <v>0.53333333333333333</v>
      </c>
      <c r="N10" s="59">
        <f>0-(0*(T10/2))</f>
        <v>0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0.2</v>
      </c>
      <c r="U10" s="59">
        <v>0</v>
      </c>
      <c r="V10" s="32">
        <f>8000/1400+(AV10/3.5)</f>
        <v>8</v>
      </c>
      <c r="W10" s="32">
        <v>6</v>
      </c>
      <c r="X10" s="32">
        <v>0</v>
      </c>
      <c r="Y10" s="32">
        <v>7</v>
      </c>
      <c r="Z10" s="32">
        <v>0</v>
      </c>
      <c r="AA10" s="32">
        <v>0</v>
      </c>
      <c r="AB10" s="32">
        <v>0</v>
      </c>
      <c r="AC10" s="32">
        <v>0</v>
      </c>
      <c r="AD10" s="32">
        <v>6</v>
      </c>
      <c r="AE10" s="32">
        <v>0</v>
      </c>
      <c r="AF10" s="32">
        <v>0</v>
      </c>
      <c r="AG10" s="61">
        <v>0</v>
      </c>
      <c r="AH10" s="73">
        <v>5</v>
      </c>
      <c r="AI10" s="73">
        <v>0</v>
      </c>
      <c r="AJ10" s="62">
        <f>(BH10/5+1)*AI10</f>
        <v>0</v>
      </c>
      <c r="AK10" s="73">
        <v>0</v>
      </c>
      <c r="AL10" s="73">
        <v>0</v>
      </c>
      <c r="AM10" s="73">
        <v>0</v>
      </c>
      <c r="AN10" s="73">
        <v>0</v>
      </c>
      <c r="AO10" s="73">
        <v>0</v>
      </c>
      <c r="AP10" s="73">
        <v>0</v>
      </c>
      <c r="AQ10" s="73">
        <v>0</v>
      </c>
      <c r="AR10" s="73">
        <v>0</v>
      </c>
      <c r="AS10" s="73">
        <v>0</v>
      </c>
      <c r="AT10" s="73">
        <v>0</v>
      </c>
      <c r="AU10" s="73">
        <v>0</v>
      </c>
      <c r="AV10" s="63">
        <f>(6 + 9 + 9)/3</f>
        <v>8</v>
      </c>
      <c r="AW10" s="63">
        <v>0</v>
      </c>
      <c r="AX10" s="64">
        <v>0</v>
      </c>
      <c r="AY10" s="63">
        <v>0</v>
      </c>
      <c r="AZ10" s="63">
        <v>0</v>
      </c>
      <c r="BA10" s="63">
        <v>0</v>
      </c>
      <c r="BB10" s="63">
        <v>0</v>
      </c>
      <c r="BC10" s="63">
        <v>0</v>
      </c>
      <c r="BD10" s="65">
        <v>0</v>
      </c>
      <c r="BE10" s="63">
        <v>0</v>
      </c>
      <c r="BF10" s="74">
        <v>0</v>
      </c>
      <c r="BG10" s="64">
        <v>0</v>
      </c>
      <c r="BH10" s="74">
        <v>0</v>
      </c>
      <c r="BI10" s="63">
        <v>0</v>
      </c>
      <c r="BJ10" s="63">
        <v>0</v>
      </c>
      <c r="BK10" s="64">
        <v>7</v>
      </c>
      <c r="BL10" s="63">
        <v>0</v>
      </c>
      <c r="BM10" s="66">
        <f t="shared" si="2"/>
        <v>1.857777777777778</v>
      </c>
      <c r="BN10" s="58">
        <f t="shared" si="3"/>
        <v>1.857777777777778</v>
      </c>
      <c r="BO10" s="58">
        <f t="shared" si="4"/>
        <v>1.5923809523809522</v>
      </c>
      <c r="BP10" s="58">
        <f t="shared" si="5"/>
        <v>1.5481481481481483</v>
      </c>
      <c r="BQ10" s="58">
        <f t="shared" si="6"/>
        <v>1.7148717948717951</v>
      </c>
      <c r="BR10" s="58">
        <f t="shared" si="7"/>
        <v>2.7866666666666671</v>
      </c>
      <c r="BS10" s="58">
        <f>(((K10*G10*F10)+(((G10*K10+N10)/D10)*(Q10)))/(1.25-((K10-H10)/4))+(U10/4))/400</f>
        <v>2.5333333333333337</v>
      </c>
      <c r="BT10" s="58">
        <f t="shared" si="9"/>
        <v>0</v>
      </c>
      <c r="BU10" s="67"/>
      <c r="BV10" s="58">
        <f t="shared" si="10"/>
        <v>2.7437948717948721</v>
      </c>
      <c r="BW10" s="58">
        <f t="shared" si="11"/>
        <v>3.1847619047619053</v>
      </c>
      <c r="BX10" s="58">
        <f t="shared" si="12"/>
        <v>3.3777777777777782</v>
      </c>
      <c r="BY10" s="58">
        <f t="shared" si="13"/>
        <v>0</v>
      </c>
      <c r="BZ10" s="67"/>
      <c r="CA10" s="58">
        <f t="shared" si="14"/>
        <v>0</v>
      </c>
      <c r="CB10" s="58">
        <f t="shared" si="15"/>
        <v>0</v>
      </c>
      <c r="CC10" s="58">
        <f t="shared" si="16"/>
        <v>0</v>
      </c>
      <c r="CD10" s="58">
        <f t="shared" si="17"/>
        <v>0</v>
      </c>
      <c r="CE10" s="67"/>
      <c r="CF10" s="68">
        <f t="shared" si="0"/>
        <v>4.333333333333333</v>
      </c>
      <c r="CG10" s="69">
        <f t="shared" si="18"/>
        <v>7.8465597612264286</v>
      </c>
      <c r="CH10" s="70">
        <f t="shared" si="19"/>
        <v>0.3877639397639398</v>
      </c>
      <c r="CI10" s="71">
        <f t="shared" si="1"/>
        <v>0</v>
      </c>
      <c r="CJ10" s="72">
        <f>SUM(AK10*4, AN10*2/(AM10+1), AL10*4)/7.5</f>
        <v>0</v>
      </c>
      <c r="CK10" s="68">
        <f>SUM(AN10*3, AO10*2, AP10*2, AQ10*2, AK10*3)/8</f>
        <v>0</v>
      </c>
      <c r="CL10" s="68">
        <f t="shared" si="20"/>
        <v>4.666666666666667</v>
      </c>
      <c r="CM10" s="67"/>
      <c r="CO10" t="s">
        <v>389</v>
      </c>
      <c r="CP10" t="s">
        <v>389</v>
      </c>
    </row>
    <row r="11" spans="1:94">
      <c r="B11" s="29">
        <v>45</v>
      </c>
      <c r="C11" s="30" t="s">
        <v>15</v>
      </c>
      <c r="D11" s="59">
        <v>9</v>
      </c>
      <c r="E11" s="59">
        <f>21/D11</f>
        <v>2.3333333333333335</v>
      </c>
      <c r="F11" s="59">
        <v>1320</v>
      </c>
      <c r="G11" s="59">
        <f>(1.65-((M11*1.65)/2))</f>
        <v>1.2649999999999999</v>
      </c>
      <c r="H11" s="59">
        <v>6</v>
      </c>
      <c r="I11" s="59">
        <v>2</v>
      </c>
      <c r="J11" s="59">
        <v>1.5</v>
      </c>
      <c r="K11" s="59">
        <v>0.8</v>
      </c>
      <c r="L11" s="59">
        <v>0</v>
      </c>
      <c r="M11" s="59">
        <f>1.4 / 3</f>
        <v>0.46666666666666662</v>
      </c>
      <c r="N11" s="59">
        <f>2.5-(2.5*(T11/2))</f>
        <v>2.375</v>
      </c>
      <c r="O11" s="59">
        <v>4360</v>
      </c>
      <c r="P11" s="59">
        <v>4360</v>
      </c>
      <c r="Q11" s="59">
        <v>2180</v>
      </c>
      <c r="R11" s="59">
        <v>0</v>
      </c>
      <c r="S11" s="59">
        <v>4360</v>
      </c>
      <c r="T11" s="59">
        <v>0.1</v>
      </c>
      <c r="U11" s="59">
        <v>0</v>
      </c>
      <c r="V11" s="32">
        <f>5200/1400+(AV11/3.5)</f>
        <v>5.7142857142857144</v>
      </c>
      <c r="W11" s="32">
        <v>5</v>
      </c>
      <c r="X11" s="32">
        <f>(6 + 7 + 6)/3</f>
        <v>6.333333333333333</v>
      </c>
      <c r="Y11" s="32">
        <v>1</v>
      </c>
      <c r="Z11" s="32">
        <v>6</v>
      </c>
      <c r="AA11" s="32">
        <f>(6 + 1 + 6 + 5)/4</f>
        <v>4.5</v>
      </c>
      <c r="AB11" s="32">
        <v>0</v>
      </c>
      <c r="AC11" s="32">
        <v>0</v>
      </c>
      <c r="AD11" s="32">
        <v>6</v>
      </c>
      <c r="AE11" s="32">
        <v>0</v>
      </c>
      <c r="AF11" s="32">
        <v>0</v>
      </c>
      <c r="AG11" s="61">
        <v>0</v>
      </c>
      <c r="AH11" s="61">
        <v>5</v>
      </c>
      <c r="AI11" s="61">
        <v>5</v>
      </c>
      <c r="AJ11" s="62">
        <f>(BH11/5+1)*AI11</f>
        <v>5</v>
      </c>
      <c r="AK11" s="61">
        <v>0</v>
      </c>
      <c r="AL11" s="61">
        <v>0</v>
      </c>
      <c r="AM11" s="61">
        <v>0</v>
      </c>
      <c r="AN11" s="61">
        <v>0</v>
      </c>
      <c r="AO11" s="61">
        <v>0</v>
      </c>
      <c r="AP11" s="61">
        <v>0</v>
      </c>
      <c r="AQ11" s="61">
        <v>0</v>
      </c>
      <c r="AR11" s="61">
        <v>0</v>
      </c>
      <c r="AS11" s="61">
        <v>1</v>
      </c>
      <c r="AT11" s="61">
        <v>0</v>
      </c>
      <c r="AU11" s="61">
        <v>0</v>
      </c>
      <c r="AV11" s="63">
        <f>(10 + 8 + 3)/3</f>
        <v>7</v>
      </c>
      <c r="AW11" s="63">
        <v>0</v>
      </c>
      <c r="AX11" s="64">
        <v>0</v>
      </c>
      <c r="AY11" s="63">
        <v>0</v>
      </c>
      <c r="AZ11" s="63">
        <v>0</v>
      </c>
      <c r="BA11" s="63">
        <v>0</v>
      </c>
      <c r="BB11" s="63">
        <v>0</v>
      </c>
      <c r="BC11" s="63">
        <v>0</v>
      </c>
      <c r="BD11" s="65">
        <v>0</v>
      </c>
      <c r="BE11" s="63">
        <v>0</v>
      </c>
      <c r="BF11" s="64">
        <v>0</v>
      </c>
      <c r="BG11" s="64">
        <v>0</v>
      </c>
      <c r="BH11" s="64">
        <v>0</v>
      </c>
      <c r="BI11" s="63">
        <v>0</v>
      </c>
      <c r="BJ11" s="63">
        <v>0</v>
      </c>
      <c r="BK11" s="64">
        <v>7</v>
      </c>
      <c r="BL11" s="63">
        <v>0</v>
      </c>
      <c r="BM11" s="66">
        <f t="shared" si="2"/>
        <v>9.5858666666666661</v>
      </c>
      <c r="BN11" s="58">
        <f t="shared" si="3"/>
        <v>9.5858666666666661</v>
      </c>
      <c r="BO11" s="58">
        <f t="shared" si="4"/>
        <v>6.2241904761904756</v>
      </c>
      <c r="BP11" s="58">
        <f t="shared" si="5"/>
        <v>4.6383333333333336</v>
      </c>
      <c r="BQ11" s="58">
        <f t="shared" si="6"/>
        <v>1.954119658119658</v>
      </c>
      <c r="BR11" s="58">
        <f t="shared" si="7"/>
        <v>2.4076257309941522</v>
      </c>
      <c r="BS11" s="58">
        <f t="shared" si="8"/>
        <v>2.1139673202614384</v>
      </c>
      <c r="BT11" s="58">
        <f t="shared" si="9"/>
        <v>0</v>
      </c>
      <c r="BU11" s="67"/>
      <c r="BV11" s="58">
        <f t="shared" si="10"/>
        <v>2.233279609279609</v>
      </c>
      <c r="BW11" s="58">
        <f t="shared" si="11"/>
        <v>1.9654087599952264</v>
      </c>
      <c r="BX11" s="58">
        <f t="shared" si="12"/>
        <v>2.0133022097727986</v>
      </c>
      <c r="BY11" s="58">
        <f t="shared" si="13"/>
        <v>0</v>
      </c>
      <c r="BZ11" s="67"/>
      <c r="CA11" s="58">
        <f t="shared" si="14"/>
        <v>3.7221326821326817</v>
      </c>
      <c r="CB11" s="58">
        <f t="shared" si="15"/>
        <v>3.6396458518430115</v>
      </c>
      <c r="CC11" s="58">
        <f t="shared" si="16"/>
        <v>4.0266044195455972</v>
      </c>
      <c r="CD11" s="58">
        <f t="shared" si="17"/>
        <v>0</v>
      </c>
      <c r="CE11" s="67"/>
      <c r="CF11" s="68">
        <f t="shared" si="0"/>
        <v>6.9047619047619051</v>
      </c>
      <c r="CG11" s="69">
        <f t="shared" si="18"/>
        <v>5.7184213606870253</v>
      </c>
      <c r="CH11" s="70">
        <f t="shared" si="19"/>
        <v>4.0088329407936518</v>
      </c>
      <c r="CI11" s="71">
        <f t="shared" si="1"/>
        <v>1.9427138128125745</v>
      </c>
      <c r="CJ11" s="72">
        <f>SUM(AK11*4, AN11*2/(AM11+1), AL11*4)/7.5</f>
        <v>0</v>
      </c>
      <c r="CK11" s="68">
        <f>SUM(AN11*3, AO11*2, AP11*2, AQ11*2, AK11*3)/8</f>
        <v>0</v>
      </c>
      <c r="CL11" s="68">
        <f t="shared" si="20"/>
        <v>1.6666666666666667</v>
      </c>
      <c r="CM11" s="67"/>
      <c r="CO11" t="s">
        <v>389</v>
      </c>
      <c r="CP11" t="s">
        <v>389</v>
      </c>
    </row>
    <row r="12" spans="1:94">
      <c r="B12" s="29">
        <v>25</v>
      </c>
      <c r="C12" s="37" t="s">
        <v>43</v>
      </c>
      <c r="D12" s="59">
        <v>3</v>
      </c>
      <c r="E12" s="59">
        <f>10/D12</f>
        <v>3.3333333333333335</v>
      </c>
      <c r="F12" s="59">
        <v>2320</v>
      </c>
      <c r="G12" s="59">
        <f>(3.3-((M12*3.3)/2))</f>
        <v>2.0074999999999998</v>
      </c>
      <c r="H12" s="59">
        <v>1</v>
      </c>
      <c r="I12" s="59">
        <v>1</v>
      </c>
      <c r="J12" s="59">
        <v>1</v>
      </c>
      <c r="K12" s="59">
        <v>0</v>
      </c>
      <c r="L12" s="59">
        <v>0</v>
      </c>
      <c r="M12" s="59">
        <f>AVERAGE(3, 1.7) / 3</f>
        <v>0.78333333333333333</v>
      </c>
      <c r="N12" s="59">
        <f>1-(1*(T12/2))</f>
        <v>0.25</v>
      </c>
      <c r="O12" s="59">
        <v>2480</v>
      </c>
      <c r="P12" s="59">
        <v>2480</v>
      </c>
      <c r="Q12" s="59">
        <v>1240</v>
      </c>
      <c r="R12" s="59">
        <v>0</v>
      </c>
      <c r="S12" s="59">
        <v>2480</v>
      </c>
      <c r="T12" s="59">
        <v>1.5</v>
      </c>
      <c r="U12" s="59">
        <v>0</v>
      </c>
      <c r="V12" s="32">
        <f>13600/1400</f>
        <v>9.7142857142857135</v>
      </c>
      <c r="W12" s="32">
        <v>5</v>
      </c>
      <c r="X12" s="32">
        <v>0</v>
      </c>
      <c r="Y12" s="32">
        <v>7</v>
      </c>
      <c r="Z12" s="32">
        <v>0</v>
      </c>
      <c r="AA12" s="32">
        <v>0</v>
      </c>
      <c r="AB12" s="32">
        <v>0</v>
      </c>
      <c r="AC12" s="32">
        <v>0</v>
      </c>
      <c r="AD12" s="32">
        <v>6</v>
      </c>
      <c r="AE12" s="32">
        <v>9</v>
      </c>
      <c r="AF12" s="32">
        <v>8</v>
      </c>
      <c r="AG12" s="61">
        <v>0</v>
      </c>
      <c r="AH12" s="73">
        <v>6</v>
      </c>
      <c r="AI12" s="73">
        <v>0</v>
      </c>
      <c r="AJ12" s="62">
        <f>(BH12/5+1)*AI12</f>
        <v>0</v>
      </c>
      <c r="AK12" s="73">
        <v>0</v>
      </c>
      <c r="AL12" s="73">
        <v>0</v>
      </c>
      <c r="AM12" s="73">
        <v>0</v>
      </c>
      <c r="AN12" s="73">
        <v>0</v>
      </c>
      <c r="AO12" s="73">
        <v>0</v>
      </c>
      <c r="AP12" s="73">
        <v>0</v>
      </c>
      <c r="AQ12" s="73">
        <v>0</v>
      </c>
      <c r="AR12" s="73">
        <v>0</v>
      </c>
      <c r="AS12" s="73">
        <v>2</v>
      </c>
      <c r="AT12" s="73">
        <v>0</v>
      </c>
      <c r="AU12" s="73">
        <v>0</v>
      </c>
      <c r="AV12" s="63">
        <v>0</v>
      </c>
      <c r="AW12" s="63">
        <v>0</v>
      </c>
      <c r="AX12" s="64">
        <v>0</v>
      </c>
      <c r="AY12" s="63">
        <v>0</v>
      </c>
      <c r="AZ12" s="63">
        <v>0</v>
      </c>
      <c r="BA12" s="63">
        <v>0</v>
      </c>
      <c r="BB12" s="63">
        <v>0</v>
      </c>
      <c r="BC12" s="63">
        <v>0</v>
      </c>
      <c r="BD12" s="65">
        <v>0</v>
      </c>
      <c r="BE12" s="63">
        <v>0</v>
      </c>
      <c r="BF12" s="74">
        <v>5</v>
      </c>
      <c r="BG12" s="64">
        <v>0</v>
      </c>
      <c r="BH12" s="74">
        <v>0</v>
      </c>
      <c r="BI12" s="63">
        <v>0</v>
      </c>
      <c r="BJ12" s="63">
        <v>0</v>
      </c>
      <c r="BK12" s="64">
        <v>1</v>
      </c>
      <c r="BL12" s="63">
        <v>0</v>
      </c>
      <c r="BM12" s="66">
        <f t="shared" si="2"/>
        <v>4.7582666666666666</v>
      </c>
      <c r="BN12" s="58">
        <f t="shared" si="3"/>
        <v>4.7582666666666666</v>
      </c>
      <c r="BO12" s="58">
        <f t="shared" si="4"/>
        <v>3.0444761904761908</v>
      </c>
      <c r="BP12" s="58">
        <f t="shared" si="5"/>
        <v>2.1562037037037034</v>
      </c>
      <c r="BQ12" s="58">
        <f t="shared" si="6"/>
        <v>4.0145230769230764</v>
      </c>
      <c r="BR12" s="58">
        <f t="shared" si="7"/>
        <v>6.5235999999999992</v>
      </c>
      <c r="BS12" s="58">
        <f t="shared" si="8"/>
        <v>0.17222222222222222</v>
      </c>
      <c r="BT12" s="58">
        <f t="shared" si="9"/>
        <v>0</v>
      </c>
      <c r="BU12" s="67"/>
      <c r="BV12" s="58">
        <f t="shared" si="10"/>
        <v>7.799644835164834</v>
      </c>
      <c r="BW12" s="58">
        <f t="shared" si="11"/>
        <v>9.0531591836734684</v>
      </c>
      <c r="BX12" s="58">
        <f t="shared" si="12"/>
        <v>0.27883597883597877</v>
      </c>
      <c r="BY12" s="58">
        <f t="shared" si="13"/>
        <v>0</v>
      </c>
      <c r="BZ12" s="67"/>
      <c r="CA12" s="58">
        <f t="shared" si="14"/>
        <v>0</v>
      </c>
      <c r="CB12" s="58">
        <f t="shared" si="15"/>
        <v>0</v>
      </c>
      <c r="CC12" s="58">
        <f t="shared" si="16"/>
        <v>0</v>
      </c>
      <c r="CD12" s="58">
        <f t="shared" si="17"/>
        <v>0</v>
      </c>
      <c r="CE12" s="67"/>
      <c r="CF12" s="68">
        <f t="shared" si="0"/>
        <v>5.2380952380952381</v>
      </c>
      <c r="CG12" s="69">
        <f t="shared" si="18"/>
        <v>9.3965040013954297</v>
      </c>
      <c r="CH12" s="70">
        <f t="shared" si="19"/>
        <v>0.7138183332364284</v>
      </c>
      <c r="CI12" s="71">
        <f t="shared" si="1"/>
        <v>0</v>
      </c>
      <c r="CJ12" s="72">
        <f>SUM(AK12*4, AN12*2/(AM12+1), AL12*4)/7.5</f>
        <v>0</v>
      </c>
      <c r="CK12" s="68">
        <f>SUM(AN12*3, AO12*2, AP12*2, AQ12*2, AK12*3)/8</f>
        <v>0</v>
      </c>
      <c r="CL12" s="68">
        <f t="shared" si="20"/>
        <v>6.666666666666667</v>
      </c>
      <c r="CM12" s="67"/>
      <c r="CO12" t="s">
        <v>389</v>
      </c>
      <c r="CP12" t="s">
        <v>389</v>
      </c>
    </row>
    <row r="13" spans="1:94">
      <c r="B13" s="29">
        <v>89</v>
      </c>
      <c r="C13" s="30" t="s">
        <v>93</v>
      </c>
      <c r="D13" s="59">
        <v>6</v>
      </c>
      <c r="E13" s="59">
        <f>15/D13</f>
        <v>2.5</v>
      </c>
      <c r="F13" s="59">
        <v>1800</v>
      </c>
      <c r="G13" s="59">
        <f>(2.5-((M13*2.5)/2))</f>
        <v>1.8333333333333335</v>
      </c>
      <c r="H13" s="59">
        <v>1</v>
      </c>
      <c r="I13" s="59">
        <v>1</v>
      </c>
      <c r="J13" s="59">
        <v>1</v>
      </c>
      <c r="K13" s="59">
        <v>0</v>
      </c>
      <c r="L13" s="59">
        <v>0</v>
      </c>
      <c r="M13" s="59">
        <f>1.6 / 3</f>
        <v>0.53333333333333333</v>
      </c>
      <c r="N13" s="59">
        <f>0-(0*(T13/2))</f>
        <v>0</v>
      </c>
      <c r="O13" s="59">
        <v>0</v>
      </c>
      <c r="P13" s="59">
        <v>0</v>
      </c>
      <c r="Q13" s="59">
        <v>0</v>
      </c>
      <c r="R13" s="59">
        <v>0</v>
      </c>
      <c r="S13" s="60">
        <v>0</v>
      </c>
      <c r="T13" s="60">
        <v>0.1</v>
      </c>
      <c r="U13" s="60">
        <v>0</v>
      </c>
      <c r="V13" s="32">
        <f>8200/1400</f>
        <v>5.8571428571428568</v>
      </c>
      <c r="W13" s="32">
        <v>4</v>
      </c>
      <c r="X13" s="32">
        <v>2</v>
      </c>
      <c r="Y13" s="32">
        <v>5</v>
      </c>
      <c r="Z13" s="32">
        <v>0</v>
      </c>
      <c r="AA13" s="32">
        <f>(9 + 10 + 9 + 5)/4</f>
        <v>8.25</v>
      </c>
      <c r="AB13" s="32">
        <v>0</v>
      </c>
      <c r="AC13" s="32">
        <v>0</v>
      </c>
      <c r="AD13" s="32">
        <v>6</v>
      </c>
      <c r="AE13" s="32">
        <v>0</v>
      </c>
      <c r="AF13" s="32">
        <v>0</v>
      </c>
      <c r="AG13" s="61">
        <v>0</v>
      </c>
      <c r="AH13" s="61">
        <v>6</v>
      </c>
      <c r="AI13" s="61">
        <v>0</v>
      </c>
      <c r="AJ13" s="62">
        <f>(BH13/5+1)*AI13</f>
        <v>0</v>
      </c>
      <c r="AK13" s="61">
        <v>0</v>
      </c>
      <c r="AL13" s="61">
        <v>0</v>
      </c>
      <c r="AM13" s="61">
        <v>0</v>
      </c>
      <c r="AN13" s="61">
        <v>0</v>
      </c>
      <c r="AO13" s="61">
        <v>0</v>
      </c>
      <c r="AP13" s="61">
        <v>0</v>
      </c>
      <c r="AQ13" s="61">
        <v>0</v>
      </c>
      <c r="AR13" s="61">
        <v>0</v>
      </c>
      <c r="AS13" s="61">
        <v>0</v>
      </c>
      <c r="AT13" s="61">
        <v>0</v>
      </c>
      <c r="AU13" s="61">
        <v>0</v>
      </c>
      <c r="AV13" s="63">
        <v>0</v>
      </c>
      <c r="AW13" s="63">
        <v>0</v>
      </c>
      <c r="AX13" s="64">
        <v>0</v>
      </c>
      <c r="AY13" s="63">
        <v>0</v>
      </c>
      <c r="AZ13" s="63">
        <v>0</v>
      </c>
      <c r="BA13" s="63">
        <v>0</v>
      </c>
      <c r="BB13" s="63">
        <f>(5 + 9 + 10)/3</f>
        <v>8</v>
      </c>
      <c r="BC13" s="63">
        <v>0</v>
      </c>
      <c r="BD13" s="65">
        <v>0</v>
      </c>
      <c r="BE13" s="63">
        <v>0</v>
      </c>
      <c r="BF13" s="64">
        <v>0</v>
      </c>
      <c r="BG13" s="64">
        <v>0</v>
      </c>
      <c r="BH13" s="64">
        <v>0</v>
      </c>
      <c r="BI13" s="63">
        <v>0</v>
      </c>
      <c r="BJ13" s="63">
        <v>0</v>
      </c>
      <c r="BK13" s="64">
        <v>7</v>
      </c>
      <c r="BL13" s="63">
        <v>0</v>
      </c>
      <c r="BM13" s="66">
        <f t="shared" si="2"/>
        <v>2.2000000000000002</v>
      </c>
      <c r="BN13" s="58">
        <f t="shared" si="3"/>
        <v>2.2000000000000002</v>
      </c>
      <c r="BO13" s="58">
        <f t="shared" si="4"/>
        <v>1.2571428571428571</v>
      </c>
      <c r="BP13" s="58">
        <f t="shared" si="5"/>
        <v>1.2222222222222223</v>
      </c>
      <c r="BQ13" s="58">
        <f t="shared" si="6"/>
        <v>2.0307692307692311</v>
      </c>
      <c r="BR13" s="58">
        <f t="shared" si="7"/>
        <v>3.3000000000000007</v>
      </c>
      <c r="BS13" s="58">
        <f t="shared" si="8"/>
        <v>0</v>
      </c>
      <c r="BT13" s="58">
        <f t="shared" si="9"/>
        <v>0</v>
      </c>
      <c r="BU13" s="67"/>
      <c r="BV13" s="58">
        <f t="shared" si="10"/>
        <v>2.3789010989010988</v>
      </c>
      <c r="BW13" s="58">
        <f t="shared" si="11"/>
        <v>2.7612244897959188</v>
      </c>
      <c r="BX13" s="58">
        <f t="shared" si="12"/>
        <v>0</v>
      </c>
      <c r="BY13" s="58">
        <f t="shared" si="13"/>
        <v>0</v>
      </c>
      <c r="BZ13" s="67"/>
      <c r="CA13" s="58">
        <f t="shared" si="14"/>
        <v>0</v>
      </c>
      <c r="CB13" s="58">
        <f t="shared" si="15"/>
        <v>0</v>
      </c>
      <c r="CC13" s="58">
        <f t="shared" si="16"/>
        <v>0</v>
      </c>
      <c r="CD13" s="58">
        <f t="shared" si="17"/>
        <v>0</v>
      </c>
      <c r="CE13" s="67"/>
      <c r="CF13" s="68">
        <f t="shared" si="0"/>
        <v>3.9523809523809526</v>
      </c>
      <c r="CG13" s="69">
        <f t="shared" si="18"/>
        <v>5.8622315250886681</v>
      </c>
      <c r="CH13" s="70">
        <f>SUM(AA13*5, (AVERAGE(BV13, BW13, BX13, BY13)/2)*2, BA13*2)/6</f>
        <v>7.0891718995290418</v>
      </c>
      <c r="CI13" s="71">
        <f t="shared" si="1"/>
        <v>0</v>
      </c>
      <c r="CJ13" s="72">
        <f>SUM(AK13*4, AN13*2/(AM13+1), AL13*4)/7.5</f>
        <v>0</v>
      </c>
      <c r="CK13" s="68">
        <f>SUM(AN13*3, AO13*2, AP13*2, AQ13*2, AK13*3)/8</f>
        <v>0</v>
      </c>
      <c r="CL13" s="68">
        <f t="shared" si="20"/>
        <v>3.3333333333333335</v>
      </c>
      <c r="CM13" s="67"/>
      <c r="CO13" t="s">
        <v>389</v>
      </c>
      <c r="CP13" t="s">
        <v>389</v>
      </c>
    </row>
    <row r="14" spans="1:94">
      <c r="B14" s="29">
        <v>18</v>
      </c>
      <c r="C14" s="37" t="s">
        <v>53</v>
      </c>
      <c r="D14" s="59">
        <v>4</v>
      </c>
      <c r="E14" s="59">
        <f>10/D14</f>
        <v>2.5</v>
      </c>
      <c r="F14" s="59">
        <v>2480</v>
      </c>
      <c r="G14" s="59">
        <f>(2.5-((M14*2.5)/2))</f>
        <v>1.8333333333333335</v>
      </c>
      <c r="H14" s="59">
        <v>1</v>
      </c>
      <c r="I14" s="59">
        <v>1</v>
      </c>
      <c r="J14" s="59">
        <v>0.5</v>
      </c>
      <c r="K14" s="59">
        <v>0</v>
      </c>
      <c r="L14" s="59">
        <v>0</v>
      </c>
      <c r="M14" s="59">
        <f>1.6 / 3</f>
        <v>0.53333333333333333</v>
      </c>
      <c r="N14" s="59">
        <f>0-(0*(T14/2))</f>
        <v>0</v>
      </c>
      <c r="O14" s="59">
        <v>0</v>
      </c>
      <c r="P14" s="59">
        <v>0</v>
      </c>
      <c r="Q14" s="59">
        <v>0</v>
      </c>
      <c r="R14" s="59">
        <v>0</v>
      </c>
      <c r="S14" s="75">
        <v>0</v>
      </c>
      <c r="T14" s="75">
        <v>0.1</v>
      </c>
      <c r="U14" s="75">
        <v>0</v>
      </c>
      <c r="V14" s="32">
        <f>10000/1400</f>
        <v>7.1428571428571432</v>
      </c>
      <c r="W14" s="32">
        <v>3</v>
      </c>
      <c r="X14" s="32">
        <v>0</v>
      </c>
      <c r="Y14" s="32">
        <v>9</v>
      </c>
      <c r="Z14" s="32">
        <v>6</v>
      </c>
      <c r="AA14" s="32">
        <v>0</v>
      </c>
      <c r="AB14" s="32">
        <v>4</v>
      </c>
      <c r="AC14" s="32">
        <v>0</v>
      </c>
      <c r="AD14" s="32">
        <v>3</v>
      </c>
      <c r="AE14" s="32">
        <v>0</v>
      </c>
      <c r="AF14" s="32">
        <v>0</v>
      </c>
      <c r="AG14" s="61">
        <v>0</v>
      </c>
      <c r="AH14" s="73">
        <v>6</v>
      </c>
      <c r="AI14" s="73">
        <v>0</v>
      </c>
      <c r="AJ14" s="62">
        <f>(BH14/5+1)*AI14</f>
        <v>0</v>
      </c>
      <c r="AK14" s="73">
        <v>0</v>
      </c>
      <c r="AL14" s="73">
        <v>0</v>
      </c>
      <c r="AM14" s="73">
        <v>0</v>
      </c>
      <c r="AN14" s="73">
        <v>0</v>
      </c>
      <c r="AO14" s="73">
        <v>0</v>
      </c>
      <c r="AP14" s="73">
        <v>0</v>
      </c>
      <c r="AQ14" s="73">
        <v>0</v>
      </c>
      <c r="AR14" s="73">
        <v>0</v>
      </c>
      <c r="AS14" s="73">
        <v>2</v>
      </c>
      <c r="AT14" s="73">
        <v>0</v>
      </c>
      <c r="AU14" s="73">
        <v>0</v>
      </c>
      <c r="AV14" s="63">
        <v>0</v>
      </c>
      <c r="AW14" s="63">
        <v>0</v>
      </c>
      <c r="AX14" s="64">
        <v>0</v>
      </c>
      <c r="AY14" s="63">
        <v>0</v>
      </c>
      <c r="AZ14" s="63">
        <v>0</v>
      </c>
      <c r="BA14" s="63">
        <v>0</v>
      </c>
      <c r="BB14" s="63">
        <v>0</v>
      </c>
      <c r="BC14" s="63">
        <v>0</v>
      </c>
      <c r="BD14" s="65">
        <v>0</v>
      </c>
      <c r="BE14" s="63">
        <v>0</v>
      </c>
      <c r="BF14" s="74">
        <v>1</v>
      </c>
      <c r="BG14" s="64">
        <v>0</v>
      </c>
      <c r="BH14" s="74">
        <v>0</v>
      </c>
      <c r="BI14" s="63">
        <v>0</v>
      </c>
      <c r="BJ14" s="63">
        <v>3</v>
      </c>
      <c r="BK14" s="64">
        <v>7</v>
      </c>
      <c r="BL14" s="63">
        <v>0</v>
      </c>
      <c r="BM14" s="66">
        <f t="shared" si="2"/>
        <v>3.0311111111111115</v>
      </c>
      <c r="BN14" s="58">
        <f t="shared" si="3"/>
        <v>3.0311111111111115</v>
      </c>
      <c r="BO14" s="58">
        <f t="shared" si="4"/>
        <v>1.299047619047619</v>
      </c>
      <c r="BP14" s="58">
        <f t="shared" si="5"/>
        <v>1.2629629629629631</v>
      </c>
      <c r="BQ14" s="58">
        <f t="shared" si="6"/>
        <v>2.7979487179487181</v>
      </c>
      <c r="BR14" s="58">
        <f t="shared" si="7"/>
        <v>2.0666666666666669</v>
      </c>
      <c r="BS14" s="58">
        <f t="shared" si="8"/>
        <v>0</v>
      </c>
      <c r="BT14" s="58">
        <f t="shared" si="9"/>
        <v>0</v>
      </c>
      <c r="BU14" s="67"/>
      <c r="BV14" s="58">
        <f t="shared" si="10"/>
        <v>3.997069597069598</v>
      </c>
      <c r="BW14" s="58">
        <f t="shared" si="11"/>
        <v>2.1088435374149666</v>
      </c>
      <c r="BX14" s="58">
        <f t="shared" si="12"/>
        <v>0</v>
      </c>
      <c r="BY14" s="58">
        <f t="shared" si="13"/>
        <v>0</v>
      </c>
      <c r="BZ14" s="67"/>
      <c r="CA14" s="58">
        <f t="shared" si="14"/>
        <v>0</v>
      </c>
      <c r="CB14" s="58">
        <f t="shared" si="15"/>
        <v>0</v>
      </c>
      <c r="CC14" s="58">
        <f t="shared" si="16"/>
        <v>0</v>
      </c>
      <c r="CD14" s="58">
        <f t="shared" si="17"/>
        <v>0</v>
      </c>
      <c r="CE14" s="67"/>
      <c r="CF14" s="68">
        <f t="shared" si="0"/>
        <v>4.3809523809523805</v>
      </c>
      <c r="CG14" s="69">
        <f t="shared" si="18"/>
        <v>7.2671046766284872</v>
      </c>
      <c r="CH14" s="70">
        <f t="shared" si="19"/>
        <v>0.25441304727019021</v>
      </c>
      <c r="CI14" s="71">
        <f t="shared" si="1"/>
        <v>1.4593846153846157</v>
      </c>
      <c r="CJ14" s="72">
        <f>SUM(AK14*4, AN14*2/(AM14+1), AL14*4)/7.5</f>
        <v>0</v>
      </c>
      <c r="CK14" s="68">
        <f>SUM(AN14*3, AO14*2, AP14*2, AQ14*2, AK14*3)/8</f>
        <v>0</v>
      </c>
      <c r="CL14" s="68">
        <f t="shared" si="20"/>
        <v>8</v>
      </c>
      <c r="CM14" s="67"/>
      <c r="CO14" t="s">
        <v>389</v>
      </c>
      <c r="CP14" t="s">
        <v>389</v>
      </c>
    </row>
    <row r="15" spans="1:94">
      <c r="B15" s="29">
        <v>16</v>
      </c>
      <c r="C15" s="37" t="s">
        <v>84</v>
      </c>
      <c r="D15" s="59">
        <v>5</v>
      </c>
      <c r="E15" s="59">
        <f>16/D15</f>
        <v>3.2</v>
      </c>
      <c r="F15" s="59">
        <v>1960</v>
      </c>
      <c r="G15" s="59">
        <f>(2.15-((M15*2.15)/2))</f>
        <v>1.5408333333333333</v>
      </c>
      <c r="H15" s="59">
        <v>1</v>
      </c>
      <c r="I15" s="59">
        <v>1</v>
      </c>
      <c r="J15" s="59">
        <v>1</v>
      </c>
      <c r="K15" s="59">
        <v>0.5</v>
      </c>
      <c r="L15" s="59">
        <v>0</v>
      </c>
      <c r="M15" s="59">
        <f>1.7 / 3</f>
        <v>0.56666666666666665</v>
      </c>
      <c r="N15" s="59">
        <f>2.5-(2.5*(T15/2))</f>
        <v>2.25</v>
      </c>
      <c r="O15" s="59">
        <v>1200</v>
      </c>
      <c r="P15" s="59">
        <v>1200</v>
      </c>
      <c r="Q15" s="59">
        <v>2400</v>
      </c>
      <c r="R15" s="59">
        <v>2400</v>
      </c>
      <c r="S15" s="59">
        <v>7200</v>
      </c>
      <c r="T15" s="59">
        <v>0.2</v>
      </c>
      <c r="U15" s="59">
        <v>0</v>
      </c>
      <c r="V15" s="32">
        <f>7000/1400</f>
        <v>5</v>
      </c>
      <c r="W15" s="32">
        <v>6</v>
      </c>
      <c r="X15" s="32">
        <v>0</v>
      </c>
      <c r="Y15" s="32">
        <v>1</v>
      </c>
      <c r="Z15" s="32">
        <v>2</v>
      </c>
      <c r="AA15" s="32">
        <f>(3 + 2 + 3 + 9)/4</f>
        <v>4.25</v>
      </c>
      <c r="AB15" s="32">
        <v>0</v>
      </c>
      <c r="AC15" s="32">
        <v>0</v>
      </c>
      <c r="AD15" s="32">
        <v>6</v>
      </c>
      <c r="AE15" s="32">
        <v>0</v>
      </c>
      <c r="AF15" s="32">
        <v>0</v>
      </c>
      <c r="AG15" s="61">
        <v>0</v>
      </c>
      <c r="AH15" s="73">
        <v>5</v>
      </c>
      <c r="AI15" s="73">
        <v>0</v>
      </c>
      <c r="AJ15" s="62">
        <f>(BH15/5+1)*AI15</f>
        <v>0</v>
      </c>
      <c r="AK15" s="73">
        <v>4</v>
      </c>
      <c r="AL15" s="73">
        <v>1</v>
      </c>
      <c r="AM15" s="73">
        <v>0</v>
      </c>
      <c r="AN15" s="73">
        <v>6</v>
      </c>
      <c r="AO15" s="73">
        <v>7</v>
      </c>
      <c r="AP15" s="73">
        <v>10</v>
      </c>
      <c r="AQ15" s="73">
        <v>0</v>
      </c>
      <c r="AR15" s="73">
        <v>0</v>
      </c>
      <c r="AS15" s="73">
        <v>9</v>
      </c>
      <c r="AT15" s="73">
        <v>0</v>
      </c>
      <c r="AU15" s="73">
        <v>0</v>
      </c>
      <c r="AV15" s="63">
        <v>0</v>
      </c>
      <c r="AW15" s="63">
        <v>0</v>
      </c>
      <c r="AX15" s="64">
        <v>0</v>
      </c>
      <c r="AY15" s="63">
        <v>0</v>
      </c>
      <c r="AZ15" s="63">
        <v>0</v>
      </c>
      <c r="BA15" s="63">
        <v>0</v>
      </c>
      <c r="BB15" s="63">
        <v>0</v>
      </c>
      <c r="BC15" s="63">
        <v>0</v>
      </c>
      <c r="BD15" s="65">
        <v>0</v>
      </c>
      <c r="BE15" s="63">
        <v>0</v>
      </c>
      <c r="BF15" s="74">
        <v>0</v>
      </c>
      <c r="BG15" s="64">
        <v>0</v>
      </c>
      <c r="BH15" s="74">
        <v>0</v>
      </c>
      <c r="BI15" s="63">
        <v>0</v>
      </c>
      <c r="BJ15" s="63">
        <v>0</v>
      </c>
      <c r="BK15" s="64">
        <v>7</v>
      </c>
      <c r="BL15" s="63">
        <v>0</v>
      </c>
      <c r="BM15" s="66">
        <f>(((H15*G15*F15)+O15+(U15/4))/1500)+((AO15*(AP15/3))/5)</f>
        <v>7.4800222222222228</v>
      </c>
      <c r="BN15" s="58">
        <f t="shared" ref="BN15" si="21">(((H15*G15*F15)+P15+(U15/4))/1500)+((AO15*(AP15/5))/5)</f>
        <v>5.6133555555555557</v>
      </c>
      <c r="BO15" s="58">
        <f t="shared" ref="BO15" si="22">((((H15*(W15/7))*G15*F15)+Q15+(U15/4))/1500)+((AO15*(AP15/7))/5)</f>
        <v>5.325733333333333</v>
      </c>
      <c r="BP15" s="58">
        <f t="shared" ref="BP15" si="23">((((H15*(W15/9))*G15*F15)+R15+(U15/4))/1200)+((AO15*(AP15/9))/5)</f>
        <v>5.233351851851852</v>
      </c>
      <c r="BQ15" s="58">
        <f t="shared" si="6"/>
        <v>2.418358974358974</v>
      </c>
      <c r="BR15" s="58">
        <f t="shared" si="7"/>
        <v>3.9298333333333328</v>
      </c>
      <c r="BS15" s="58">
        <f t="shared" si="8"/>
        <v>5.3814848484848481</v>
      </c>
      <c r="BT15" s="58">
        <f t="shared" si="9"/>
        <v>2.88</v>
      </c>
      <c r="BU15" s="67"/>
      <c r="BV15" s="58">
        <f t="shared" si="10"/>
        <v>2.418358974358974</v>
      </c>
      <c r="BW15" s="58">
        <f t="shared" si="11"/>
        <v>2.8070238095238094</v>
      </c>
      <c r="BX15" s="58">
        <f t="shared" si="12"/>
        <v>4.4845707070707066</v>
      </c>
      <c r="BY15" s="58">
        <f t="shared" si="13"/>
        <v>1.7280000000000002</v>
      </c>
      <c r="BZ15" s="67"/>
      <c r="CA15" s="58">
        <f t="shared" si="14"/>
        <v>0</v>
      </c>
      <c r="CB15" s="58">
        <f t="shared" si="15"/>
        <v>0</v>
      </c>
      <c r="CC15" s="58">
        <f t="shared" si="16"/>
        <v>0</v>
      </c>
      <c r="CD15" s="58">
        <f t="shared" si="17"/>
        <v>0</v>
      </c>
      <c r="CE15" s="67"/>
      <c r="CF15" s="68">
        <f t="shared" si="0"/>
        <v>3.3333333333333335</v>
      </c>
      <c r="CG15" s="69">
        <f t="shared" si="18"/>
        <v>4.9055839099172429</v>
      </c>
      <c r="CH15" s="70">
        <f t="shared" si="19"/>
        <v>4.0182480621230621</v>
      </c>
      <c r="CI15" s="71">
        <f t="shared" si="1"/>
        <v>3.6</v>
      </c>
      <c r="CJ15" s="72">
        <f>SUM(AK15*4, AN15*2/(AM15+1), AL15*4)/7.5</f>
        <v>4.2666666666666666</v>
      </c>
      <c r="CK15" s="68">
        <f>SUM(AN15*3, AO15*2, AP15*2, AQ15*2, AK15*3)/8</f>
        <v>8</v>
      </c>
      <c r="CL15" s="68">
        <f t="shared" si="20"/>
        <v>9.6666666666666679</v>
      </c>
      <c r="CM15" s="67"/>
      <c r="CO15" t="s">
        <v>389</v>
      </c>
      <c r="CP15" t="s">
        <v>389</v>
      </c>
    </row>
    <row r="16" spans="1:94">
      <c r="B16" s="29">
        <v>49</v>
      </c>
      <c r="C16" s="30" t="s">
        <v>77</v>
      </c>
      <c r="D16" s="59">
        <v>5</v>
      </c>
      <c r="E16" s="59">
        <f>16/D16</f>
        <v>3.2</v>
      </c>
      <c r="F16" s="59">
        <v>2000</v>
      </c>
      <c r="G16" s="59">
        <f>(1.65-((M16*1.65)/2))</f>
        <v>1.1000000000000001</v>
      </c>
      <c r="H16" s="59">
        <v>1</v>
      </c>
      <c r="I16" s="59">
        <v>1</v>
      </c>
      <c r="J16" s="59">
        <v>0</v>
      </c>
      <c r="K16" s="59">
        <v>0</v>
      </c>
      <c r="L16" s="59">
        <v>0</v>
      </c>
      <c r="M16" s="59">
        <f>2 / 3</f>
        <v>0.66666666666666663</v>
      </c>
      <c r="N16" s="59">
        <f>1-(1*(T16/2))</f>
        <v>0.95</v>
      </c>
      <c r="O16" s="59">
        <v>1800</v>
      </c>
      <c r="P16" s="59">
        <v>1800</v>
      </c>
      <c r="Q16" s="59">
        <v>1800</v>
      </c>
      <c r="R16" s="59">
        <v>1800</v>
      </c>
      <c r="S16" s="59">
        <v>1800</v>
      </c>
      <c r="T16" s="59">
        <v>0.1</v>
      </c>
      <c r="U16" s="59">
        <v>0</v>
      </c>
      <c r="V16" s="32">
        <f>8000/1400 + (5 + 6 + 6)/3/3.5</f>
        <v>7.3333333333333339</v>
      </c>
      <c r="W16" s="32">
        <v>1</v>
      </c>
      <c r="X16" s="32">
        <f>(8.5 + 3 + 6)/3</f>
        <v>5.833333333333333</v>
      </c>
      <c r="Y16" s="32">
        <v>1</v>
      </c>
      <c r="Z16" s="32">
        <v>3</v>
      </c>
      <c r="AA16" s="32">
        <v>0</v>
      </c>
      <c r="AB16" s="32">
        <v>0</v>
      </c>
      <c r="AC16" s="32">
        <v>0</v>
      </c>
      <c r="AD16" s="32">
        <v>1</v>
      </c>
      <c r="AE16" s="32">
        <v>0</v>
      </c>
      <c r="AF16" s="32">
        <v>0</v>
      </c>
      <c r="AG16" s="61">
        <v>0</v>
      </c>
      <c r="AH16" s="61">
        <v>9</v>
      </c>
      <c r="AI16" s="61">
        <v>6</v>
      </c>
      <c r="AJ16" s="62">
        <f>(BH16/5+1)*AI16</f>
        <v>6</v>
      </c>
      <c r="AK16" s="61">
        <v>0</v>
      </c>
      <c r="AL16" s="61">
        <v>0</v>
      </c>
      <c r="AM16" s="61">
        <v>0</v>
      </c>
      <c r="AN16" s="61">
        <v>0</v>
      </c>
      <c r="AO16" s="61">
        <v>0</v>
      </c>
      <c r="AP16" s="61">
        <v>0</v>
      </c>
      <c r="AQ16" s="61">
        <v>0</v>
      </c>
      <c r="AR16" s="61">
        <v>0</v>
      </c>
      <c r="AS16" s="61">
        <v>7</v>
      </c>
      <c r="AT16" s="61">
        <v>0</v>
      </c>
      <c r="AU16" s="61">
        <v>0</v>
      </c>
      <c r="AV16" s="63">
        <v>0</v>
      </c>
      <c r="AW16" s="63">
        <v>0</v>
      </c>
      <c r="AX16" s="64">
        <v>0</v>
      </c>
      <c r="AY16" s="63">
        <v>0</v>
      </c>
      <c r="AZ16" s="63">
        <v>0</v>
      </c>
      <c r="BA16" s="63">
        <v>0</v>
      </c>
      <c r="BB16" s="63">
        <v>0</v>
      </c>
      <c r="BC16" s="63">
        <v>0</v>
      </c>
      <c r="BD16" s="65">
        <v>0</v>
      </c>
      <c r="BE16" s="63">
        <v>0</v>
      </c>
      <c r="BF16" s="64">
        <v>0</v>
      </c>
      <c r="BG16" s="64">
        <v>0</v>
      </c>
      <c r="BH16" s="64">
        <v>0</v>
      </c>
      <c r="BI16" s="63">
        <v>0</v>
      </c>
      <c r="BJ16" s="63">
        <v>0</v>
      </c>
      <c r="BK16" s="64">
        <v>6</v>
      </c>
      <c r="BL16" s="63">
        <v>0</v>
      </c>
      <c r="BM16" s="66">
        <f t="shared" ref="BM16:BM20" si="24">(((H16*G16*F16)+O16+(U16/4))/1500)+((AO16*(AP16/3))/5)</f>
        <v>2.6666666666666665</v>
      </c>
      <c r="BN16" s="58">
        <f t="shared" ref="BN16:BN20" si="25">(((H16*G16*F16)+P16+(U16/4))/1500)+((AO16*(AP16/5))/5)</f>
        <v>2.6666666666666665</v>
      </c>
      <c r="BO16" s="58">
        <f t="shared" ref="BO16:BO20" si="26">((((H16*(W16/7))*G16*F16)+Q16+(U16/4))/1500)+((AO16*(AP16/7))/5)</f>
        <v>1.4095238095238094</v>
      </c>
      <c r="BP16" s="58">
        <f t="shared" ref="BP16:BP20" si="27">((((H16*(W16/9))*G16*F16)+R16+(U16/4))/1200)+((AO16*(AP16/9))/5)</f>
        <v>1.7037037037037037</v>
      </c>
      <c r="BQ16" s="58">
        <f t="shared" si="6"/>
        <v>1.8080000000000001</v>
      </c>
      <c r="BR16" s="58">
        <f t="shared" si="7"/>
        <v>0.28499999999999998</v>
      </c>
      <c r="BS16" s="58">
        <f t="shared" si="8"/>
        <v>0.56999999999999995</v>
      </c>
      <c r="BT16" s="58">
        <f t="shared" si="9"/>
        <v>0.91200000000000003</v>
      </c>
      <c r="BU16" s="67"/>
      <c r="BV16" s="58">
        <f t="shared" si="10"/>
        <v>2.6517333333333335</v>
      </c>
      <c r="BW16" s="58">
        <f t="shared" si="11"/>
        <v>0.29857142857142854</v>
      </c>
      <c r="BX16" s="58">
        <f t="shared" si="12"/>
        <v>0.69666666666666677</v>
      </c>
      <c r="BY16" s="58">
        <f t="shared" si="13"/>
        <v>9.1200000000000003E-2</v>
      </c>
      <c r="BZ16" s="67"/>
      <c r="CA16" s="58">
        <f t="shared" si="14"/>
        <v>5.303466666666667</v>
      </c>
      <c r="CB16" s="58">
        <f t="shared" si="15"/>
        <v>0.66349206349206347</v>
      </c>
      <c r="CC16" s="58">
        <f t="shared" si="16"/>
        <v>1.6720000000000002</v>
      </c>
      <c r="CD16" s="58">
        <f t="shared" si="17"/>
        <v>0.28800000000000003</v>
      </c>
      <c r="CE16" s="67"/>
      <c r="CF16" s="68">
        <f t="shared" si="0"/>
        <v>9.4444444444444446</v>
      </c>
      <c r="CG16" s="69">
        <f t="shared" si="18"/>
        <v>6.0210102292768966</v>
      </c>
      <c r="CH16" s="70">
        <f t="shared" si="19"/>
        <v>0.15575714285714287</v>
      </c>
      <c r="CI16" s="71">
        <f t="shared" si="1"/>
        <v>1.35</v>
      </c>
      <c r="CJ16" s="72">
        <f>SUM(AK16*4, AN16*2/(AM16+1), AL16*4)/7.5</f>
        <v>0</v>
      </c>
      <c r="CK16" s="68">
        <f>SUM(AN16*3, AO16*2, AP16*2, AQ16*2, AK16*3)/8</f>
        <v>0</v>
      </c>
      <c r="CL16" s="68">
        <f t="shared" si="20"/>
        <v>7.6666666666666661</v>
      </c>
      <c r="CM16" s="67"/>
      <c r="CO16" t="s">
        <v>389</v>
      </c>
      <c r="CP16" t="s">
        <v>389</v>
      </c>
    </row>
    <row r="17" spans="2:94">
      <c r="B17" s="29">
        <v>12</v>
      </c>
      <c r="C17" s="37" t="s">
        <v>101</v>
      </c>
      <c r="D17" s="59">
        <v>6</v>
      </c>
      <c r="E17" s="59">
        <f>14/D17</f>
        <v>2.3333333333333335</v>
      </c>
      <c r="F17" s="59">
        <v>1360</v>
      </c>
      <c r="G17" s="59">
        <f>(1.65-((M17*1.65)/2))</f>
        <v>0.96249999999999991</v>
      </c>
      <c r="H17" s="59">
        <v>1.5</v>
      </c>
      <c r="I17" s="59">
        <v>0.6</v>
      </c>
      <c r="J17" s="59">
        <v>1.2</v>
      </c>
      <c r="K17" s="59">
        <v>1.8</v>
      </c>
      <c r="L17" s="59">
        <v>0.6</v>
      </c>
      <c r="M17" s="59">
        <f>2.5 / 3</f>
        <v>0.83333333333333337</v>
      </c>
      <c r="N17" s="59">
        <f>2-(2*(T17/2))</f>
        <v>1.9</v>
      </c>
      <c r="O17" s="59">
        <v>4000</v>
      </c>
      <c r="P17" s="59">
        <v>3000</v>
      </c>
      <c r="Q17" s="59">
        <v>2000</v>
      </c>
      <c r="R17" s="59">
        <v>1000</v>
      </c>
      <c r="S17" s="75">
        <v>4000</v>
      </c>
      <c r="T17" s="75">
        <v>0.1</v>
      </c>
      <c r="U17" s="75">
        <v>0</v>
      </c>
      <c r="V17" s="32">
        <f>4800/1400</f>
        <v>3.4285714285714284</v>
      </c>
      <c r="W17" s="32">
        <v>7</v>
      </c>
      <c r="X17" s="32">
        <v>0</v>
      </c>
      <c r="Y17" s="32">
        <v>1</v>
      </c>
      <c r="Z17" s="32">
        <v>7</v>
      </c>
      <c r="AA17" s="32">
        <f>(6 + 2 + 3 + 8)/4</f>
        <v>4.75</v>
      </c>
      <c r="AB17" s="32">
        <v>1</v>
      </c>
      <c r="AC17" s="32">
        <v>0</v>
      </c>
      <c r="AD17" s="32">
        <v>6</v>
      </c>
      <c r="AE17" s="32">
        <v>0</v>
      </c>
      <c r="AF17" s="32">
        <v>0</v>
      </c>
      <c r="AG17" s="61">
        <v>0</v>
      </c>
      <c r="AH17" s="73">
        <v>5</v>
      </c>
      <c r="AI17" s="73">
        <v>0</v>
      </c>
      <c r="AJ17" s="62">
        <f>(BH17/5+1)*AI17</f>
        <v>0</v>
      </c>
      <c r="AK17" s="73">
        <v>4</v>
      </c>
      <c r="AL17" s="73">
        <v>1</v>
      </c>
      <c r="AM17" s="73">
        <v>0</v>
      </c>
      <c r="AN17" s="73">
        <v>2</v>
      </c>
      <c r="AO17" s="73">
        <v>6</v>
      </c>
      <c r="AP17" s="73">
        <v>1</v>
      </c>
      <c r="AQ17" s="73">
        <v>10</v>
      </c>
      <c r="AR17" s="73">
        <v>5</v>
      </c>
      <c r="AS17" s="73">
        <v>1</v>
      </c>
      <c r="AT17" s="73">
        <f>(3 + 5 + 5 + 5)/4</f>
        <v>4.5</v>
      </c>
      <c r="AU17" s="73">
        <v>0</v>
      </c>
      <c r="AV17" s="63">
        <v>0</v>
      </c>
      <c r="AW17" s="63">
        <v>0</v>
      </c>
      <c r="AX17" s="64">
        <v>0</v>
      </c>
      <c r="AY17" s="63">
        <v>0</v>
      </c>
      <c r="AZ17" s="63">
        <v>0</v>
      </c>
      <c r="BA17" s="63">
        <v>0</v>
      </c>
      <c r="BB17" s="63">
        <v>0</v>
      </c>
      <c r="BC17" s="63">
        <v>0</v>
      </c>
      <c r="BD17" s="65">
        <v>0</v>
      </c>
      <c r="BE17" s="63">
        <v>0</v>
      </c>
      <c r="BF17" s="74">
        <v>0</v>
      </c>
      <c r="BG17" s="64">
        <v>0</v>
      </c>
      <c r="BH17" s="74">
        <v>0</v>
      </c>
      <c r="BI17" s="63">
        <v>0</v>
      </c>
      <c r="BJ17" s="63">
        <v>0.5</v>
      </c>
      <c r="BK17" s="64">
        <v>7</v>
      </c>
      <c r="BL17" s="63">
        <v>0</v>
      </c>
      <c r="BM17" s="66">
        <f t="shared" si="24"/>
        <v>4.3756666666666666</v>
      </c>
      <c r="BN17" s="58">
        <f t="shared" si="25"/>
        <v>3.5490000000000004</v>
      </c>
      <c r="BO17" s="58">
        <f t="shared" si="26"/>
        <v>2.8137619047619045</v>
      </c>
      <c r="BP17" s="58">
        <f t="shared" si="27"/>
        <v>2.2393055555555552</v>
      </c>
      <c r="BQ17" s="58">
        <f t="shared" si="6"/>
        <v>1.2709604519774009</v>
      </c>
      <c r="BR17" s="58">
        <f t="shared" si="7"/>
        <v>2.9229245283018868</v>
      </c>
      <c r="BS17" s="58">
        <f t="shared" si="8"/>
        <v>7.5894326241134742</v>
      </c>
      <c r="BT17" s="58">
        <f t="shared" si="9"/>
        <v>3.2496723163841801</v>
      </c>
      <c r="BU17" s="67"/>
      <c r="BV17" s="58">
        <f t="shared" si="10"/>
        <v>0.87151573849878916</v>
      </c>
      <c r="BW17" s="58">
        <f t="shared" si="11"/>
        <v>1.4316365036580669</v>
      </c>
      <c r="BX17" s="58">
        <f t="shared" si="12"/>
        <v>4.3368186423505568</v>
      </c>
      <c r="BY17" s="58">
        <f t="shared" si="13"/>
        <v>2.2747706214689258</v>
      </c>
      <c r="BZ17" s="67"/>
      <c r="CA17" s="58">
        <f t="shared" si="14"/>
        <v>0</v>
      </c>
      <c r="CB17" s="58">
        <f t="shared" si="15"/>
        <v>0</v>
      </c>
      <c r="CC17" s="58">
        <f t="shared" si="16"/>
        <v>0</v>
      </c>
      <c r="CD17" s="58">
        <f t="shared" si="17"/>
        <v>0</v>
      </c>
      <c r="CE17" s="67"/>
      <c r="CF17" s="68">
        <f t="shared" si="0"/>
        <v>2.8095238095238098</v>
      </c>
      <c r="CG17" s="69">
        <f t="shared" si="18"/>
        <v>4.0965297957153233</v>
      </c>
      <c r="CH17" s="70">
        <f t="shared" si="19"/>
        <v>4.3297808960823474</v>
      </c>
      <c r="CI17" s="71">
        <f>IF(Z17&lt;6, (Z17/2)*S17/2000, IF(Z17&lt;7, (Z17/2)*(AVERAGE(BQ17, BR17, BS17, BT17)/2.5), (Z17/2)*(AVERAGE(BQ17, BR17, BS17, BT17)/2.5)+(S17/2000)))</f>
        <v>7.2615464722719301</v>
      </c>
      <c r="CJ17" s="72">
        <f>SUM(AK17*4, AN17*2/(AM17+1), AL17*4)/7.5</f>
        <v>3.2</v>
      </c>
      <c r="CK17" s="68">
        <f>SUM(AN17*3, AO17*2, AP17*2, AQ17*2, AK17*3)/8</f>
        <v>6.5</v>
      </c>
      <c r="CL17" s="68">
        <f t="shared" si="20"/>
        <v>1.6666666666666667</v>
      </c>
      <c r="CM17" s="67"/>
      <c r="CO17" t="s">
        <v>389</v>
      </c>
      <c r="CP17" t="s">
        <v>389</v>
      </c>
    </row>
    <row r="18" spans="2:94">
      <c r="B18" s="29">
        <v>76</v>
      </c>
      <c r="C18" s="30" t="s">
        <v>57</v>
      </c>
      <c r="D18" s="59">
        <v>7</v>
      </c>
      <c r="E18" s="59">
        <f>16/D18</f>
        <v>2.2857142857142856</v>
      </c>
      <c r="F18" s="59">
        <v>1800</v>
      </c>
      <c r="G18" s="59">
        <f>(2.5-((M18*2.5)/2))</f>
        <v>1.9166666666666667</v>
      </c>
      <c r="H18" s="59">
        <v>1</v>
      </c>
      <c r="I18" s="59">
        <v>1</v>
      </c>
      <c r="J18" s="59">
        <v>0.8</v>
      </c>
      <c r="K18" s="59">
        <v>0.4</v>
      </c>
      <c r="L18" s="59">
        <v>0.2</v>
      </c>
      <c r="M18" s="59">
        <f>1.4 / 3</f>
        <v>0.46666666666666662</v>
      </c>
      <c r="N18" s="59">
        <f>2.5-(2.5*(T18/2))</f>
        <v>2.25</v>
      </c>
      <c r="O18" s="59">
        <v>1600</v>
      </c>
      <c r="P18" s="59">
        <v>3200</v>
      </c>
      <c r="Q18" s="59">
        <v>2400</v>
      </c>
      <c r="R18" s="59">
        <v>0</v>
      </c>
      <c r="S18" s="60">
        <v>6400</v>
      </c>
      <c r="T18" s="60">
        <v>0.2</v>
      </c>
      <c r="U18" s="60">
        <v>0</v>
      </c>
      <c r="V18" s="32">
        <f>6200/1400</f>
        <v>4.4285714285714288</v>
      </c>
      <c r="W18" s="32">
        <v>7</v>
      </c>
      <c r="X18" s="32">
        <v>0</v>
      </c>
      <c r="Y18" s="32">
        <v>1</v>
      </c>
      <c r="Z18" s="32">
        <v>6</v>
      </c>
      <c r="AA18" s="32">
        <v>0</v>
      </c>
      <c r="AB18" s="32">
        <v>0</v>
      </c>
      <c r="AC18" s="32">
        <v>1</v>
      </c>
      <c r="AD18" s="32">
        <v>7</v>
      </c>
      <c r="AE18" s="32">
        <v>0</v>
      </c>
      <c r="AF18" s="32">
        <v>0</v>
      </c>
      <c r="AG18" s="61">
        <v>0</v>
      </c>
      <c r="AH18" s="61">
        <v>5</v>
      </c>
      <c r="AI18" s="61">
        <v>0</v>
      </c>
      <c r="AJ18" s="62">
        <f>(BH18/5+1)*AI18</f>
        <v>0</v>
      </c>
      <c r="AK18" s="61">
        <v>4</v>
      </c>
      <c r="AL18" s="61">
        <v>1</v>
      </c>
      <c r="AM18" s="61">
        <v>0</v>
      </c>
      <c r="AN18" s="61">
        <v>7</v>
      </c>
      <c r="AO18" s="61">
        <v>4</v>
      </c>
      <c r="AP18" s="61">
        <v>4</v>
      </c>
      <c r="AQ18" s="61">
        <v>4</v>
      </c>
      <c r="AR18" s="61">
        <v>7.5</v>
      </c>
      <c r="AS18" s="61">
        <v>0</v>
      </c>
      <c r="AT18" s="61">
        <f>(3 + 5 + 5 + 5)/4</f>
        <v>4.5</v>
      </c>
      <c r="AU18" s="61">
        <v>5</v>
      </c>
      <c r="AV18" s="63">
        <v>0</v>
      </c>
      <c r="AW18" s="63">
        <v>0</v>
      </c>
      <c r="AX18" s="64">
        <v>0</v>
      </c>
      <c r="AY18" s="63">
        <v>0</v>
      </c>
      <c r="AZ18" s="63">
        <v>0</v>
      </c>
      <c r="BA18" s="63">
        <v>0</v>
      </c>
      <c r="BB18" s="63">
        <v>0</v>
      </c>
      <c r="BC18" s="63">
        <v>0</v>
      </c>
      <c r="BD18" s="65">
        <v>0</v>
      </c>
      <c r="BE18" s="63">
        <v>0</v>
      </c>
      <c r="BF18" s="64">
        <v>0</v>
      </c>
      <c r="BG18" s="63">
        <v>0</v>
      </c>
      <c r="BH18" s="63">
        <f>(5 + 5 + 10)/3</f>
        <v>6.666666666666667</v>
      </c>
      <c r="BI18" s="63">
        <v>0</v>
      </c>
      <c r="BJ18" s="63">
        <v>0</v>
      </c>
      <c r="BK18" s="64">
        <v>7</v>
      </c>
      <c r="BL18" s="63">
        <v>0</v>
      </c>
      <c r="BM18" s="66">
        <f t="shared" si="24"/>
        <v>4.4333333333333336</v>
      </c>
      <c r="BN18" s="58">
        <f t="shared" si="25"/>
        <v>5.0733333333333333</v>
      </c>
      <c r="BO18" s="58">
        <f t="shared" si="26"/>
        <v>4.3571428571428568</v>
      </c>
      <c r="BP18" s="58">
        <f t="shared" si="27"/>
        <v>2.5916666666666668</v>
      </c>
      <c r="BQ18" s="58">
        <f t="shared" si="6"/>
        <v>2.7091575091575093</v>
      </c>
      <c r="BR18" s="58">
        <f t="shared" si="7"/>
        <v>4.3168498168498166</v>
      </c>
      <c r="BS18" s="58">
        <f t="shared" si="8"/>
        <v>4.3112244897959187</v>
      </c>
      <c r="BT18" s="58">
        <f t="shared" si="9"/>
        <v>1.903448275862069</v>
      </c>
      <c r="BU18" s="67"/>
      <c r="BV18" s="58">
        <f t="shared" si="10"/>
        <v>2.3995395081109367</v>
      </c>
      <c r="BW18" s="58">
        <f t="shared" si="11"/>
        <v>2.7310682514764149</v>
      </c>
      <c r="BX18" s="58">
        <f t="shared" si="12"/>
        <v>3.1820942662779399</v>
      </c>
      <c r="BY18" s="58">
        <f t="shared" si="13"/>
        <v>1.3324137931034483</v>
      </c>
      <c r="BZ18" s="67"/>
      <c r="CA18" s="58">
        <f t="shared" si="14"/>
        <v>0</v>
      </c>
      <c r="CB18" s="58">
        <f t="shared" si="15"/>
        <v>0</v>
      </c>
      <c r="CC18" s="58">
        <f t="shared" si="16"/>
        <v>0</v>
      </c>
      <c r="CD18" s="58">
        <f t="shared" si="17"/>
        <v>0</v>
      </c>
      <c r="CE18" s="67"/>
      <c r="CF18" s="68">
        <f t="shared" si="0"/>
        <v>3.1428571428571428</v>
      </c>
      <c r="CG18" s="69">
        <f t="shared" si="18"/>
        <v>4.824489463673137</v>
      </c>
      <c r="CH18" s="70">
        <f t="shared" si="19"/>
        <v>0.40187982579036419</v>
      </c>
      <c r="CI18" s="71">
        <f t="shared" ref="CI18:CI20" si="28">IF(Z18&lt;6, (Z18/2)*S18/2000, IF(Z18&lt;7, (Z18/2)*(AVERAGE(BQ18, BR18, BS18, BT18)/2.5), (Z18/2)*(AVERAGE(BQ18, BR18, BS18, BT18)/2.5)+(S18/2000)))</f>
        <v>3.9722040274995942</v>
      </c>
      <c r="CJ18" s="72">
        <f>SUM(AK18*4, AN18*2/(AM18+1), AL18*4)/7.5</f>
        <v>4.5333333333333332</v>
      </c>
      <c r="CK18" s="68">
        <f>SUM(AN18*3, AO18*2, AP18*2, AQ18*2, AK18*3)/8</f>
        <v>7.125</v>
      </c>
      <c r="CL18" s="68">
        <f t="shared" si="20"/>
        <v>2.8888888888888893</v>
      </c>
      <c r="CM18" s="67"/>
      <c r="CO18" t="s">
        <v>389</v>
      </c>
      <c r="CP18" t="s">
        <v>389</v>
      </c>
    </row>
    <row r="19" spans="2:94">
      <c r="B19" s="29">
        <v>61</v>
      </c>
      <c r="C19" s="30" t="s">
        <v>40</v>
      </c>
      <c r="D19" s="59">
        <v>9</v>
      </c>
      <c r="E19" s="59">
        <f>21/D19</f>
        <v>2.3333333333333335</v>
      </c>
      <c r="F19" s="59">
        <v>1040</v>
      </c>
      <c r="G19" s="59">
        <f>(2.5-((M19*2.5)/2))</f>
        <v>1.25</v>
      </c>
      <c r="H19" s="59">
        <v>3</v>
      </c>
      <c r="I19" s="59">
        <v>3</v>
      </c>
      <c r="J19" s="59">
        <v>2.5</v>
      </c>
      <c r="K19" s="59">
        <v>1.5</v>
      </c>
      <c r="L19" s="59">
        <v>1</v>
      </c>
      <c r="M19" s="59">
        <f>3 / 3</f>
        <v>1</v>
      </c>
      <c r="N19" s="59">
        <f>1.5-(1.5*(T19/2))</f>
        <v>1.35</v>
      </c>
      <c r="O19" s="59">
        <v>0</v>
      </c>
      <c r="P19" s="59">
        <v>400</v>
      </c>
      <c r="Q19" s="59">
        <v>1200</v>
      </c>
      <c r="R19" s="59">
        <v>800</v>
      </c>
      <c r="S19" s="60">
        <v>400</v>
      </c>
      <c r="T19" s="60">
        <v>0.2</v>
      </c>
      <c r="U19" s="60">
        <v>0</v>
      </c>
      <c r="V19" s="32">
        <f>6200/1400</f>
        <v>4.4285714285714288</v>
      </c>
      <c r="W19" s="32">
        <v>8</v>
      </c>
      <c r="X19" s="32">
        <v>0</v>
      </c>
      <c r="Y19" s="32">
        <v>2</v>
      </c>
      <c r="Z19" s="32">
        <v>1</v>
      </c>
      <c r="AA19" s="32">
        <v>0</v>
      </c>
      <c r="AB19" s="32">
        <v>0</v>
      </c>
      <c r="AC19" s="32">
        <v>1</v>
      </c>
      <c r="AD19" s="32">
        <v>7</v>
      </c>
      <c r="AE19" s="32">
        <v>0</v>
      </c>
      <c r="AF19" s="32">
        <v>0</v>
      </c>
      <c r="AG19" s="61">
        <v>0</v>
      </c>
      <c r="AH19" s="61">
        <v>5</v>
      </c>
      <c r="AI19" s="61">
        <v>0</v>
      </c>
      <c r="AJ19" s="62">
        <f>(BH19/5+1)*AI19</f>
        <v>0</v>
      </c>
      <c r="AK19" s="61">
        <v>8</v>
      </c>
      <c r="AL19" s="61">
        <v>7</v>
      </c>
      <c r="AM19" s="61">
        <v>1</v>
      </c>
      <c r="AN19" s="61">
        <v>2</v>
      </c>
      <c r="AO19" s="61">
        <v>2</v>
      </c>
      <c r="AP19" s="61">
        <v>1</v>
      </c>
      <c r="AQ19" s="61">
        <v>8</v>
      </c>
      <c r="AR19" s="61">
        <v>7.5</v>
      </c>
      <c r="AS19" s="61">
        <v>0</v>
      </c>
      <c r="AT19" s="61">
        <f>(3 + 5 + 5 + 7)/4</f>
        <v>5</v>
      </c>
      <c r="AU19" s="61">
        <v>2.5</v>
      </c>
      <c r="AV19" s="63">
        <v>0</v>
      </c>
      <c r="AW19" s="63">
        <v>0</v>
      </c>
      <c r="AX19" s="64">
        <v>0</v>
      </c>
      <c r="AY19" s="63">
        <v>0</v>
      </c>
      <c r="AZ19" s="63">
        <v>0</v>
      </c>
      <c r="BA19" s="63">
        <v>0</v>
      </c>
      <c r="BB19" s="63">
        <v>0</v>
      </c>
      <c r="BC19" s="63">
        <v>0</v>
      </c>
      <c r="BD19" s="65">
        <v>4</v>
      </c>
      <c r="BE19" s="63">
        <v>0</v>
      </c>
      <c r="BF19" s="64">
        <v>0</v>
      </c>
      <c r="BG19" s="64">
        <v>0</v>
      </c>
      <c r="BH19" s="64">
        <v>0</v>
      </c>
      <c r="BI19" s="63">
        <v>0</v>
      </c>
      <c r="BJ19" s="63">
        <v>0</v>
      </c>
      <c r="BK19" s="64">
        <v>6</v>
      </c>
      <c r="BL19" s="63">
        <v>0</v>
      </c>
      <c r="BM19" s="66">
        <f t="shared" si="24"/>
        <v>2.7333333333333334</v>
      </c>
      <c r="BN19" s="58">
        <f t="shared" si="25"/>
        <v>2.9466666666666668</v>
      </c>
      <c r="BO19" s="58">
        <f t="shared" si="26"/>
        <v>3.8285714285714283</v>
      </c>
      <c r="BP19" s="58">
        <f t="shared" si="27"/>
        <v>3.5999999999999992</v>
      </c>
      <c r="BQ19" s="58">
        <f t="shared" si="6"/>
        <v>2.4</v>
      </c>
      <c r="BR19" s="58">
        <f t="shared" si="7"/>
        <v>3.1353535353535351</v>
      </c>
      <c r="BS19" s="58">
        <f t="shared" si="8"/>
        <v>3.6615384615384614</v>
      </c>
      <c r="BT19" s="58">
        <f t="shared" si="9"/>
        <v>3.49968253968254</v>
      </c>
      <c r="BU19" s="67"/>
      <c r="BV19" s="58">
        <f t="shared" si="10"/>
        <v>2.1257142857142854</v>
      </c>
      <c r="BW19" s="58">
        <f t="shared" si="11"/>
        <v>1.9835910121624407</v>
      </c>
      <c r="BX19" s="58">
        <f t="shared" si="12"/>
        <v>2.7025641025641023</v>
      </c>
      <c r="BY19" s="58">
        <f t="shared" si="13"/>
        <v>2.7997460317460319</v>
      </c>
      <c r="BZ19" s="67"/>
      <c r="CA19" s="58">
        <f t="shared" si="14"/>
        <v>0</v>
      </c>
      <c r="CB19" s="58">
        <f t="shared" si="15"/>
        <v>0</v>
      </c>
      <c r="CC19" s="58">
        <f t="shared" si="16"/>
        <v>0</v>
      </c>
      <c r="CD19" s="58">
        <f t="shared" si="17"/>
        <v>0</v>
      </c>
      <c r="CE19" s="67"/>
      <c r="CF19" s="68">
        <f t="shared" si="0"/>
        <v>3.1428571428571428</v>
      </c>
      <c r="CG19" s="69">
        <f t="shared" si="18"/>
        <v>5.1932818739167939</v>
      </c>
      <c r="CH19" s="70">
        <f t="shared" si="19"/>
        <v>0.40048397634111921</v>
      </c>
      <c r="CI19" s="71">
        <f t="shared" si="28"/>
        <v>0.1</v>
      </c>
      <c r="CJ19" s="72">
        <f>SUM(AK19*4, AN19*2/(AM19+1), AL19*4)/7.5</f>
        <v>8.2666666666666675</v>
      </c>
      <c r="CK19" s="68">
        <f>SUM(AN19*3, AO19*2, AP19*2, AQ19*2, AK19*3)/8</f>
        <v>6.5</v>
      </c>
      <c r="CL19" s="68">
        <f t="shared" si="20"/>
        <v>1.3333333333333333</v>
      </c>
      <c r="CM19" s="67"/>
      <c r="CO19" t="s">
        <v>389</v>
      </c>
      <c r="CP19" t="s">
        <v>389</v>
      </c>
    </row>
    <row r="20" spans="2:94">
      <c r="B20" s="4">
        <v>52</v>
      </c>
      <c r="C20" s="11" t="s">
        <v>69</v>
      </c>
      <c r="D20" s="59">
        <v>14</v>
      </c>
      <c r="E20" s="59">
        <f>31/D20</f>
        <v>2.2142857142857144</v>
      </c>
      <c r="F20" s="59">
        <v>640</v>
      </c>
      <c r="G20" s="59">
        <f>(3.3-((M20*3.3)/2))</f>
        <v>2.09</v>
      </c>
      <c r="H20" s="59">
        <v>4</v>
      </c>
      <c r="I20" s="59">
        <v>4</v>
      </c>
      <c r="J20" s="59">
        <v>3</v>
      </c>
      <c r="K20" s="59">
        <v>1.5</v>
      </c>
      <c r="L20" s="59">
        <v>0</v>
      </c>
      <c r="M20" s="59">
        <f>2.2 / 3</f>
        <v>0.73333333333333339</v>
      </c>
      <c r="N20" s="59">
        <f>0-(0*(T20/2))</f>
        <v>0</v>
      </c>
      <c r="O20" s="59">
        <v>0</v>
      </c>
      <c r="P20" s="59">
        <v>0</v>
      </c>
      <c r="Q20" s="59">
        <v>0</v>
      </c>
      <c r="R20" s="59">
        <v>0</v>
      </c>
      <c r="S20" s="60">
        <v>0</v>
      </c>
      <c r="T20" s="60">
        <v>0.1</v>
      </c>
      <c r="U20" s="60">
        <v>0</v>
      </c>
      <c r="V20" s="32">
        <f>7000/1400</f>
        <v>5</v>
      </c>
      <c r="W20" s="32">
        <v>7</v>
      </c>
      <c r="X20" s="32">
        <f>(6 + 4 + 7)/3</f>
        <v>5.666666666666667</v>
      </c>
      <c r="Y20" s="32">
        <v>3</v>
      </c>
      <c r="Z20" s="32">
        <v>0</v>
      </c>
      <c r="AA20" s="32">
        <v>0</v>
      </c>
      <c r="AB20" s="32">
        <v>0</v>
      </c>
      <c r="AC20" s="32">
        <v>0</v>
      </c>
      <c r="AD20" s="32">
        <v>6</v>
      </c>
      <c r="AE20" s="32">
        <v>0</v>
      </c>
      <c r="AF20" s="32">
        <v>0</v>
      </c>
      <c r="AG20" s="61">
        <v>0</v>
      </c>
      <c r="AH20" s="61">
        <v>10</v>
      </c>
      <c r="AI20" s="61">
        <v>0</v>
      </c>
      <c r="AJ20" s="62">
        <f>(BH20/5+1)*AI20</f>
        <v>0</v>
      </c>
      <c r="AK20" s="61">
        <v>0</v>
      </c>
      <c r="AL20" s="61">
        <v>0</v>
      </c>
      <c r="AM20" s="61">
        <v>0</v>
      </c>
      <c r="AN20" s="61">
        <v>0</v>
      </c>
      <c r="AO20" s="61">
        <v>0</v>
      </c>
      <c r="AP20" s="61">
        <v>0</v>
      </c>
      <c r="AQ20" s="61">
        <v>0</v>
      </c>
      <c r="AR20" s="61">
        <v>0</v>
      </c>
      <c r="AS20" s="61">
        <v>0</v>
      </c>
      <c r="AT20" s="61">
        <v>0</v>
      </c>
      <c r="AU20" s="61">
        <v>0</v>
      </c>
      <c r="AV20" s="63">
        <v>0</v>
      </c>
      <c r="AW20" s="63">
        <v>0</v>
      </c>
      <c r="AX20" s="64">
        <v>0</v>
      </c>
      <c r="AY20" s="63">
        <v>0</v>
      </c>
      <c r="AZ20" s="63">
        <v>0</v>
      </c>
      <c r="BA20" s="63">
        <f>(5 + 4)/2</f>
        <v>4.5</v>
      </c>
      <c r="BB20" s="63">
        <v>0</v>
      </c>
      <c r="BC20" s="63">
        <v>0</v>
      </c>
      <c r="BD20" s="65">
        <v>0</v>
      </c>
      <c r="BE20" s="63">
        <v>0</v>
      </c>
      <c r="BF20" s="64">
        <v>0</v>
      </c>
      <c r="BG20" s="64">
        <v>0</v>
      </c>
      <c r="BH20" s="64">
        <v>0</v>
      </c>
      <c r="BI20" s="63">
        <v>0</v>
      </c>
      <c r="BJ20" s="63">
        <v>0</v>
      </c>
      <c r="BK20" s="64">
        <v>6</v>
      </c>
      <c r="BL20" s="63">
        <v>0</v>
      </c>
      <c r="BM20" s="66">
        <f t="shared" si="24"/>
        <v>3.5669333333333331</v>
      </c>
      <c r="BN20" s="58">
        <f t="shared" si="25"/>
        <v>3.5669333333333331</v>
      </c>
      <c r="BO20" s="58">
        <f t="shared" si="26"/>
        <v>3.5669333333333331</v>
      </c>
      <c r="BP20" s="58">
        <f t="shared" si="27"/>
        <v>3.4678518518518513</v>
      </c>
      <c r="BQ20" s="58">
        <f t="shared" si="6"/>
        <v>3.2925538461538459</v>
      </c>
      <c r="BR20" s="58">
        <f t="shared" si="7"/>
        <v>3.3439999999999999</v>
      </c>
      <c r="BS20" s="58">
        <f t="shared" si="8"/>
        <v>2.6751999999999998</v>
      </c>
      <c r="BT20" s="58">
        <f t="shared" si="9"/>
        <v>0</v>
      </c>
      <c r="BU20" s="67"/>
      <c r="BV20" s="58">
        <f t="shared" si="10"/>
        <v>3.2925538461538459</v>
      </c>
      <c r="BW20" s="58">
        <f t="shared" si="11"/>
        <v>2.3885714285714283</v>
      </c>
      <c r="BX20" s="58">
        <f t="shared" si="12"/>
        <v>2.2293333333333334</v>
      </c>
      <c r="BY20" s="58">
        <f t="shared" si="13"/>
        <v>0</v>
      </c>
      <c r="BZ20" s="67"/>
      <c r="CA20" s="58">
        <f t="shared" si="14"/>
        <v>0</v>
      </c>
      <c r="CB20" s="58">
        <f t="shared" si="15"/>
        <v>0</v>
      </c>
      <c r="CC20" s="58">
        <f t="shared" si="16"/>
        <v>0</v>
      </c>
      <c r="CD20" s="58">
        <f t="shared" si="17"/>
        <v>0</v>
      </c>
      <c r="CE20" s="67"/>
      <c r="CF20" s="68">
        <f>SUM(AJ20*4, AH20*2, V20*2, BA20*2)/6</f>
        <v>6.5</v>
      </c>
      <c r="CG20" s="69">
        <f t="shared" si="18"/>
        <v>6.3097129833129832</v>
      </c>
      <c r="CH20" s="70">
        <f t="shared" si="19"/>
        <v>1.8296024420024419</v>
      </c>
      <c r="CI20" s="71">
        <f t="shared" si="28"/>
        <v>0</v>
      </c>
      <c r="CJ20" s="72">
        <f>SUM(AK20*4, AN20*2/(AM20+1), AL20*4)/7.5</f>
        <v>0</v>
      </c>
      <c r="CK20" s="68">
        <f>SUM(AN20*3, AO20*2, AP20*2, AQ20*2, AK20*3)/8</f>
        <v>0</v>
      </c>
      <c r="CL20" s="68">
        <f t="shared" si="20"/>
        <v>2</v>
      </c>
      <c r="CM20" s="67"/>
      <c r="CO20" t="s">
        <v>389</v>
      </c>
      <c r="CP20" t="s">
        <v>389</v>
      </c>
    </row>
    <row r="21" spans="2:94">
      <c r="C21" t="s">
        <v>390</v>
      </c>
    </row>
    <row r="22" spans="2:94">
      <c r="U22" s="128" t="s">
        <v>391</v>
      </c>
      <c r="V22" s="112" t="s">
        <v>390</v>
      </c>
      <c r="W22" s="113" t="s">
        <v>390</v>
      </c>
      <c r="X22" s="107" t="str">
        <f>BF2</f>
        <v>stun_debuffing</v>
      </c>
      <c r="Y22" s="107" t="str">
        <f>BV2</f>
        <v>balance_between_damage_and_durability_in_short_range</v>
      </c>
      <c r="Z22" s="113" t="s">
        <v>390</v>
      </c>
      <c r="AA22" s="107" t="str">
        <f>BS2</f>
        <v>usual_burst_damage_in_long_range</v>
      </c>
      <c r="AB22" s="107" t="str">
        <f>X2</f>
        <v>retreat_button</v>
      </c>
      <c r="AC22" s="107" t="str">
        <f>AD2</f>
        <v>counter_water_walking</v>
      </c>
      <c r="AD22" s="108" t="str">
        <f xml:space="preserve"> CONCATENATE("! ", AC2)</f>
        <v>! water_walking</v>
      </c>
      <c r="AE22" s="108" t="str">
        <f>AG2</f>
        <v>cover_creation_efficiency</v>
      </c>
      <c r="AF22" s="108" t="str">
        <f>AG2</f>
        <v>cover_creation_efficiency</v>
      </c>
      <c r="AG22" s="107" t="str">
        <f>AE2</f>
        <v>wall_break_efficiency</v>
      </c>
      <c r="AH22" s="112" t="s">
        <v>390</v>
      </c>
      <c r="AI22" s="112" t="s">
        <v>390</v>
      </c>
      <c r="AJ22" s="112" t="s">
        <v>390</v>
      </c>
      <c r="AK22" s="112" t="s">
        <v>390</v>
      </c>
      <c r="AL22" s="113" t="s">
        <v>390</v>
      </c>
      <c r="AM22" s="113" t="s">
        <v>390</v>
      </c>
      <c r="AN22" s="112" t="s">
        <v>390</v>
      </c>
      <c r="AO22" s="112" t="s">
        <v>390</v>
      </c>
      <c r="AP22" s="112" t="s">
        <v>390</v>
      </c>
      <c r="AQ22" s="113" t="s">
        <v>390</v>
      </c>
      <c r="AR22" s="113" t="s">
        <v>390</v>
      </c>
      <c r="AS22" s="113" t="s">
        <v>390</v>
      </c>
      <c r="AT22" s="107" t="s">
        <v>390</v>
      </c>
      <c r="AU22" s="107" t="s">
        <v>390</v>
      </c>
      <c r="AV22" s="107" t="str">
        <f>AW2</f>
        <v>counter_heal_buffing</v>
      </c>
      <c r="AW22" s="108" t="str">
        <f xml:space="preserve"> CONCATENATE("! ", AV2)</f>
        <v>! heal_buffing</v>
      </c>
      <c r="AX22" s="107" t="str">
        <f>AY2</f>
        <v>damage_buffing</v>
      </c>
      <c r="AY22" s="108" t="str">
        <f>AX2</f>
        <v>shield_buffing</v>
      </c>
      <c r="AZ22" s="107" t="str">
        <f>Y2</f>
        <v>wide_attack</v>
      </c>
      <c r="BA22" s="107" t="str">
        <f>Y2</f>
        <v>wide_attack</v>
      </c>
      <c r="BB22" s="107" t="str">
        <f>X2</f>
        <v>retreat_button</v>
      </c>
      <c r="BC22" s="107" t="str">
        <f>BM2</f>
        <v>object_burst_damage_in_short_range</v>
      </c>
      <c r="BD22" s="107" t="str">
        <f>BE2</f>
        <v>counter_poison_debuffing</v>
      </c>
      <c r="BE22" s="108" t="str">
        <f xml:space="preserve"> CONCATENATE("! ", BD2)</f>
        <v>! poison_debuffing</v>
      </c>
      <c r="BF22" s="107" t="str">
        <f>BG2</f>
        <v>counter_stun_debuffing</v>
      </c>
      <c r="BG22" s="108" t="str">
        <f xml:space="preserve"> CONCATENATE("! ", BF2)</f>
        <v>! stun_debuffing</v>
      </c>
      <c r="BH22" s="107" t="str">
        <f>BI2</f>
        <v>counter_slowness_debuffing</v>
      </c>
      <c r="BI22" s="108" t="str">
        <f xml:space="preserve"> CONCATENATE("! ", BH2)</f>
        <v>! slowness_debuffing</v>
      </c>
      <c r="BJ22" s="107" t="str">
        <f>BK2</f>
        <v>counter_attacks_canceling</v>
      </c>
      <c r="BK22" s="108" t="str">
        <f xml:space="preserve"> CONCATENATE("! ", BJ2)</f>
        <v>! attacks_canceling</v>
      </c>
      <c r="BL22" s="107" t="str">
        <f>X2</f>
        <v>retreat_button</v>
      </c>
      <c r="BM22" s="107" t="str">
        <f>BR2</f>
        <v>usual_burst_damage_in_medium_range</v>
      </c>
      <c r="BN22" s="107" t="str">
        <f>$CC2</f>
        <v>surprise_attack_power_in_long_range</v>
      </c>
      <c r="BO22" s="107" t="str">
        <f>$CC2</f>
        <v>surprise_attack_power_in_long_range</v>
      </c>
      <c r="BP22" s="107" t="str">
        <f>$CC2</f>
        <v>surprise_attack_power_in_long_range</v>
      </c>
      <c r="BQ22" s="107" t="str">
        <f>BR2</f>
        <v>usual_burst_damage_in_medium_range</v>
      </c>
      <c r="BR22" s="107" t="str">
        <f>$CC2</f>
        <v>surprise_attack_power_in_long_range</v>
      </c>
      <c r="BS22" s="107" t="str">
        <f>$CC2</f>
        <v>surprise_attack_power_in_long_range</v>
      </c>
      <c r="BT22" s="107" t="str">
        <f>$CC2</f>
        <v>surprise_attack_power_in_long_range</v>
      </c>
      <c r="BU22" s="107" t="s">
        <v>390</v>
      </c>
      <c r="BV22" s="107" t="str">
        <f>BR2</f>
        <v>usual_burst_damage_in_medium_range</v>
      </c>
      <c r="BW22" s="107" t="str">
        <f>BS2</f>
        <v>usual_burst_damage_in_long_range</v>
      </c>
      <c r="BX22" s="107" t="str">
        <f>BT2</f>
        <v>usual_burst_damage_in_very_long_range</v>
      </c>
      <c r="BY22" s="108" t="str">
        <f>CF2</f>
        <v>easy_approach</v>
      </c>
      <c r="BZ22" s="107" t="s">
        <v>390</v>
      </c>
      <c r="CA22" s="107" t="str">
        <f>$BV2</f>
        <v>balance_between_damage_and_durability_in_short_range</v>
      </c>
      <c r="CB22" s="107" t="str">
        <f t="shared" ref="CB22:CD22" si="29">$BV2</f>
        <v>balance_between_damage_and_durability_in_short_range</v>
      </c>
      <c r="CC22" s="107" t="str">
        <f t="shared" si="29"/>
        <v>balance_between_damage_and_durability_in_short_range</v>
      </c>
      <c r="CD22" s="107" t="str">
        <f t="shared" si="29"/>
        <v>balance_between_damage_and_durability_in_short_range</v>
      </c>
      <c r="CE22" s="107" t="s">
        <v>390</v>
      </c>
      <c r="CF22" s="107" t="str">
        <f>X2</f>
        <v>retreat_button</v>
      </c>
      <c r="CG22" s="107" t="str">
        <f>BS2</f>
        <v>usual_burst_damage_in_long_range</v>
      </c>
      <c r="CH22" s="107" t="str">
        <f>BS2</f>
        <v>usual_burst_damage_in_long_range</v>
      </c>
      <c r="CI22" s="107" t="str">
        <f>CA2</f>
        <v>surprise_attack_power_in_short_range</v>
      </c>
      <c r="CJ22" s="107" t="str">
        <f>Y2</f>
        <v>wide_attack</v>
      </c>
      <c r="CK22" s="107" t="str">
        <f>CL2</f>
        <v>groupment_punishment</v>
      </c>
      <c r="CL22" s="108" t="str">
        <f xml:space="preserve"> CONCATENATE("! ", CK2)</f>
        <v>! durable_pets_generation</v>
      </c>
      <c r="CM22" s="107" t="s">
        <v>390</v>
      </c>
    </row>
    <row r="23" spans="2:94">
      <c r="U23" s="128"/>
      <c r="V23" s="112" t="s">
        <v>390</v>
      </c>
      <c r="W23" s="112" t="s">
        <v>390</v>
      </c>
      <c r="X23" s="108" t="str">
        <f>CONCATENATE("! ", CF2)</f>
        <v>! easy_approach</v>
      </c>
      <c r="Y23" s="107" t="str">
        <f>BW2</f>
        <v>balance_between_damage_and_durability_in_medium_range</v>
      </c>
      <c r="Z23" s="112" t="s">
        <v>390</v>
      </c>
      <c r="AA23" s="107" t="str">
        <f>BT2</f>
        <v>usual_burst_damage_in_very_long_range</v>
      </c>
      <c r="AB23" s="108" t="s">
        <v>390</v>
      </c>
      <c r="AC23" s="107" t="s">
        <v>390</v>
      </c>
      <c r="AD23" s="107" t="s">
        <v>390</v>
      </c>
      <c r="AE23" s="108" t="str">
        <f xml:space="preserve"> CONCATENATE("! ", CI2)</f>
        <v>! indirect_damage</v>
      </c>
      <c r="AF23" s="107" t="s">
        <v>390</v>
      </c>
      <c r="AG23" s="107" t="str">
        <f>AF2</f>
        <v>grass_break_efficiency</v>
      </c>
      <c r="AH23" s="112" t="s">
        <v>390</v>
      </c>
      <c r="AI23" s="112" t="s">
        <v>390</v>
      </c>
      <c r="AJ23" s="112" t="s">
        <v>390</v>
      </c>
      <c r="AK23" s="112" t="s">
        <v>390</v>
      </c>
      <c r="AL23" s="112" t="s">
        <v>390</v>
      </c>
      <c r="AM23" s="112" t="s">
        <v>390</v>
      </c>
      <c r="AN23" s="112" t="s">
        <v>390</v>
      </c>
      <c r="AO23" s="112" t="s">
        <v>390</v>
      </c>
      <c r="AP23" s="112" t="s">
        <v>390</v>
      </c>
      <c r="AQ23" s="112" t="s">
        <v>390</v>
      </c>
      <c r="AR23" s="112" t="s">
        <v>390</v>
      </c>
      <c r="AS23" s="113" t="s">
        <v>390</v>
      </c>
      <c r="AT23" s="107" t="s">
        <v>390</v>
      </c>
      <c r="AU23" s="107" t="s">
        <v>390</v>
      </c>
      <c r="AV23" s="107" t="s">
        <v>390</v>
      </c>
      <c r="AW23" s="107" t="s">
        <v>390</v>
      </c>
      <c r="AX23" s="107" t="s">
        <v>390</v>
      </c>
      <c r="AY23" s="107" t="str">
        <f>AZ2</f>
        <v>counter_damage_buffing</v>
      </c>
      <c r="AZ23" s="107" t="str">
        <f>X2</f>
        <v>retreat_button</v>
      </c>
      <c r="BA23" s="107" t="str">
        <f>BV2</f>
        <v>balance_between_damage_and_durability_in_short_range</v>
      </c>
      <c r="BB23" s="107" t="str">
        <f>BV2</f>
        <v>balance_between_damage_and_durability_in_short_range</v>
      </c>
      <c r="BC23" s="107" t="str">
        <f>BN2</f>
        <v>object_burst_damage_in_medium_range</v>
      </c>
      <c r="BD23" s="107" t="s">
        <v>390</v>
      </c>
      <c r="BE23" s="107" t="s">
        <v>390</v>
      </c>
      <c r="BF23" s="107" t="s">
        <v>390</v>
      </c>
      <c r="BG23" s="107" t="s">
        <v>390</v>
      </c>
      <c r="BH23" s="107" t="s">
        <v>390</v>
      </c>
      <c r="BI23" s="107" t="s">
        <v>390</v>
      </c>
      <c r="BJ23" s="107" t="s">
        <v>390</v>
      </c>
      <c r="BK23" s="107" t="s">
        <v>390</v>
      </c>
      <c r="BL23" s="107" t="s">
        <v>390</v>
      </c>
      <c r="BM23" s="107" t="str">
        <f>BS2</f>
        <v>usual_burst_damage_in_long_range</v>
      </c>
      <c r="BN23" s="107" t="str">
        <f>$CD2</f>
        <v>surprise_attack_power_in_very_long_range</v>
      </c>
      <c r="BO23" s="107" t="str">
        <f>$CD2</f>
        <v>surprise_attack_power_in_very_long_range</v>
      </c>
      <c r="BP23" s="107" t="str">
        <f>$CD2</f>
        <v>surprise_attack_power_in_very_long_range</v>
      </c>
      <c r="BQ23" s="108" t="str">
        <f>BS2</f>
        <v>usual_burst_damage_in_long_range</v>
      </c>
      <c r="BR23" s="107" t="str">
        <f>$CD2</f>
        <v>surprise_attack_power_in_very_long_range</v>
      </c>
      <c r="BS23" s="107" t="str">
        <f>$CD2</f>
        <v>surprise_attack_power_in_very_long_range</v>
      </c>
      <c r="BT23" s="107" t="str">
        <f>$CD2</f>
        <v>surprise_attack_power_in_very_long_range</v>
      </c>
      <c r="BU23" s="107" t="s">
        <v>390</v>
      </c>
      <c r="BV23" s="108" t="str">
        <f>BS2</f>
        <v>usual_burst_damage_in_long_range</v>
      </c>
      <c r="BW23" s="107" t="str">
        <f>BT2</f>
        <v>usual_burst_damage_in_very_long_range</v>
      </c>
      <c r="BX23" s="107" t="str">
        <f>CC2</f>
        <v>surprise_attack_power_in_long_range</v>
      </c>
      <c r="BY23" s="107" t="str">
        <f>CD2</f>
        <v>surprise_attack_power_in_very_long_range</v>
      </c>
      <c r="BZ23" s="107" t="s">
        <v>390</v>
      </c>
      <c r="CA23" s="107" t="str">
        <f>$BR2</f>
        <v>usual_burst_damage_in_medium_range</v>
      </c>
      <c r="CB23" s="107" t="str">
        <f t="shared" ref="CB23:CD23" si="30">$BR2</f>
        <v>usual_burst_damage_in_medium_range</v>
      </c>
      <c r="CC23" s="107" t="str">
        <f t="shared" si="30"/>
        <v>usual_burst_damage_in_medium_range</v>
      </c>
      <c r="CD23" s="107" t="str">
        <f t="shared" si="30"/>
        <v>usual_burst_damage_in_medium_range</v>
      </c>
      <c r="CE23" s="107" t="s">
        <v>390</v>
      </c>
      <c r="CF23" s="107" t="str">
        <f>Y2</f>
        <v>wide_attack</v>
      </c>
      <c r="CG23" s="107" t="str">
        <f>BT2</f>
        <v>usual_burst_damage_in_very_long_range</v>
      </c>
      <c r="CH23" s="107" t="str">
        <f>BT2</f>
        <v>usual_burst_damage_in_very_long_range</v>
      </c>
      <c r="CI23" s="107" t="str">
        <f>CB2</f>
        <v>surprise_attack_power_in_medium_range</v>
      </c>
      <c r="CJ23" s="107" t="str">
        <f>CL2</f>
        <v>groupment_punishment</v>
      </c>
      <c r="CK23" s="107" t="str">
        <f>Y2</f>
        <v>wide_attack</v>
      </c>
      <c r="CL23" s="108" t="str">
        <f xml:space="preserve"> CONCATENATE("! ", CJ2)</f>
        <v>! multiple_pets_generation</v>
      </c>
      <c r="CM23" s="107" t="s">
        <v>390</v>
      </c>
    </row>
    <row r="24" spans="2:94">
      <c r="U24" s="128"/>
      <c r="V24" s="112" t="s">
        <v>390</v>
      </c>
      <c r="W24" s="112" t="s">
        <v>390</v>
      </c>
      <c r="X24" s="108" t="s">
        <v>390</v>
      </c>
      <c r="Y24" s="107" t="str">
        <f>BX2</f>
        <v>balance_between_damage_and_durability_in_long_range</v>
      </c>
      <c r="Z24" s="112" t="s">
        <v>390</v>
      </c>
      <c r="AA24" s="108" t="str">
        <f>CF2</f>
        <v>easy_approach</v>
      </c>
      <c r="AB24" s="107" t="s">
        <v>390</v>
      </c>
      <c r="AC24" s="107" t="s">
        <v>390</v>
      </c>
      <c r="AD24" s="107" t="s">
        <v>390</v>
      </c>
      <c r="AE24" s="107" t="s">
        <v>390</v>
      </c>
      <c r="AF24" s="107" t="s">
        <v>390</v>
      </c>
      <c r="AG24" s="107" t="s">
        <v>390</v>
      </c>
      <c r="AH24" s="112" t="s">
        <v>390</v>
      </c>
      <c r="AI24" s="112" t="s">
        <v>390</v>
      </c>
      <c r="AJ24" s="112" t="s">
        <v>390</v>
      </c>
      <c r="AK24" s="112" t="s">
        <v>390</v>
      </c>
      <c r="AL24" s="112" t="s">
        <v>390</v>
      </c>
      <c r="AM24" s="112" t="s">
        <v>390</v>
      </c>
      <c r="AN24" s="112" t="s">
        <v>390</v>
      </c>
      <c r="AO24" s="112" t="s">
        <v>390</v>
      </c>
      <c r="AP24" s="112" t="s">
        <v>390</v>
      </c>
      <c r="AQ24" s="112" t="s">
        <v>390</v>
      </c>
      <c r="AR24" s="112" t="s">
        <v>390</v>
      </c>
      <c r="AS24" s="113" t="s">
        <v>390</v>
      </c>
      <c r="AT24" s="107" t="s">
        <v>390</v>
      </c>
      <c r="AU24" s="107" t="s">
        <v>390</v>
      </c>
      <c r="AV24" s="107" t="s">
        <v>390</v>
      </c>
      <c r="AW24" s="107" t="s">
        <v>390</v>
      </c>
      <c r="AX24" s="107" t="s">
        <v>390</v>
      </c>
      <c r="AY24" s="107" t="s">
        <v>390</v>
      </c>
      <c r="AZ24" s="107" t="str">
        <f>AA2</f>
        <v>area_denial</v>
      </c>
      <c r="BA24" s="107" t="s">
        <v>390</v>
      </c>
      <c r="BB24" s="107" t="s">
        <v>390</v>
      </c>
      <c r="BC24" s="107" t="str">
        <f>BO2</f>
        <v>object_burst_damage_in_long_range</v>
      </c>
      <c r="BD24" s="107" t="s">
        <v>390</v>
      </c>
      <c r="BE24" s="107" t="s">
        <v>390</v>
      </c>
      <c r="BF24" s="107" t="s">
        <v>390</v>
      </c>
      <c r="BG24" s="107" t="s">
        <v>390</v>
      </c>
      <c r="BH24" s="107" t="s">
        <v>390</v>
      </c>
      <c r="BI24" s="107" t="s">
        <v>390</v>
      </c>
      <c r="BJ24" s="107" t="s">
        <v>390</v>
      </c>
      <c r="BK24" s="107" t="s">
        <v>390</v>
      </c>
      <c r="BL24" s="107" t="s">
        <v>390</v>
      </c>
      <c r="BM24" s="107" t="str">
        <f>BT2</f>
        <v>usual_burst_damage_in_very_long_range</v>
      </c>
      <c r="BN24" s="108" t="str">
        <f>$BS2</f>
        <v>usual_burst_damage_in_long_range</v>
      </c>
      <c r="BO24" s="107" t="str">
        <f>$BT2</f>
        <v>usual_burst_damage_in_very_long_range</v>
      </c>
      <c r="BP24" s="107" t="str">
        <f>$BT2</f>
        <v>usual_burst_damage_in_very_long_range</v>
      </c>
      <c r="BQ24" s="107" t="str">
        <f>BT2</f>
        <v>usual_burst_damage_in_very_long_range</v>
      </c>
      <c r="BR24" s="108" t="str">
        <f>$BS2</f>
        <v>usual_burst_damage_in_long_range</v>
      </c>
      <c r="BS24" s="107" t="str">
        <f>$BT2</f>
        <v>usual_burst_damage_in_very_long_range</v>
      </c>
      <c r="BT24" s="107" t="str">
        <f>$BT2</f>
        <v>usual_burst_damage_in_very_long_range</v>
      </c>
      <c r="BU24" s="107" t="s">
        <v>390</v>
      </c>
      <c r="BV24" s="107" t="str">
        <f>BT2</f>
        <v>usual_burst_damage_in_very_long_range</v>
      </c>
      <c r="BW24" s="107" t="str">
        <f xml:space="preserve"> CONCATENATE("! ", CC2)</f>
        <v>! surprise_attack_power_in_long_range</v>
      </c>
      <c r="BX24" s="108" t="str">
        <f>CD2</f>
        <v>surprise_attack_power_in_very_long_range</v>
      </c>
      <c r="BY24" s="107" t="str">
        <f>CC2</f>
        <v>surprise_attack_power_in_long_range</v>
      </c>
      <c r="BZ24" s="107" t="s">
        <v>390</v>
      </c>
      <c r="CA24" s="107" t="str">
        <f>$AB2</f>
        <v>enemy_position_manipulation</v>
      </c>
      <c r="CB24" s="107" t="str">
        <f t="shared" ref="CB24:CD24" si="31">$AB2</f>
        <v>enemy_position_manipulation</v>
      </c>
      <c r="CC24" s="107" t="str">
        <f t="shared" si="31"/>
        <v>enemy_position_manipulation</v>
      </c>
      <c r="CD24" s="107" t="str">
        <f t="shared" si="31"/>
        <v>enemy_position_manipulation</v>
      </c>
      <c r="CE24" s="107" t="s">
        <v>390</v>
      </c>
      <c r="CF24" s="107" t="s">
        <v>390</v>
      </c>
      <c r="CG24" s="107" t="str">
        <f>BD2</f>
        <v>poison_debuffing</v>
      </c>
      <c r="CH24" s="107" t="str">
        <f>CA2</f>
        <v>surprise_attack_power_in_short_range</v>
      </c>
      <c r="CI24" s="108" t="str">
        <f>CC2</f>
        <v>surprise_attack_power_in_long_range</v>
      </c>
      <c r="CJ24" s="107" t="s">
        <v>390</v>
      </c>
      <c r="CK24" s="107"/>
      <c r="CL24" s="107" t="s">
        <v>390</v>
      </c>
      <c r="CM24" s="107" t="s">
        <v>390</v>
      </c>
    </row>
    <row r="25" spans="2:94">
      <c r="U25" s="128"/>
      <c r="V25" s="112" t="s">
        <v>390</v>
      </c>
      <c r="W25" s="112" t="s">
        <v>390</v>
      </c>
      <c r="X25" s="107" t="s">
        <v>390</v>
      </c>
      <c r="Y25" s="108" t="str">
        <f>CONCATENATE("! ", CJ2)</f>
        <v>! multiple_pets_generation</v>
      </c>
      <c r="Z25" s="112" t="s">
        <v>390</v>
      </c>
      <c r="AA25" s="107" t="s">
        <v>390</v>
      </c>
      <c r="AB25" s="107" t="s">
        <v>390</v>
      </c>
      <c r="AC25" s="107" t="s">
        <v>390</v>
      </c>
      <c r="AD25" s="107" t="s">
        <v>390</v>
      </c>
      <c r="AE25" s="107" t="s">
        <v>390</v>
      </c>
      <c r="AF25" s="107" t="s">
        <v>390</v>
      </c>
      <c r="AG25" s="107" t="s">
        <v>390</v>
      </c>
      <c r="AH25" s="112" t="s">
        <v>390</v>
      </c>
      <c r="AI25" s="112" t="s">
        <v>390</v>
      </c>
      <c r="AJ25" s="112" t="s">
        <v>390</v>
      </c>
      <c r="AK25" s="112" t="s">
        <v>390</v>
      </c>
      <c r="AL25" s="112" t="s">
        <v>390</v>
      </c>
      <c r="AM25" s="112" t="s">
        <v>390</v>
      </c>
      <c r="AN25" s="112" t="s">
        <v>390</v>
      </c>
      <c r="AO25" s="112" t="s">
        <v>390</v>
      </c>
      <c r="AP25" s="112" t="s">
        <v>390</v>
      </c>
      <c r="AQ25" s="112" t="s">
        <v>390</v>
      </c>
      <c r="AR25" s="112" t="s">
        <v>390</v>
      </c>
      <c r="AS25" s="112" t="s">
        <v>390</v>
      </c>
      <c r="AT25" s="107" t="s">
        <v>390</v>
      </c>
      <c r="AU25" s="107" t="s">
        <v>390</v>
      </c>
      <c r="AV25" s="107" t="s">
        <v>390</v>
      </c>
      <c r="AW25" s="107" t="s">
        <v>390</v>
      </c>
      <c r="AX25" s="107" t="s">
        <v>390</v>
      </c>
      <c r="AY25" s="107" t="s">
        <v>390</v>
      </c>
      <c r="AZ25" s="108" t="str">
        <f xml:space="preserve"> CONCATENATE("! ", AY2)</f>
        <v>! damage_buffing</v>
      </c>
      <c r="BA25" s="107" t="s">
        <v>390</v>
      </c>
      <c r="BB25" s="107" t="s">
        <v>390</v>
      </c>
      <c r="BC25" s="107" t="str">
        <f>BP2</f>
        <v>object_burst_damage_in_very_long_range</v>
      </c>
      <c r="BD25" s="107" t="s">
        <v>390</v>
      </c>
      <c r="BE25" s="107" t="s">
        <v>390</v>
      </c>
      <c r="BF25" s="107" t="s">
        <v>390</v>
      </c>
      <c r="BG25" s="107" t="s">
        <v>390</v>
      </c>
      <c r="BH25" s="107" t="s">
        <v>390</v>
      </c>
      <c r="BI25" s="107" t="s">
        <v>390</v>
      </c>
      <c r="BJ25" s="107" t="s">
        <v>390</v>
      </c>
      <c r="BK25" s="107" t="s">
        <v>390</v>
      </c>
      <c r="BL25" s="107" t="s">
        <v>390</v>
      </c>
      <c r="BM25" s="108" t="str">
        <f>CG2</f>
        <v>pressure</v>
      </c>
      <c r="BN25" s="107" t="str">
        <f>$BT2</f>
        <v>usual_burst_damage_in_very_long_range</v>
      </c>
      <c r="BO25" s="108" t="str">
        <f>$CF2</f>
        <v>easy_approach</v>
      </c>
      <c r="BP25" s="108" t="str">
        <f>$CF2</f>
        <v>easy_approach</v>
      </c>
      <c r="BQ25" s="107" t="str">
        <f>CG2</f>
        <v>pressure</v>
      </c>
      <c r="BR25" s="107" t="str">
        <f>$BT2</f>
        <v>usual_burst_damage_in_very_long_range</v>
      </c>
      <c r="BS25" s="108" t="str">
        <f>$CF2</f>
        <v>easy_approach</v>
      </c>
      <c r="BT25" s="108" t="str">
        <f>$CF2</f>
        <v>easy_approach</v>
      </c>
      <c r="BU25" s="107" t="s">
        <v>390</v>
      </c>
      <c r="BV25" s="107" t="str">
        <f>CG2</f>
        <v>pressure</v>
      </c>
      <c r="BW25" s="107" t="str">
        <f xml:space="preserve"> CONCATENATE("! ", CD2)</f>
        <v>! surprise_attack_power_in_very_long_range</v>
      </c>
      <c r="BX25" s="108" t="str">
        <f>CF2</f>
        <v>easy_approach</v>
      </c>
      <c r="BY25" s="107" t="s">
        <v>390</v>
      </c>
      <c r="BZ25" s="107" t="s">
        <v>390</v>
      </c>
      <c r="CA25" s="107" t="str">
        <f>$BL2</f>
        <v>block_enemies</v>
      </c>
      <c r="CB25" s="107" t="str">
        <f t="shared" ref="CB25:CD25" si="32">$BL2</f>
        <v>block_enemies</v>
      </c>
      <c r="CC25" s="107" t="str">
        <f t="shared" si="32"/>
        <v>block_enemies</v>
      </c>
      <c r="CD25" s="107" t="str">
        <f t="shared" si="32"/>
        <v>block_enemies</v>
      </c>
      <c r="CE25" s="107" t="s">
        <v>390</v>
      </c>
      <c r="CF25" s="107" t="s">
        <v>390</v>
      </c>
      <c r="CG25" s="107" t="str">
        <f>BF2</f>
        <v>stun_debuffing</v>
      </c>
      <c r="CH25" s="107" t="str">
        <f>CB2</f>
        <v>surprise_attack_power_in_medium_range</v>
      </c>
      <c r="CI25" s="107" t="str">
        <f>CD2</f>
        <v>surprise_attack_power_in_very_long_range</v>
      </c>
      <c r="CJ25" s="107" t="s">
        <v>390</v>
      </c>
      <c r="CK25" s="107"/>
      <c r="CL25" s="107" t="s">
        <v>390</v>
      </c>
      <c r="CM25" s="107" t="s">
        <v>390</v>
      </c>
    </row>
    <row r="26" spans="2:94">
      <c r="U26" s="128"/>
      <c r="V26" s="112" t="s">
        <v>390</v>
      </c>
      <c r="W26" s="112" t="s">
        <v>390</v>
      </c>
      <c r="X26" s="107" t="s">
        <v>390</v>
      </c>
      <c r="Y26" s="108" t="str">
        <f>CONCATENATE("! ", CK2)</f>
        <v>! durable_pets_generation</v>
      </c>
      <c r="Z26" s="112" t="s">
        <v>390</v>
      </c>
      <c r="AA26" s="107" t="s">
        <v>390</v>
      </c>
      <c r="AB26" s="107" t="s">
        <v>390</v>
      </c>
      <c r="AC26" s="107" t="s">
        <v>390</v>
      </c>
      <c r="AD26" s="107" t="s">
        <v>390</v>
      </c>
      <c r="AE26" s="107" t="s">
        <v>390</v>
      </c>
      <c r="AF26" s="107" t="s">
        <v>390</v>
      </c>
      <c r="AG26" s="107" t="s">
        <v>390</v>
      </c>
      <c r="AH26" s="112" t="s">
        <v>390</v>
      </c>
      <c r="AI26" s="112" t="s">
        <v>390</v>
      </c>
      <c r="AJ26" s="112" t="s">
        <v>390</v>
      </c>
      <c r="AK26" s="112" t="s">
        <v>390</v>
      </c>
      <c r="AL26" s="112" t="s">
        <v>390</v>
      </c>
      <c r="AM26" s="112" t="s">
        <v>390</v>
      </c>
      <c r="AN26" s="112" t="s">
        <v>390</v>
      </c>
      <c r="AO26" s="112" t="s">
        <v>390</v>
      </c>
      <c r="AP26" s="112" t="s">
        <v>390</v>
      </c>
      <c r="AQ26" s="112" t="s">
        <v>390</v>
      </c>
      <c r="AR26" s="112" t="s">
        <v>390</v>
      </c>
      <c r="AS26" s="112" t="s">
        <v>390</v>
      </c>
      <c r="AT26" s="107" t="s">
        <v>390</v>
      </c>
      <c r="AU26" s="107" t="s">
        <v>390</v>
      </c>
      <c r="AV26" s="107" t="s">
        <v>390</v>
      </c>
      <c r="AW26" s="107" t="s">
        <v>390</v>
      </c>
      <c r="AX26" s="107" t="s">
        <v>390</v>
      </c>
      <c r="AY26" s="107" t="s">
        <v>390</v>
      </c>
      <c r="AZ26" s="107" t="s">
        <v>390</v>
      </c>
      <c r="BA26" s="107" t="s">
        <v>390</v>
      </c>
      <c r="BB26" s="107" t="s">
        <v>390</v>
      </c>
      <c r="BC26" s="107" t="s">
        <v>390</v>
      </c>
      <c r="BD26" s="107" t="s">
        <v>390</v>
      </c>
      <c r="BE26" s="107" t="s">
        <v>390</v>
      </c>
      <c r="BF26" s="107" t="s">
        <v>390</v>
      </c>
      <c r="BG26" s="107" t="s">
        <v>390</v>
      </c>
      <c r="BH26" s="107" t="s">
        <v>390</v>
      </c>
      <c r="BI26" s="107" t="s">
        <v>390</v>
      </c>
      <c r="BJ26" s="107" t="s">
        <v>390</v>
      </c>
      <c r="BK26" s="107" t="s">
        <v>390</v>
      </c>
      <c r="BL26" s="107" t="s">
        <v>390</v>
      </c>
      <c r="BM26" s="107" t="str">
        <f>AB2</f>
        <v>enemy_position_manipulation</v>
      </c>
      <c r="BN26" s="107" t="str">
        <f>$CG2</f>
        <v>pressure</v>
      </c>
      <c r="BO26" s="107" t="str">
        <f>$AB2</f>
        <v>enemy_position_manipulation</v>
      </c>
      <c r="BP26" s="107" t="s">
        <v>390</v>
      </c>
      <c r="BQ26" s="107" t="str">
        <f>BL2</f>
        <v>block_enemies</v>
      </c>
      <c r="BR26" s="107" t="str">
        <f>$CG2</f>
        <v>pressure</v>
      </c>
      <c r="BS26" s="107" t="s">
        <v>390</v>
      </c>
      <c r="BT26" s="107" t="s">
        <v>390</v>
      </c>
      <c r="BU26" s="107" t="s">
        <v>390</v>
      </c>
      <c r="BV26" s="108" t="str">
        <f xml:space="preserve"> CONCATENATE("! ", CB2)</f>
        <v>! surprise_attack_power_in_medium_range</v>
      </c>
      <c r="BW26" s="107" t="s">
        <v>390</v>
      </c>
      <c r="BX26" s="107" t="s">
        <v>390</v>
      </c>
      <c r="BY26" s="107" t="s">
        <v>390</v>
      </c>
      <c r="BZ26" s="107" t="s">
        <v>390</v>
      </c>
      <c r="CA26" s="107" t="str">
        <f>$X2</f>
        <v>retreat_button</v>
      </c>
      <c r="CB26" s="107" t="str">
        <f t="shared" ref="CB26:CD26" si="33">$X2</f>
        <v>retreat_button</v>
      </c>
      <c r="CC26" s="107" t="str">
        <f t="shared" si="33"/>
        <v>retreat_button</v>
      </c>
      <c r="CD26" s="107" t="str">
        <f t="shared" si="33"/>
        <v>retreat_button</v>
      </c>
      <c r="CE26" s="107" t="s">
        <v>390</v>
      </c>
      <c r="CF26" s="107" t="s">
        <v>390</v>
      </c>
      <c r="CG26" s="107" t="str">
        <f>BH2</f>
        <v>slowness_debuffing</v>
      </c>
      <c r="CH26" s="107" t="str">
        <f>CC2</f>
        <v>surprise_attack_power_in_long_range</v>
      </c>
      <c r="CI26" s="108" t="str">
        <f>CF2</f>
        <v>easy_approach</v>
      </c>
      <c r="CJ26" s="107" t="s">
        <v>390</v>
      </c>
      <c r="CK26" s="107" t="s">
        <v>390</v>
      </c>
      <c r="CL26" s="107" t="s">
        <v>390</v>
      </c>
      <c r="CM26" s="107" t="s">
        <v>390</v>
      </c>
    </row>
    <row r="27" spans="2:94">
      <c r="U27" s="128"/>
      <c r="V27" s="112" t="s">
        <v>390</v>
      </c>
      <c r="W27" s="112" t="s">
        <v>390</v>
      </c>
      <c r="X27" s="107" t="s">
        <v>390</v>
      </c>
      <c r="Y27" s="108" t="str">
        <f>CONCATENATE("! ", CF2)</f>
        <v>! easy_approach</v>
      </c>
      <c r="Z27" s="112" t="s">
        <v>390</v>
      </c>
      <c r="AA27" s="107" t="s">
        <v>390</v>
      </c>
      <c r="AB27" s="107" t="s">
        <v>390</v>
      </c>
      <c r="AC27" s="107" t="s">
        <v>390</v>
      </c>
      <c r="AD27" s="107" t="s">
        <v>390</v>
      </c>
      <c r="AE27" s="107" t="s">
        <v>390</v>
      </c>
      <c r="AF27" s="107" t="s">
        <v>390</v>
      </c>
      <c r="AG27" s="107" t="s">
        <v>390</v>
      </c>
      <c r="AH27" s="112" t="s">
        <v>390</v>
      </c>
      <c r="AI27" s="112" t="s">
        <v>390</v>
      </c>
      <c r="AJ27" s="112" t="s">
        <v>390</v>
      </c>
      <c r="AK27" s="112" t="s">
        <v>390</v>
      </c>
      <c r="AL27" s="112" t="s">
        <v>390</v>
      </c>
      <c r="AM27" s="112" t="s">
        <v>390</v>
      </c>
      <c r="AN27" s="112" t="s">
        <v>390</v>
      </c>
      <c r="AO27" s="112" t="s">
        <v>390</v>
      </c>
      <c r="AP27" s="112" t="s">
        <v>390</v>
      </c>
      <c r="AQ27" s="112" t="s">
        <v>390</v>
      </c>
      <c r="AR27" s="112" t="s">
        <v>390</v>
      </c>
      <c r="AS27" s="112" t="s">
        <v>390</v>
      </c>
      <c r="AT27" s="107" t="s">
        <v>390</v>
      </c>
      <c r="AU27" s="107" t="s">
        <v>390</v>
      </c>
      <c r="AV27" s="107" t="s">
        <v>390</v>
      </c>
      <c r="AW27" s="107" t="s">
        <v>390</v>
      </c>
      <c r="AX27" s="107" t="s">
        <v>390</v>
      </c>
      <c r="AY27" s="107" t="s">
        <v>390</v>
      </c>
      <c r="AZ27" s="107" t="s">
        <v>390</v>
      </c>
      <c r="BA27" s="107" t="s">
        <v>390</v>
      </c>
      <c r="BB27" s="107" t="s">
        <v>390</v>
      </c>
      <c r="BC27" s="107" t="s">
        <v>390</v>
      </c>
      <c r="BD27" s="107" t="s">
        <v>390</v>
      </c>
      <c r="BE27" s="107" t="s">
        <v>390</v>
      </c>
      <c r="BF27" s="107" t="s">
        <v>390</v>
      </c>
      <c r="BG27" s="107" t="s">
        <v>390</v>
      </c>
      <c r="BH27" s="107" t="s">
        <v>390</v>
      </c>
      <c r="BI27" s="107" t="s">
        <v>390</v>
      </c>
      <c r="BJ27" s="107" t="s">
        <v>390</v>
      </c>
      <c r="BK27" s="107" t="s">
        <v>390</v>
      </c>
      <c r="BL27" s="107" t="s">
        <v>390</v>
      </c>
      <c r="BM27" s="107" t="str">
        <f>BL2</f>
        <v>block_enemies</v>
      </c>
      <c r="BN27" s="107" t="str">
        <f>$BL2</f>
        <v>block_enemies</v>
      </c>
      <c r="BO27" s="107" t="s">
        <v>390</v>
      </c>
      <c r="BP27" s="107" t="s">
        <v>390</v>
      </c>
      <c r="BQ27" s="107" t="s">
        <v>390</v>
      </c>
      <c r="BR27" s="107" t="str">
        <f>$BL2</f>
        <v>block_enemies</v>
      </c>
      <c r="BS27" s="107" t="s">
        <v>390</v>
      </c>
      <c r="BT27" s="107" t="s">
        <v>390</v>
      </c>
      <c r="BU27" s="107" t="s">
        <v>390</v>
      </c>
      <c r="BV27" s="108" t="str">
        <f xml:space="preserve"> CONCATENATE("! ", CC2)</f>
        <v>! surprise_attack_power_in_long_range</v>
      </c>
      <c r="BW27" s="107" t="s">
        <v>390</v>
      </c>
      <c r="BX27" s="107" t="s">
        <v>390</v>
      </c>
      <c r="BY27" s="107" t="s">
        <v>390</v>
      </c>
      <c r="BZ27" s="107" t="s">
        <v>390</v>
      </c>
      <c r="CA27" s="107" t="str">
        <f>$BF2</f>
        <v>stun_debuffing</v>
      </c>
      <c r="CB27" s="107" t="str">
        <f t="shared" ref="CB27:CD27" si="34">$BF2</f>
        <v>stun_debuffing</v>
      </c>
      <c r="CC27" s="107" t="str">
        <f t="shared" si="34"/>
        <v>stun_debuffing</v>
      </c>
      <c r="CD27" s="107" t="str">
        <f t="shared" si="34"/>
        <v>stun_debuffing</v>
      </c>
      <c r="CE27" s="107" t="s">
        <v>390</v>
      </c>
      <c r="CF27" s="107" t="s">
        <v>390</v>
      </c>
      <c r="CG27" s="107" t="s">
        <v>390</v>
      </c>
      <c r="CH27" s="107" t="str">
        <f>CD2</f>
        <v>surprise_attack_power_in_very_long_range</v>
      </c>
      <c r="CI27" s="107" t="str">
        <f>AE2</f>
        <v>wall_break_efficiency</v>
      </c>
      <c r="CJ27" s="107" t="s">
        <v>390</v>
      </c>
      <c r="CK27" s="107" t="s">
        <v>390</v>
      </c>
      <c r="CL27" s="107" t="s">
        <v>390</v>
      </c>
      <c r="CM27" s="107" t="s">
        <v>390</v>
      </c>
    </row>
    <row r="28" spans="2:94">
      <c r="U28" s="128"/>
      <c r="V28" s="112" t="s">
        <v>390</v>
      </c>
      <c r="W28" s="112" t="s">
        <v>390</v>
      </c>
      <c r="X28" s="107" t="s">
        <v>390</v>
      </c>
      <c r="Y28" s="108" t="s">
        <v>390</v>
      </c>
      <c r="Z28" s="112" t="s">
        <v>390</v>
      </c>
      <c r="AA28" s="107" t="s">
        <v>390</v>
      </c>
      <c r="AB28" s="107" t="s">
        <v>390</v>
      </c>
      <c r="AC28" s="107" t="s">
        <v>390</v>
      </c>
      <c r="AD28" s="107" t="s">
        <v>390</v>
      </c>
      <c r="AE28" s="107" t="s">
        <v>390</v>
      </c>
      <c r="AF28" s="107" t="s">
        <v>390</v>
      </c>
      <c r="AG28" s="107" t="s">
        <v>390</v>
      </c>
      <c r="AH28" s="112" t="s">
        <v>390</v>
      </c>
      <c r="AI28" s="112" t="s">
        <v>390</v>
      </c>
      <c r="AJ28" s="112" t="s">
        <v>390</v>
      </c>
      <c r="AK28" s="112" t="s">
        <v>390</v>
      </c>
      <c r="AL28" s="112" t="s">
        <v>390</v>
      </c>
      <c r="AM28" s="112" t="s">
        <v>390</v>
      </c>
      <c r="AN28" s="112" t="s">
        <v>390</v>
      </c>
      <c r="AO28" s="112" t="s">
        <v>390</v>
      </c>
      <c r="AP28" s="112" t="s">
        <v>390</v>
      </c>
      <c r="AQ28" s="112" t="s">
        <v>390</v>
      </c>
      <c r="AR28" s="112" t="s">
        <v>390</v>
      </c>
      <c r="AS28" s="112" t="s">
        <v>390</v>
      </c>
      <c r="AT28" s="107" t="s">
        <v>390</v>
      </c>
      <c r="AU28" s="107" t="s">
        <v>390</v>
      </c>
      <c r="AV28" s="107" t="s">
        <v>390</v>
      </c>
      <c r="AW28" s="107" t="s">
        <v>390</v>
      </c>
      <c r="AX28" s="107" t="s">
        <v>390</v>
      </c>
      <c r="AY28" s="107" t="s">
        <v>390</v>
      </c>
      <c r="AZ28" s="107" t="s">
        <v>390</v>
      </c>
      <c r="BA28" s="107" t="s">
        <v>390</v>
      </c>
      <c r="BB28" s="107" t="s">
        <v>390</v>
      </c>
      <c r="BC28" s="107" t="s">
        <v>390</v>
      </c>
      <c r="BD28" s="107" t="s">
        <v>390</v>
      </c>
      <c r="BE28" s="107" t="s">
        <v>390</v>
      </c>
      <c r="BF28" s="107" t="s">
        <v>390</v>
      </c>
      <c r="BG28" s="107" t="s">
        <v>390</v>
      </c>
      <c r="BH28" s="107" t="s">
        <v>390</v>
      </c>
      <c r="BI28" s="107" t="s">
        <v>390</v>
      </c>
      <c r="BJ28" s="107" t="s">
        <v>390</v>
      </c>
      <c r="BK28" s="107" t="s">
        <v>390</v>
      </c>
      <c r="BL28" s="107" t="s">
        <v>390</v>
      </c>
      <c r="BM28" s="107" t="s">
        <v>390</v>
      </c>
      <c r="BN28" s="107" t="str">
        <f>$AB2</f>
        <v>enemy_position_manipulation</v>
      </c>
      <c r="BO28" s="107" t="s">
        <v>390</v>
      </c>
      <c r="BP28" s="107" t="s">
        <v>390</v>
      </c>
      <c r="BQ28" s="107" t="s">
        <v>390</v>
      </c>
      <c r="BR28" s="107" t="s">
        <v>390</v>
      </c>
      <c r="BS28" s="107" t="s">
        <v>390</v>
      </c>
      <c r="BT28" s="107" t="s">
        <v>390</v>
      </c>
      <c r="BU28" s="107" t="s">
        <v>390</v>
      </c>
      <c r="BV28" s="108" t="str">
        <f xml:space="preserve"> CONCATENATE("! ", CD2)</f>
        <v>! surprise_attack_power_in_very_long_range</v>
      </c>
      <c r="BW28" s="107" t="s">
        <v>390</v>
      </c>
      <c r="BX28" s="107" t="s">
        <v>390</v>
      </c>
      <c r="BY28" s="107" t="s">
        <v>390</v>
      </c>
      <c r="BZ28" s="107" t="s">
        <v>390</v>
      </c>
      <c r="CA28" s="107" t="s">
        <v>390</v>
      </c>
      <c r="CB28" s="107" t="s">
        <v>390</v>
      </c>
      <c r="CC28" s="107" t="s">
        <v>390</v>
      </c>
      <c r="CD28" s="107" t="s">
        <v>390</v>
      </c>
      <c r="CE28" s="107" t="s">
        <v>390</v>
      </c>
      <c r="CF28" s="107" t="s">
        <v>390</v>
      </c>
      <c r="CG28" s="107" t="s">
        <v>390</v>
      </c>
      <c r="CH28" s="107" t="s">
        <v>390</v>
      </c>
      <c r="CI28" s="107" t="s">
        <v>390</v>
      </c>
      <c r="CJ28" s="107" t="s">
        <v>390</v>
      </c>
      <c r="CK28" s="107" t="s">
        <v>390</v>
      </c>
      <c r="CL28" s="107" t="s">
        <v>390</v>
      </c>
      <c r="CM28" s="107" t="s">
        <v>390</v>
      </c>
    </row>
    <row r="30" spans="2:94">
      <c r="U30" s="129" t="s">
        <v>392</v>
      </c>
      <c r="V30" s="114" t="s">
        <v>390</v>
      </c>
      <c r="W30" s="112" t="s">
        <v>390</v>
      </c>
      <c r="X30" s="109" t="str">
        <f>AT2</f>
        <v>grass_vision</v>
      </c>
      <c r="Y30" s="109" t="str">
        <f>AB2</f>
        <v>enemy_position_manipulation</v>
      </c>
      <c r="Z30" s="112" t="s">
        <v>390</v>
      </c>
      <c r="AA30" s="109" t="str">
        <f>AB2</f>
        <v>enemy_position_manipulation</v>
      </c>
      <c r="AB30" s="109" t="str">
        <f>AA2</f>
        <v>area_denial</v>
      </c>
      <c r="AC30" s="109" t="s">
        <v>390</v>
      </c>
      <c r="AD30" s="109" t="s">
        <v>390</v>
      </c>
      <c r="AE30" s="109" t="str">
        <f>W2</f>
        <v>_attack_distance</v>
      </c>
      <c r="AF30" s="109" t="str">
        <f>W2</f>
        <v>_attack_distance</v>
      </c>
      <c r="AG30" s="109" t="str">
        <f>CI2</f>
        <v>indirect_damage</v>
      </c>
      <c r="AH30" s="112" t="s">
        <v>390</v>
      </c>
      <c r="AI30" s="112" t="s">
        <v>390</v>
      </c>
      <c r="AJ30" s="112" t="s">
        <v>390</v>
      </c>
      <c r="AK30" s="112" t="s">
        <v>390</v>
      </c>
      <c r="AL30" s="112" t="s">
        <v>390</v>
      </c>
      <c r="AM30" s="112" t="s">
        <v>390</v>
      </c>
      <c r="AN30" s="112" t="s">
        <v>390</v>
      </c>
      <c r="AO30" s="112" t="s">
        <v>390</v>
      </c>
      <c r="AP30" s="112" t="s">
        <v>390</v>
      </c>
      <c r="AQ30" s="112" t="s">
        <v>390</v>
      </c>
      <c r="AR30" s="112" t="s">
        <v>390</v>
      </c>
      <c r="AS30" s="112" t="s">
        <v>390</v>
      </c>
      <c r="AT30" s="109" t="str">
        <f>BM2</f>
        <v>object_burst_damage_in_short_range</v>
      </c>
      <c r="AU30" s="109" t="s">
        <v>390</v>
      </c>
      <c r="AV30" s="109" t="str">
        <f>V2</f>
        <v>_durability</v>
      </c>
      <c r="AW30" s="109" t="str">
        <f>BQ2</f>
        <v>usual_burst_damage_in_short_range</v>
      </c>
      <c r="AX30" s="109" t="str">
        <f>BT2</f>
        <v>usual_burst_damage_in_very_long_range</v>
      </c>
      <c r="AY30" s="109" t="str">
        <f>V2</f>
        <v>_durability</v>
      </c>
      <c r="AZ30" s="109" t="str">
        <f>CG2</f>
        <v>pressure</v>
      </c>
      <c r="BA30" s="109" t="str">
        <f>AJ2</f>
        <v>_surprise_attack</v>
      </c>
      <c r="BB30" s="109" t="str">
        <f>AJ2</f>
        <v>_surprise_attack</v>
      </c>
      <c r="BC30" s="109" t="str">
        <f>BM2</f>
        <v>object_burst_damage_in_short_range</v>
      </c>
      <c r="BD30" s="109" t="str">
        <f>CG2</f>
        <v>pressure</v>
      </c>
      <c r="BE30" s="109" t="str">
        <f xml:space="preserve"> CONCATENATE("! ", BD2)</f>
        <v>! poison_debuffing</v>
      </c>
      <c r="BF30" s="109" t="str">
        <f>CI2</f>
        <v>indirect_damage</v>
      </c>
      <c r="BG30" s="109" t="str">
        <f t="shared" ref="BG30:BK30" si="35" xml:space="preserve"> CONCATENATE("! ", BF2)</f>
        <v>! stun_debuffing</v>
      </c>
      <c r="BH30" s="109" t="str">
        <f>AJ2</f>
        <v>_surprise_attack</v>
      </c>
      <c r="BI30" s="109" t="str">
        <f t="shared" si="35"/>
        <v>! slowness_debuffing</v>
      </c>
      <c r="BJ30" s="109" t="str">
        <f xml:space="preserve"> CONCATENATE("! ", BK2)</f>
        <v>! counter_attacks_canceling</v>
      </c>
      <c r="BK30" s="109" t="str">
        <f t="shared" si="35"/>
        <v>! attacks_canceling</v>
      </c>
      <c r="BL30" s="109" t="str">
        <f>AT2</f>
        <v>grass_vision</v>
      </c>
      <c r="BM30" s="109" t="str">
        <f>W2</f>
        <v>_attack_distance</v>
      </c>
      <c r="BN30" s="109" t="str">
        <f>BV2</f>
        <v>balance_between_damage_and_durability_in_short_range</v>
      </c>
      <c r="BO30" s="109" t="str">
        <f>BV2</f>
        <v>balance_between_damage_and_durability_in_short_range</v>
      </c>
      <c r="BP30" s="109" t="str">
        <f>CG2</f>
        <v>pressure</v>
      </c>
      <c r="BQ30" s="109" t="str">
        <f>W2</f>
        <v>_attack_distance</v>
      </c>
      <c r="BR30" s="109" t="str">
        <f>BV2</f>
        <v>balance_between_damage_and_durability_in_short_range</v>
      </c>
      <c r="BS30" s="109" t="str">
        <f>BV2</f>
        <v>balance_between_damage_and_durability_in_short_range</v>
      </c>
      <c r="BT30" s="109" t="str">
        <f>CG2</f>
        <v>pressure</v>
      </c>
      <c r="BU30" s="109" t="s">
        <v>390</v>
      </c>
      <c r="BV30" s="109" t="str">
        <f>W2</f>
        <v>_attack_distance</v>
      </c>
      <c r="BW30" s="109" t="str">
        <f>BV2</f>
        <v>balance_between_damage_and_durability_in_short_range</v>
      </c>
      <c r="BX30" s="109" t="str">
        <f>BV2</f>
        <v>balance_between_damage_and_durability_in_short_range</v>
      </c>
      <c r="BY30" s="109" t="str">
        <f>CG2</f>
        <v>pressure</v>
      </c>
      <c r="BZ30" s="109" t="s">
        <v>390</v>
      </c>
      <c r="CA30" s="109" t="str">
        <f>BV2</f>
        <v>balance_between_damage_and_durability_in_short_range</v>
      </c>
      <c r="CB30" s="109" t="str">
        <f>BV2</f>
        <v>balance_between_damage_and_durability_in_short_range</v>
      </c>
      <c r="CC30" s="109" t="str">
        <f>BV2</f>
        <v>balance_between_damage_and_durability_in_short_range</v>
      </c>
      <c r="CD30" s="109" t="str">
        <f>BV2</f>
        <v>balance_between_damage_and_durability_in_short_range</v>
      </c>
      <c r="CE30" s="109" t="s">
        <v>390</v>
      </c>
      <c r="CF30" s="109" t="str">
        <f>BH2</f>
        <v>slowness_debuffing</v>
      </c>
      <c r="CG30" s="109" t="str">
        <f>W2</f>
        <v>_attack_distance</v>
      </c>
      <c r="CH30" s="109" t="str">
        <f>W2</f>
        <v>_attack_distance</v>
      </c>
      <c r="CI30" s="109" t="str">
        <f>V2</f>
        <v>_durability</v>
      </c>
      <c r="CJ30" s="109" t="str">
        <f>AJ2</f>
        <v>_surprise_attack</v>
      </c>
      <c r="CK30" s="110" t="str">
        <f>CG2</f>
        <v>pressure</v>
      </c>
      <c r="CL30" s="109" t="str">
        <f>AB2</f>
        <v>enemy_position_manipulation</v>
      </c>
      <c r="CM30" s="109" t="s">
        <v>390</v>
      </c>
    </row>
    <row r="31" spans="2:94">
      <c r="U31" s="129"/>
      <c r="V31" s="114" t="s">
        <v>390</v>
      </c>
      <c r="W31" s="112" t="s">
        <v>390</v>
      </c>
      <c r="X31" s="109" t="s">
        <v>390</v>
      </c>
      <c r="Y31" s="109" t="str">
        <f>AX2</f>
        <v>shield_buffing</v>
      </c>
      <c r="Z31" s="112" t="s">
        <v>390</v>
      </c>
      <c r="AA31" s="109" t="str">
        <f>BF2</f>
        <v>stun_debuffing</v>
      </c>
      <c r="AB31" s="109" t="str">
        <f>Y2</f>
        <v>wide_attack</v>
      </c>
      <c r="AC31" s="109" t="s">
        <v>390</v>
      </c>
      <c r="AD31" s="109" t="s">
        <v>390</v>
      </c>
      <c r="AE31" s="109" t="str">
        <f>AZ2</f>
        <v>counter_damage_buffing</v>
      </c>
      <c r="AF31" s="109" t="str">
        <f>AZ2</f>
        <v>counter_damage_buffing</v>
      </c>
      <c r="AG31" s="109" t="str">
        <f>BV2</f>
        <v>balance_between_damage_and_durability_in_short_range</v>
      </c>
      <c r="AH31" s="112" t="s">
        <v>390</v>
      </c>
      <c r="AI31" s="112" t="s">
        <v>390</v>
      </c>
      <c r="AJ31" s="112" t="s">
        <v>390</v>
      </c>
      <c r="AK31" s="112" t="s">
        <v>390</v>
      </c>
      <c r="AL31" s="112" t="s">
        <v>390</v>
      </c>
      <c r="AM31" s="112" t="s">
        <v>390</v>
      </c>
      <c r="AN31" s="112" t="s">
        <v>390</v>
      </c>
      <c r="AO31" s="112" t="s">
        <v>390</v>
      </c>
      <c r="AP31" s="112" t="s">
        <v>390</v>
      </c>
      <c r="AQ31" s="112" t="s">
        <v>390</v>
      </c>
      <c r="AR31" s="112" t="s">
        <v>390</v>
      </c>
      <c r="AS31" s="112" t="s">
        <v>390</v>
      </c>
      <c r="AT31" s="109" t="str">
        <f>BN2</f>
        <v>object_burst_damage_in_medium_range</v>
      </c>
      <c r="AU31" s="109" t="s">
        <v>390</v>
      </c>
      <c r="AV31" s="109" t="str">
        <f>W2</f>
        <v>_attack_distance</v>
      </c>
      <c r="AW31" s="109" t="str">
        <f>BR2</f>
        <v>usual_burst_damage_in_medium_range</v>
      </c>
      <c r="AX31" s="109" t="str">
        <f>BS2</f>
        <v>usual_burst_damage_in_long_range</v>
      </c>
      <c r="AY31" s="109" t="str">
        <f>CG2</f>
        <v>pressure</v>
      </c>
      <c r="AZ31" s="109" t="str">
        <f>V2</f>
        <v>_durability</v>
      </c>
      <c r="BA31" s="109" t="str">
        <f>BM2</f>
        <v>object_burst_damage_in_short_range</v>
      </c>
      <c r="BB31" s="111" t="str">
        <f>CF2</f>
        <v>easy_approach</v>
      </c>
      <c r="BC31" s="109" t="str">
        <f>BN2</f>
        <v>object_burst_damage_in_medium_range</v>
      </c>
      <c r="BD31" s="109" t="str">
        <f>AJ2</f>
        <v>_surprise_attack</v>
      </c>
      <c r="BE31" s="109" t="s">
        <v>390</v>
      </c>
      <c r="BF31" s="109" t="str">
        <f>BP2</f>
        <v>object_burst_damage_in_very_long_range</v>
      </c>
      <c r="BG31" s="109" t="s">
        <v>390</v>
      </c>
      <c r="BH31" s="109" t="str">
        <f>BP2</f>
        <v>object_burst_damage_in_very_long_range</v>
      </c>
      <c r="BI31" s="109" t="s">
        <v>390</v>
      </c>
      <c r="BJ31" s="109" t="s">
        <v>390</v>
      </c>
      <c r="BK31" s="109" t="s">
        <v>390</v>
      </c>
      <c r="BL31" s="109" t="s">
        <v>390</v>
      </c>
      <c r="BM31" s="109" t="str">
        <f>CG2</f>
        <v>pressure</v>
      </c>
      <c r="BN31" s="109" t="str">
        <f>W2</f>
        <v>_attack_distance</v>
      </c>
      <c r="BO31" s="109" t="str">
        <f>W2</f>
        <v>_attack_distance</v>
      </c>
      <c r="BP31" s="109" t="str">
        <f>BV2</f>
        <v>balance_between_damage_and_durability_in_short_range</v>
      </c>
      <c r="BQ31" s="109" t="str">
        <f>CG2</f>
        <v>pressure</v>
      </c>
      <c r="BR31" s="109" t="str">
        <f>W2</f>
        <v>_attack_distance</v>
      </c>
      <c r="BS31" s="109" t="str">
        <f>W2</f>
        <v>_attack_distance</v>
      </c>
      <c r="BT31" s="109" t="str">
        <f>BV2</f>
        <v>balance_between_damage_and_durability_in_short_range</v>
      </c>
      <c r="BU31" s="109" t="s">
        <v>390</v>
      </c>
      <c r="BV31" s="109" t="str">
        <f>CG2</f>
        <v>pressure</v>
      </c>
      <c r="BW31" s="109" t="str">
        <f>W2</f>
        <v>_attack_distance</v>
      </c>
      <c r="BX31" s="109" t="str">
        <f>W2</f>
        <v>_attack_distance</v>
      </c>
      <c r="BY31" s="109" t="str">
        <f>BV2</f>
        <v>balance_between_damage_and_durability_in_short_range</v>
      </c>
      <c r="BZ31" s="109" t="s">
        <v>390</v>
      </c>
      <c r="CA31" s="109" t="str">
        <f>W2</f>
        <v>_attack_distance</v>
      </c>
      <c r="CB31" s="109" t="str">
        <f>BH2</f>
        <v>slowness_debuffing</v>
      </c>
      <c r="CC31" s="109" t="str">
        <f>BH2</f>
        <v>slowness_debuffing</v>
      </c>
      <c r="CD31" s="109" t="str">
        <f>X2</f>
        <v>retreat_button</v>
      </c>
      <c r="CE31" s="109" t="s">
        <v>390</v>
      </c>
      <c r="CF31" s="109" t="str">
        <f>V2</f>
        <v>_durability</v>
      </c>
      <c r="CG31" s="109" t="str">
        <f>BE2</f>
        <v>counter_poison_debuffing</v>
      </c>
      <c r="CH31" s="109" t="str">
        <f>BV2</f>
        <v>balance_between_damage_and_durability_in_short_range</v>
      </c>
      <c r="CI31" s="109" t="str">
        <f>AG2</f>
        <v>cover_creation_efficiency</v>
      </c>
      <c r="CJ31" s="109" t="str">
        <f>CG2</f>
        <v>pressure</v>
      </c>
      <c r="CK31" s="110" t="str">
        <f>BQ2</f>
        <v>usual_burst_damage_in_short_range</v>
      </c>
      <c r="CL31" s="109" t="str">
        <f>CG2</f>
        <v>pressure</v>
      </c>
      <c r="CM31" s="109" t="s">
        <v>390</v>
      </c>
    </row>
    <row r="32" spans="2:94">
      <c r="U32" s="129"/>
      <c r="V32" s="114" t="s">
        <v>390</v>
      </c>
      <c r="W32" s="112" t="s">
        <v>390</v>
      </c>
      <c r="X32" s="109" t="s">
        <v>390</v>
      </c>
      <c r="Y32" s="109" t="str">
        <f>AA2</f>
        <v>area_denial</v>
      </c>
      <c r="Z32" s="112" t="s">
        <v>390</v>
      </c>
      <c r="AA32" s="109" t="str">
        <f>AG2</f>
        <v>cover_creation_efficiency</v>
      </c>
      <c r="AB32" s="109" t="str">
        <f>BH2</f>
        <v>slowness_debuffing</v>
      </c>
      <c r="AC32" s="109" t="s">
        <v>390</v>
      </c>
      <c r="AD32" s="109" t="s">
        <v>390</v>
      </c>
      <c r="AE32" s="109" t="str">
        <f>CONCATENATE("! ", CI2)</f>
        <v>! indirect_damage</v>
      </c>
      <c r="AF32" s="109" t="s">
        <v>390</v>
      </c>
      <c r="AG32" s="109" t="s">
        <v>390</v>
      </c>
      <c r="AH32" s="112" t="s">
        <v>390</v>
      </c>
      <c r="AI32" s="112" t="s">
        <v>390</v>
      </c>
      <c r="AJ32" s="112" t="s">
        <v>390</v>
      </c>
      <c r="AK32" s="112" t="s">
        <v>390</v>
      </c>
      <c r="AL32" s="112" t="s">
        <v>390</v>
      </c>
      <c r="AM32" s="112" t="s">
        <v>390</v>
      </c>
      <c r="AN32" s="113" t="s">
        <v>390</v>
      </c>
      <c r="AO32" s="112" t="s">
        <v>390</v>
      </c>
      <c r="AP32" s="112" t="s">
        <v>390</v>
      </c>
      <c r="AQ32" s="112" t="s">
        <v>390</v>
      </c>
      <c r="AR32" s="112" t="s">
        <v>390</v>
      </c>
      <c r="AS32" s="112" t="s">
        <v>390</v>
      </c>
      <c r="AT32" s="109" t="str">
        <f>BO2</f>
        <v>object_burst_damage_in_long_range</v>
      </c>
      <c r="AU32" s="109" t="s">
        <v>390</v>
      </c>
      <c r="AV32" s="109" t="str">
        <f>CG2</f>
        <v>pressure</v>
      </c>
      <c r="AW32" s="109" t="str">
        <f>BS2</f>
        <v>usual_burst_damage_in_long_range</v>
      </c>
      <c r="AX32" s="109" t="s">
        <v>390</v>
      </c>
      <c r="AY32" s="109" t="s">
        <v>390</v>
      </c>
      <c r="AZ32" s="109" t="str">
        <f>BM2</f>
        <v>object_burst_damage_in_short_range</v>
      </c>
      <c r="BA32" s="109" t="str">
        <f>BN2</f>
        <v>object_burst_damage_in_medium_range</v>
      </c>
      <c r="BB32" s="109" t="str">
        <f>CG2</f>
        <v>pressure</v>
      </c>
      <c r="BC32" s="109" t="str">
        <f>CH2</f>
        <v>area_control</v>
      </c>
      <c r="BD32" s="109" t="str">
        <f>CH2</f>
        <v>area_control</v>
      </c>
      <c r="BE32" s="109" t="s">
        <v>390</v>
      </c>
      <c r="BF32" s="109" t="str">
        <f>BO2</f>
        <v>object_burst_damage_in_long_range</v>
      </c>
      <c r="BG32" s="109" t="s">
        <v>390</v>
      </c>
      <c r="BH32" s="109" t="str">
        <f>BO2</f>
        <v>object_burst_damage_in_long_range</v>
      </c>
      <c r="BI32" s="109" t="s">
        <v>390</v>
      </c>
      <c r="BJ32" s="109" t="s">
        <v>390</v>
      </c>
      <c r="BK32" s="109" t="s">
        <v>390</v>
      </c>
      <c r="BL32" s="109" t="s">
        <v>390</v>
      </c>
      <c r="BM32" s="109" t="str">
        <f>BV2</f>
        <v>balance_between_damage_and_durability_in_short_range</v>
      </c>
      <c r="BN32" s="109" t="str">
        <f>CG2</f>
        <v>pressure</v>
      </c>
      <c r="BO32" s="109" t="str">
        <f>CG2</f>
        <v>pressure</v>
      </c>
      <c r="BP32" s="109" t="str">
        <f>W2</f>
        <v>_attack_distance</v>
      </c>
      <c r="BQ32" s="109" t="str">
        <f>BV2</f>
        <v>balance_between_damage_and_durability_in_short_range</v>
      </c>
      <c r="BR32" s="109" t="str">
        <f>CG2</f>
        <v>pressure</v>
      </c>
      <c r="BS32" s="109" t="str">
        <f>CG2</f>
        <v>pressure</v>
      </c>
      <c r="BT32" s="109" t="str">
        <f>W2</f>
        <v>_attack_distance</v>
      </c>
      <c r="BU32" s="109" t="s">
        <v>390</v>
      </c>
      <c r="BV32" s="109" t="str">
        <f>BV2</f>
        <v>balance_between_damage_and_durability_in_short_range</v>
      </c>
      <c r="BW32" s="109" t="str">
        <f>CG2</f>
        <v>pressure</v>
      </c>
      <c r="BX32" s="109" t="str">
        <f>CG2</f>
        <v>pressure</v>
      </c>
      <c r="BY32" s="109" t="str">
        <f>W2</f>
        <v>_attack_distance</v>
      </c>
      <c r="BZ32" s="109" t="s">
        <v>390</v>
      </c>
      <c r="CA32" s="109" t="str">
        <f>X2</f>
        <v>retreat_button</v>
      </c>
      <c r="CB32" s="109" t="str">
        <f>W2</f>
        <v>_attack_distance</v>
      </c>
      <c r="CC32" s="109" t="str">
        <f>W2</f>
        <v>_attack_distance</v>
      </c>
      <c r="CD32" s="109" t="str">
        <f>BH2</f>
        <v>slowness_debuffing</v>
      </c>
      <c r="CE32" s="109" t="s">
        <v>390</v>
      </c>
      <c r="CF32" s="109" t="s">
        <v>390</v>
      </c>
      <c r="CG32" s="109" t="str">
        <f>BG2</f>
        <v>counter_stun_debuffing</v>
      </c>
      <c r="CH32" s="109" t="s">
        <v>390</v>
      </c>
      <c r="CI32" s="109" t="str">
        <f>BV2</f>
        <v>balance_between_damage_and_durability_in_short_range</v>
      </c>
      <c r="CJ32" s="109" t="s">
        <v>390</v>
      </c>
      <c r="CK32" s="109" t="str">
        <f>BR2</f>
        <v>usual_burst_damage_in_medium_range</v>
      </c>
      <c r="CL32" s="109" t="str">
        <f>CI2</f>
        <v>indirect_damage</v>
      </c>
      <c r="CM32" s="109" t="s">
        <v>390</v>
      </c>
    </row>
    <row r="33" spans="21:91">
      <c r="U33" s="129"/>
      <c r="V33" s="115" t="s">
        <v>390</v>
      </c>
      <c r="W33" s="112" t="s">
        <v>390</v>
      </c>
      <c r="X33" s="109" t="s">
        <v>390</v>
      </c>
      <c r="Y33" s="109" t="s">
        <v>390</v>
      </c>
      <c r="Z33" s="112" t="s">
        <v>390</v>
      </c>
      <c r="AA33" s="109" t="str">
        <f>W2</f>
        <v>_attack_distance</v>
      </c>
      <c r="AB33" s="109" t="str">
        <f>BQ2</f>
        <v>usual_burst_damage_in_short_range</v>
      </c>
      <c r="AC33" s="109" t="s">
        <v>390</v>
      </c>
      <c r="AD33" s="109" t="s">
        <v>390</v>
      </c>
      <c r="AE33" s="109" t="s">
        <v>390</v>
      </c>
      <c r="AF33" s="109" t="s">
        <v>390</v>
      </c>
      <c r="AG33" s="109" t="s">
        <v>390</v>
      </c>
      <c r="AH33" s="112" t="s">
        <v>390</v>
      </c>
      <c r="AI33" s="112" t="s">
        <v>390</v>
      </c>
      <c r="AJ33" s="112" t="s">
        <v>390</v>
      </c>
      <c r="AK33" s="112" t="s">
        <v>390</v>
      </c>
      <c r="AL33" s="112" t="s">
        <v>390</v>
      </c>
      <c r="AM33" s="112" t="s">
        <v>390</v>
      </c>
      <c r="AN33" s="112" t="s">
        <v>390</v>
      </c>
      <c r="AO33" s="112" t="s">
        <v>390</v>
      </c>
      <c r="AP33" s="112" t="s">
        <v>390</v>
      </c>
      <c r="AQ33" s="112" t="s">
        <v>390</v>
      </c>
      <c r="AR33" s="112" t="s">
        <v>390</v>
      </c>
      <c r="AS33" s="113" t="s">
        <v>390</v>
      </c>
      <c r="AT33" s="109" t="str">
        <f>BP2</f>
        <v>object_burst_damage_in_very_long_range</v>
      </c>
      <c r="AU33" s="109" t="s">
        <v>390</v>
      </c>
      <c r="AV33" s="109" t="s">
        <v>390</v>
      </c>
      <c r="AW33" s="109" t="str">
        <f>BT2</f>
        <v>usual_burst_damage_in_very_long_range</v>
      </c>
      <c r="AX33" s="109" t="s">
        <v>390</v>
      </c>
      <c r="AY33" s="109" t="s">
        <v>390</v>
      </c>
      <c r="AZ33" s="109" t="str">
        <f>BN2</f>
        <v>object_burst_damage_in_medium_range</v>
      </c>
      <c r="BA33" s="109" t="s">
        <v>390</v>
      </c>
      <c r="BB33" s="109" t="s">
        <v>390</v>
      </c>
      <c r="BC33" s="109" t="s">
        <v>390</v>
      </c>
      <c r="BD33" s="109" t="s">
        <v>390</v>
      </c>
      <c r="BE33" s="109" t="s">
        <v>390</v>
      </c>
      <c r="BF33" s="109" t="str">
        <f>AA2</f>
        <v>area_denial</v>
      </c>
      <c r="BG33" s="109" t="s">
        <v>390</v>
      </c>
      <c r="BH33" s="109" t="s">
        <v>390</v>
      </c>
      <c r="BI33" s="109" t="s">
        <v>390</v>
      </c>
      <c r="BJ33" s="109" t="s">
        <v>390</v>
      </c>
      <c r="BK33" s="109" t="s">
        <v>390</v>
      </c>
      <c r="BL33" s="109" t="s">
        <v>390</v>
      </c>
      <c r="BM33" s="109" t="s">
        <v>390</v>
      </c>
      <c r="BN33" s="109" t="s">
        <v>390</v>
      </c>
      <c r="BO33" s="109" t="s">
        <v>390</v>
      </c>
      <c r="BP33" s="109" t="s">
        <v>390</v>
      </c>
      <c r="BQ33" s="109" t="s">
        <v>390</v>
      </c>
      <c r="BR33" s="109" t="s">
        <v>390</v>
      </c>
      <c r="BS33" s="109" t="s">
        <v>390</v>
      </c>
      <c r="BT33" s="109" t="s">
        <v>390</v>
      </c>
      <c r="BU33" s="109" t="s">
        <v>390</v>
      </c>
      <c r="BV33" s="109" t="s">
        <v>390</v>
      </c>
      <c r="BW33" s="109" t="s">
        <v>390</v>
      </c>
      <c r="BX33" s="109" t="s">
        <v>390</v>
      </c>
      <c r="BY33" s="109" t="s">
        <v>390</v>
      </c>
      <c r="BZ33" s="109" t="s">
        <v>390</v>
      </c>
      <c r="CA33" s="109" t="str">
        <f>BH2</f>
        <v>slowness_debuffing</v>
      </c>
      <c r="CB33" s="109" t="str">
        <f>X2</f>
        <v>retreat_button</v>
      </c>
      <c r="CC33" s="109" t="str">
        <f>X2</f>
        <v>retreat_button</v>
      </c>
      <c r="CD33" s="109" t="str">
        <f>W2</f>
        <v>_attack_distance</v>
      </c>
      <c r="CE33" s="109" t="s">
        <v>390</v>
      </c>
      <c r="CF33" s="109" t="s">
        <v>390</v>
      </c>
      <c r="CG33" s="109" t="str">
        <f>BI2</f>
        <v>counter_slowness_debuffing</v>
      </c>
      <c r="CH33" s="109" t="s">
        <v>390</v>
      </c>
      <c r="CI33" s="109" t="s">
        <v>390</v>
      </c>
      <c r="CJ33" s="109" t="s">
        <v>390</v>
      </c>
      <c r="CK33" s="109" t="s">
        <v>390</v>
      </c>
      <c r="CL33" s="111" t="str">
        <f>CF2</f>
        <v>easy_approach</v>
      </c>
      <c r="CM33" s="109" t="s">
        <v>390</v>
      </c>
    </row>
    <row r="34" spans="21:91">
      <c r="U34" s="129"/>
      <c r="V34" s="115" t="s">
        <v>390</v>
      </c>
      <c r="W34" s="112" t="s">
        <v>390</v>
      </c>
      <c r="X34" s="109" t="s">
        <v>390</v>
      </c>
      <c r="Y34" s="109" t="s">
        <v>390</v>
      </c>
      <c r="Z34" s="112" t="s">
        <v>390</v>
      </c>
      <c r="AA34" s="109" t="s">
        <v>390</v>
      </c>
      <c r="AB34" s="109" t="str">
        <f>BR2</f>
        <v>usual_burst_damage_in_medium_range</v>
      </c>
      <c r="AC34" s="109" t="s">
        <v>390</v>
      </c>
      <c r="AD34" s="109" t="s">
        <v>390</v>
      </c>
      <c r="AE34" s="109" t="s">
        <v>390</v>
      </c>
      <c r="AF34" s="109" t="s">
        <v>390</v>
      </c>
      <c r="AG34" s="109" t="s">
        <v>390</v>
      </c>
      <c r="AH34" s="112" t="s">
        <v>390</v>
      </c>
      <c r="AI34" s="112" t="s">
        <v>390</v>
      </c>
      <c r="AJ34" s="112" t="s">
        <v>390</v>
      </c>
      <c r="AK34" s="112" t="s">
        <v>390</v>
      </c>
      <c r="AL34" s="112" t="s">
        <v>390</v>
      </c>
      <c r="AM34" s="112" t="s">
        <v>390</v>
      </c>
      <c r="AN34" s="112" t="s">
        <v>390</v>
      </c>
      <c r="AO34" s="112" t="s">
        <v>390</v>
      </c>
      <c r="AP34" s="112" t="s">
        <v>390</v>
      </c>
      <c r="AQ34" s="112" t="s">
        <v>390</v>
      </c>
      <c r="AR34" s="112" t="s">
        <v>390</v>
      </c>
      <c r="AS34" s="112" t="s">
        <v>390</v>
      </c>
      <c r="AT34" s="109" t="str">
        <f>W2</f>
        <v>_attack_distance</v>
      </c>
      <c r="AU34" s="109" t="s">
        <v>390</v>
      </c>
      <c r="AV34" s="109" t="s">
        <v>390</v>
      </c>
      <c r="AW34" s="109" t="s">
        <v>390</v>
      </c>
      <c r="AX34" s="109" t="s">
        <v>390</v>
      </c>
      <c r="AY34" s="109" t="s">
        <v>390</v>
      </c>
      <c r="AZ34" s="109" t="s">
        <v>390</v>
      </c>
      <c r="BA34" s="109" t="s">
        <v>390</v>
      </c>
      <c r="BB34" s="109" t="s">
        <v>390</v>
      </c>
      <c r="BC34" s="109" t="s">
        <v>390</v>
      </c>
      <c r="BD34" s="109" t="s">
        <v>390</v>
      </c>
      <c r="BE34" s="109" t="s">
        <v>390</v>
      </c>
      <c r="BF34" s="109" t="s">
        <v>390</v>
      </c>
      <c r="BG34" s="109" t="s">
        <v>390</v>
      </c>
      <c r="BH34" s="109" t="s">
        <v>390</v>
      </c>
      <c r="BI34" s="109" t="s">
        <v>390</v>
      </c>
      <c r="BJ34" s="109" t="s">
        <v>390</v>
      </c>
      <c r="BK34" s="109" t="s">
        <v>390</v>
      </c>
      <c r="BL34" s="109" t="s">
        <v>390</v>
      </c>
      <c r="BM34" s="109" t="s">
        <v>390</v>
      </c>
      <c r="BN34" s="109" t="s">
        <v>390</v>
      </c>
      <c r="BO34" s="109" t="s">
        <v>390</v>
      </c>
      <c r="BP34" s="109" t="s">
        <v>390</v>
      </c>
      <c r="BQ34" s="109" t="s">
        <v>390</v>
      </c>
      <c r="BR34" s="109" t="s">
        <v>390</v>
      </c>
      <c r="BS34" s="109" t="s">
        <v>390</v>
      </c>
      <c r="BT34" s="109" t="s">
        <v>390</v>
      </c>
      <c r="BU34" s="109" t="s">
        <v>390</v>
      </c>
      <c r="BV34" s="109" t="s">
        <v>390</v>
      </c>
      <c r="BW34" s="109" t="s">
        <v>390</v>
      </c>
      <c r="BX34" s="109" t="s">
        <v>390</v>
      </c>
      <c r="BY34" s="109" t="s">
        <v>390</v>
      </c>
      <c r="BZ34" s="109" t="s">
        <v>390</v>
      </c>
      <c r="CA34" s="109" t="s">
        <v>390</v>
      </c>
      <c r="CB34" s="109" t="s">
        <v>390</v>
      </c>
      <c r="CC34" s="109" t="s">
        <v>390</v>
      </c>
      <c r="CD34" s="109" t="s">
        <v>390</v>
      </c>
      <c r="CE34" s="109" t="s">
        <v>390</v>
      </c>
      <c r="CF34" s="109" t="s">
        <v>390</v>
      </c>
      <c r="CG34" s="109" t="str">
        <f>AV2</f>
        <v>heal_buffing</v>
      </c>
      <c r="CH34" s="109" t="s">
        <v>390</v>
      </c>
      <c r="CI34" s="109" t="s">
        <v>390</v>
      </c>
      <c r="CJ34" s="109" t="s">
        <v>390</v>
      </c>
      <c r="CK34" s="109" t="s">
        <v>390</v>
      </c>
      <c r="CL34" s="109" t="s">
        <v>390</v>
      </c>
      <c r="CM34" s="109" t="s">
        <v>390</v>
      </c>
    </row>
    <row r="35" spans="21:91">
      <c r="AB35" s="110" t="str">
        <f>BS2</f>
        <v>usual_burst_damage_in_long_range</v>
      </c>
    </row>
    <row r="36" spans="21:91">
      <c r="AB36" s="109" t="str">
        <f>BT2</f>
        <v>usual_burst_damage_in_very_long_range</v>
      </c>
    </row>
    <row r="38" spans="21:91">
      <c r="U38" s="130" t="s">
        <v>393</v>
      </c>
      <c r="V38" s="107">
        <f>COUNTIF($V$22:$CM$28, V2)</f>
        <v>0</v>
      </c>
      <c r="W38" s="107">
        <f t="shared" ref="W38:CH38" si="36">COUNTIF($V$22:$CM$28, W2)</f>
        <v>0</v>
      </c>
      <c r="X38" s="107">
        <f t="shared" si="36"/>
        <v>9</v>
      </c>
      <c r="Y38" s="107">
        <f t="shared" si="36"/>
        <v>5</v>
      </c>
      <c r="Z38" s="107">
        <f t="shared" si="36"/>
        <v>0</v>
      </c>
      <c r="AA38" s="107">
        <f t="shared" si="36"/>
        <v>1</v>
      </c>
      <c r="AB38" s="107">
        <f t="shared" si="36"/>
        <v>7</v>
      </c>
      <c r="AC38" s="107">
        <f t="shared" si="36"/>
        <v>0</v>
      </c>
      <c r="AD38" s="107">
        <f t="shared" si="36"/>
        <v>1</v>
      </c>
      <c r="AE38" s="107">
        <f>COUNTIF($V$22:$CM$28, AE2)</f>
        <v>2</v>
      </c>
      <c r="AF38" s="107">
        <f t="shared" si="36"/>
        <v>1</v>
      </c>
      <c r="AG38" s="107">
        <f t="shared" si="36"/>
        <v>2</v>
      </c>
      <c r="AH38" s="107">
        <f t="shared" si="36"/>
        <v>0</v>
      </c>
      <c r="AI38" s="107">
        <f t="shared" si="36"/>
        <v>0</v>
      </c>
      <c r="AJ38" s="107">
        <f t="shared" si="36"/>
        <v>0</v>
      </c>
      <c r="AK38" s="107">
        <f t="shared" si="36"/>
        <v>0</v>
      </c>
      <c r="AL38" s="107">
        <f t="shared" si="36"/>
        <v>0</v>
      </c>
      <c r="AM38" s="107">
        <f t="shared" si="36"/>
        <v>0</v>
      </c>
      <c r="AN38" s="107">
        <f t="shared" si="36"/>
        <v>0</v>
      </c>
      <c r="AO38" s="107">
        <f t="shared" si="36"/>
        <v>0</v>
      </c>
      <c r="AP38" s="107">
        <f t="shared" si="36"/>
        <v>0</v>
      </c>
      <c r="AQ38" s="107">
        <f t="shared" si="36"/>
        <v>0</v>
      </c>
      <c r="AR38" s="107">
        <f t="shared" si="36"/>
        <v>0</v>
      </c>
      <c r="AS38" s="107">
        <f t="shared" si="36"/>
        <v>0</v>
      </c>
      <c r="AT38" s="107">
        <f t="shared" si="36"/>
        <v>0</v>
      </c>
      <c r="AU38" s="107">
        <f t="shared" si="36"/>
        <v>0</v>
      </c>
      <c r="AV38" s="107">
        <f t="shared" si="36"/>
        <v>0</v>
      </c>
      <c r="AW38" s="107">
        <f t="shared" si="36"/>
        <v>1</v>
      </c>
      <c r="AX38" s="107">
        <f t="shared" si="36"/>
        <v>1</v>
      </c>
      <c r="AY38" s="107">
        <f t="shared" si="36"/>
        <v>1</v>
      </c>
      <c r="AZ38" s="107">
        <f t="shared" si="36"/>
        <v>1</v>
      </c>
      <c r="BA38" s="107">
        <f t="shared" si="36"/>
        <v>0</v>
      </c>
      <c r="BB38" s="107">
        <f t="shared" si="36"/>
        <v>0</v>
      </c>
      <c r="BC38" s="107">
        <f t="shared" si="36"/>
        <v>0</v>
      </c>
      <c r="BD38" s="107">
        <f t="shared" si="36"/>
        <v>1</v>
      </c>
      <c r="BE38" s="107">
        <f t="shared" si="36"/>
        <v>1</v>
      </c>
      <c r="BF38" s="107">
        <f t="shared" si="36"/>
        <v>6</v>
      </c>
      <c r="BG38" s="107">
        <f t="shared" si="36"/>
        <v>1</v>
      </c>
      <c r="BH38" s="107">
        <f t="shared" si="36"/>
        <v>1</v>
      </c>
      <c r="BI38" s="107">
        <f t="shared" si="36"/>
        <v>1</v>
      </c>
      <c r="BJ38" s="107">
        <f t="shared" si="36"/>
        <v>0</v>
      </c>
      <c r="BK38" s="107">
        <f t="shared" si="36"/>
        <v>1</v>
      </c>
      <c r="BL38" s="107">
        <f t="shared" si="36"/>
        <v>8</v>
      </c>
      <c r="BM38" s="107">
        <f t="shared" si="36"/>
        <v>1</v>
      </c>
      <c r="BN38" s="107">
        <f t="shared" si="36"/>
        <v>1</v>
      </c>
      <c r="BO38" s="107">
        <f t="shared" si="36"/>
        <v>1</v>
      </c>
      <c r="BP38" s="107">
        <f t="shared" si="36"/>
        <v>1</v>
      </c>
      <c r="BQ38" s="107">
        <f t="shared" si="36"/>
        <v>0</v>
      </c>
      <c r="BR38" s="107">
        <f t="shared" si="36"/>
        <v>7</v>
      </c>
      <c r="BS38" s="107">
        <f t="shared" si="36"/>
        <v>9</v>
      </c>
      <c r="BT38" s="107">
        <f t="shared" si="36"/>
        <v>14</v>
      </c>
      <c r="BU38" s="107">
        <f t="shared" si="36"/>
        <v>0</v>
      </c>
      <c r="BV38" s="107">
        <f t="shared" si="36"/>
        <v>7</v>
      </c>
      <c r="BW38" s="107">
        <f t="shared" si="36"/>
        <v>1</v>
      </c>
      <c r="BX38" s="107">
        <f t="shared" si="36"/>
        <v>1</v>
      </c>
      <c r="BY38" s="107">
        <f t="shared" si="36"/>
        <v>0</v>
      </c>
      <c r="BZ38" s="107">
        <f t="shared" si="36"/>
        <v>0</v>
      </c>
      <c r="CA38" s="107">
        <f t="shared" si="36"/>
        <v>2</v>
      </c>
      <c r="CB38" s="107">
        <f t="shared" si="36"/>
        <v>2</v>
      </c>
      <c r="CC38" s="107">
        <f t="shared" si="36"/>
        <v>10</v>
      </c>
      <c r="CD38" s="107">
        <f t="shared" si="36"/>
        <v>10</v>
      </c>
      <c r="CE38" s="107">
        <f t="shared" si="36"/>
        <v>0</v>
      </c>
      <c r="CF38" s="107">
        <f t="shared" si="36"/>
        <v>8</v>
      </c>
      <c r="CG38" s="107">
        <f t="shared" si="36"/>
        <v>5</v>
      </c>
      <c r="CH38" s="107">
        <f t="shared" si="36"/>
        <v>0</v>
      </c>
      <c r="CI38" s="107">
        <f t="shared" ref="CI38:CM38" si="37">COUNTIF($V$22:$CM$28, CI2)</f>
        <v>0</v>
      </c>
      <c r="CJ38" s="107">
        <f t="shared" si="37"/>
        <v>0</v>
      </c>
      <c r="CK38" s="107">
        <f t="shared" si="37"/>
        <v>0</v>
      </c>
      <c r="CL38" s="107">
        <f t="shared" si="37"/>
        <v>2</v>
      </c>
      <c r="CM38" s="107">
        <f t="shared" si="37"/>
        <v>0</v>
      </c>
    </row>
    <row r="39" spans="21:91">
      <c r="U39" s="131"/>
      <c r="V39" s="109">
        <f>COUNTIF($V$30:$CM$36, V2)</f>
        <v>5</v>
      </c>
      <c r="W39" s="109">
        <f t="shared" ref="W39:CH39" si="38">COUNTIF($V$30:$CM$36, W2)</f>
        <v>23</v>
      </c>
      <c r="X39" s="109">
        <f t="shared" si="38"/>
        <v>4</v>
      </c>
      <c r="Y39" s="109">
        <f t="shared" si="38"/>
        <v>1</v>
      </c>
      <c r="Z39" s="109">
        <f t="shared" si="38"/>
        <v>0</v>
      </c>
      <c r="AA39" s="109">
        <f t="shared" si="38"/>
        <v>3</v>
      </c>
      <c r="AB39" s="109">
        <f t="shared" si="38"/>
        <v>3</v>
      </c>
      <c r="AC39" s="109">
        <f t="shared" si="38"/>
        <v>0</v>
      </c>
      <c r="AD39" s="109">
        <f t="shared" si="38"/>
        <v>0</v>
      </c>
      <c r="AE39" s="109">
        <f t="shared" si="38"/>
        <v>0</v>
      </c>
      <c r="AF39" s="109">
        <f t="shared" si="38"/>
        <v>0</v>
      </c>
      <c r="AG39" s="109">
        <f t="shared" si="38"/>
        <v>2</v>
      </c>
      <c r="AH39" s="109">
        <f t="shared" si="38"/>
        <v>0</v>
      </c>
      <c r="AI39" s="109">
        <f t="shared" si="38"/>
        <v>0</v>
      </c>
      <c r="AJ39" s="109">
        <f t="shared" si="38"/>
        <v>5</v>
      </c>
      <c r="AK39" s="109">
        <f t="shared" si="38"/>
        <v>0</v>
      </c>
      <c r="AL39" s="109">
        <f t="shared" si="38"/>
        <v>0</v>
      </c>
      <c r="AM39" s="109">
        <f t="shared" si="38"/>
        <v>0</v>
      </c>
      <c r="AN39" s="109">
        <f t="shared" si="38"/>
        <v>0</v>
      </c>
      <c r="AO39" s="109">
        <f t="shared" si="38"/>
        <v>0</v>
      </c>
      <c r="AP39" s="109">
        <f t="shared" si="38"/>
        <v>0</v>
      </c>
      <c r="AQ39" s="109">
        <f t="shared" si="38"/>
        <v>0</v>
      </c>
      <c r="AR39" s="109">
        <f t="shared" si="38"/>
        <v>0</v>
      </c>
      <c r="AS39" s="109">
        <f t="shared" si="38"/>
        <v>0</v>
      </c>
      <c r="AT39" s="109">
        <f t="shared" si="38"/>
        <v>2</v>
      </c>
      <c r="AU39" s="109">
        <f t="shared" si="38"/>
        <v>0</v>
      </c>
      <c r="AV39" s="109">
        <f t="shared" si="38"/>
        <v>1</v>
      </c>
      <c r="AW39" s="109">
        <f t="shared" si="38"/>
        <v>0</v>
      </c>
      <c r="AX39" s="109">
        <f t="shared" si="38"/>
        <v>1</v>
      </c>
      <c r="AY39" s="109">
        <f t="shared" si="38"/>
        <v>0</v>
      </c>
      <c r="AZ39" s="109">
        <f t="shared" si="38"/>
        <v>2</v>
      </c>
      <c r="BA39" s="109">
        <f t="shared" si="38"/>
        <v>0</v>
      </c>
      <c r="BB39" s="109">
        <f t="shared" si="38"/>
        <v>0</v>
      </c>
      <c r="BC39" s="109">
        <f t="shared" si="38"/>
        <v>0</v>
      </c>
      <c r="BD39" s="109">
        <f t="shared" si="38"/>
        <v>0</v>
      </c>
      <c r="BE39" s="109">
        <f t="shared" si="38"/>
        <v>1</v>
      </c>
      <c r="BF39" s="109">
        <f t="shared" si="38"/>
        <v>1</v>
      </c>
      <c r="BG39" s="109">
        <f t="shared" si="38"/>
        <v>1</v>
      </c>
      <c r="BH39" s="109">
        <f t="shared" si="38"/>
        <v>6</v>
      </c>
      <c r="BI39" s="109">
        <f t="shared" si="38"/>
        <v>1</v>
      </c>
      <c r="BJ39" s="109">
        <f t="shared" si="38"/>
        <v>0</v>
      </c>
      <c r="BK39" s="109">
        <f t="shared" si="38"/>
        <v>0</v>
      </c>
      <c r="BL39" s="109">
        <f t="shared" si="38"/>
        <v>0</v>
      </c>
      <c r="BM39" s="109">
        <f t="shared" si="38"/>
        <v>4</v>
      </c>
      <c r="BN39" s="109">
        <f t="shared" si="38"/>
        <v>4</v>
      </c>
      <c r="BO39" s="109">
        <f t="shared" si="38"/>
        <v>3</v>
      </c>
      <c r="BP39" s="109">
        <f t="shared" si="38"/>
        <v>3</v>
      </c>
      <c r="BQ39" s="109">
        <f t="shared" si="38"/>
        <v>3</v>
      </c>
      <c r="BR39" s="109">
        <f t="shared" si="38"/>
        <v>3</v>
      </c>
      <c r="BS39" s="109">
        <f t="shared" si="38"/>
        <v>3</v>
      </c>
      <c r="BT39" s="109">
        <f t="shared" si="38"/>
        <v>3</v>
      </c>
      <c r="BU39" s="109">
        <f t="shared" si="38"/>
        <v>0</v>
      </c>
      <c r="BV39" s="109">
        <f t="shared" si="38"/>
        <v>19</v>
      </c>
      <c r="BW39" s="109">
        <f t="shared" si="38"/>
        <v>0</v>
      </c>
      <c r="BX39" s="109">
        <f t="shared" si="38"/>
        <v>0</v>
      </c>
      <c r="BY39" s="109">
        <f t="shared" si="38"/>
        <v>0</v>
      </c>
      <c r="BZ39" s="109">
        <f t="shared" si="38"/>
        <v>0</v>
      </c>
      <c r="CA39" s="109">
        <f t="shared" si="38"/>
        <v>0</v>
      </c>
      <c r="CB39" s="109">
        <f t="shared" si="38"/>
        <v>0</v>
      </c>
      <c r="CC39" s="109">
        <f t="shared" si="38"/>
        <v>0</v>
      </c>
      <c r="CD39" s="109">
        <f t="shared" si="38"/>
        <v>0</v>
      </c>
      <c r="CE39" s="109">
        <f t="shared" si="38"/>
        <v>0</v>
      </c>
      <c r="CF39" s="109">
        <f t="shared" si="38"/>
        <v>2</v>
      </c>
      <c r="CG39" s="109">
        <f t="shared" si="38"/>
        <v>20</v>
      </c>
      <c r="CH39" s="109">
        <f t="shared" si="38"/>
        <v>2</v>
      </c>
      <c r="CI39" s="109">
        <f t="shared" ref="CI39:CM39" si="39">COUNTIF($V$30:$CM$36, CI2)</f>
        <v>3</v>
      </c>
      <c r="CJ39" s="109">
        <f t="shared" si="39"/>
        <v>0</v>
      </c>
      <c r="CK39" s="109">
        <f t="shared" si="39"/>
        <v>0</v>
      </c>
      <c r="CL39" s="109">
        <f t="shared" si="39"/>
        <v>0</v>
      </c>
      <c r="CM39" s="109">
        <f t="shared" si="39"/>
        <v>0</v>
      </c>
    </row>
  </sheetData>
  <mergeCells count="3">
    <mergeCell ref="U22:U28"/>
    <mergeCell ref="U30:U34"/>
    <mergeCell ref="U38:U39"/>
  </mergeCells>
  <dataValidations count="1">
    <dataValidation allowBlank="1" showInputMessage="1" showErrorMessage="1" sqref="B2:B20" xr:uid="{835A3A28-0686-4064-9CB1-6359FD1E057D}"/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99C57-7623-4CCB-9D41-70BE5405F184}">
  <dimension ref="A1:BN22"/>
  <sheetViews>
    <sheetView workbookViewId="0">
      <pane xSplit="3" topLeftCell="D1" activePane="topRight" state="frozen"/>
      <selection pane="topRight" activeCell="B2" sqref="B2"/>
    </sheetView>
  </sheetViews>
  <sheetFormatPr defaultRowHeight="15"/>
  <cols>
    <col min="1" max="1" width="9.140625" style="76"/>
    <col min="2" max="2" width="24" bestFit="1" customWidth="1"/>
  </cols>
  <sheetData>
    <row r="1" spans="1:66" s="122" customFormat="1">
      <c r="A1" s="123"/>
      <c r="X1" s="122" t="s">
        <v>394</v>
      </c>
      <c r="AE1" s="122" t="s">
        <v>394</v>
      </c>
      <c r="AF1" s="122" t="s">
        <v>394</v>
      </c>
      <c r="AG1" s="122" t="s">
        <v>394</v>
      </c>
      <c r="AK1" s="122" t="s">
        <v>394</v>
      </c>
      <c r="AL1" s="122" t="s">
        <v>394</v>
      </c>
      <c r="AN1" s="122" t="s">
        <v>394</v>
      </c>
      <c r="AO1" s="122" t="s">
        <v>394</v>
      </c>
      <c r="AP1" s="122" t="s">
        <v>394</v>
      </c>
      <c r="AQ1" s="122" t="s">
        <v>394</v>
      </c>
      <c r="AR1" s="122" t="s">
        <v>394</v>
      </c>
      <c r="AT1" s="122" t="s">
        <v>394</v>
      </c>
      <c r="AV1" s="122" t="s">
        <v>394</v>
      </c>
      <c r="AX1" s="122" t="s">
        <v>394</v>
      </c>
      <c r="AY1" s="122" t="s">
        <v>394</v>
      </c>
      <c r="BA1" s="122" t="s">
        <v>394</v>
      </c>
      <c r="BB1" s="122" t="s">
        <v>394</v>
      </c>
      <c r="BC1" s="122" t="s">
        <v>394</v>
      </c>
      <c r="BE1" s="122" t="s">
        <v>394</v>
      </c>
      <c r="BG1" s="122" t="s">
        <v>394</v>
      </c>
      <c r="BH1" s="122" t="s">
        <v>394</v>
      </c>
      <c r="BI1" s="122" t="s">
        <v>394</v>
      </c>
      <c r="BL1" s="122" t="s">
        <v>394</v>
      </c>
    </row>
    <row r="2" spans="1:66">
      <c r="B2" s="2" t="s">
        <v>395</v>
      </c>
      <c r="C2" s="2" t="s">
        <v>302</v>
      </c>
      <c r="D2" s="116" t="s">
        <v>303</v>
      </c>
      <c r="E2" s="116" t="s">
        <v>304</v>
      </c>
      <c r="F2" s="116" t="s">
        <v>305</v>
      </c>
      <c r="G2" s="116" t="s">
        <v>306</v>
      </c>
      <c r="H2" s="116" t="s">
        <v>307</v>
      </c>
      <c r="I2" s="116" t="s">
        <v>308</v>
      </c>
      <c r="J2" s="116" t="s">
        <v>309</v>
      </c>
      <c r="K2" s="116" t="s">
        <v>310</v>
      </c>
      <c r="L2" s="116" t="s">
        <v>311</v>
      </c>
      <c r="M2" s="116" t="s">
        <v>312</v>
      </c>
      <c r="N2" s="116" t="s">
        <v>313</v>
      </c>
      <c r="O2" s="116" t="s">
        <v>314</v>
      </c>
      <c r="P2" s="116" t="s">
        <v>315</v>
      </c>
      <c r="Q2" s="116" t="s">
        <v>316</v>
      </c>
      <c r="R2" s="116" t="s">
        <v>317</v>
      </c>
      <c r="S2" s="116" t="s">
        <v>318</v>
      </c>
      <c r="T2" s="116" t="s">
        <v>319</v>
      </c>
      <c r="U2" s="116" t="s">
        <v>320</v>
      </c>
      <c r="V2" s="2" t="s">
        <v>321</v>
      </c>
      <c r="W2" s="2" t="s">
        <v>322</v>
      </c>
      <c r="X2" s="2" t="s">
        <v>323</v>
      </c>
      <c r="Y2" s="2" t="s">
        <v>324</v>
      </c>
      <c r="Z2" s="2" t="s">
        <v>325</v>
      </c>
      <c r="AA2" s="2" t="s">
        <v>326</v>
      </c>
      <c r="AB2" s="2" t="s">
        <v>327</v>
      </c>
      <c r="AC2" s="2" t="s">
        <v>328</v>
      </c>
      <c r="AD2" s="2" t="s">
        <v>329</v>
      </c>
      <c r="AE2" s="2" t="s">
        <v>330</v>
      </c>
      <c r="AF2" s="2" t="s">
        <v>331</v>
      </c>
      <c r="AG2" s="116" t="s">
        <v>332</v>
      </c>
      <c r="AH2" s="116" t="s">
        <v>333</v>
      </c>
      <c r="AI2" s="116" t="s">
        <v>334</v>
      </c>
      <c r="AJ2" s="2" t="s">
        <v>335</v>
      </c>
      <c r="AK2" s="116" t="s">
        <v>336</v>
      </c>
      <c r="AL2" s="116" t="s">
        <v>337</v>
      </c>
      <c r="AM2" s="116" t="s">
        <v>338</v>
      </c>
      <c r="AN2" s="116" t="s">
        <v>339</v>
      </c>
      <c r="AO2" s="116" t="s">
        <v>340</v>
      </c>
      <c r="AP2" s="116" t="s">
        <v>341</v>
      </c>
      <c r="AQ2" s="116" t="s">
        <v>342</v>
      </c>
      <c r="AR2" s="116" t="s">
        <v>343</v>
      </c>
      <c r="AS2" s="116" t="s">
        <v>344</v>
      </c>
      <c r="AT2" s="116" t="s">
        <v>345</v>
      </c>
      <c r="AU2" s="116" t="s">
        <v>346</v>
      </c>
      <c r="AV2" s="2" t="s">
        <v>347</v>
      </c>
      <c r="AW2" s="2" t="s">
        <v>348</v>
      </c>
      <c r="AX2" s="116" t="s">
        <v>349</v>
      </c>
      <c r="AY2" s="2" t="s">
        <v>350</v>
      </c>
      <c r="AZ2" s="2" t="s">
        <v>351</v>
      </c>
      <c r="BA2" s="2" t="s">
        <v>352</v>
      </c>
      <c r="BB2" s="2" t="s">
        <v>353</v>
      </c>
      <c r="BC2" s="2" t="s">
        <v>354</v>
      </c>
      <c r="BD2" s="117" t="s">
        <v>355</v>
      </c>
      <c r="BE2" s="2" t="s">
        <v>356</v>
      </c>
      <c r="BF2" s="2" t="s">
        <v>357</v>
      </c>
      <c r="BG2" s="116" t="s">
        <v>358</v>
      </c>
      <c r="BH2" s="116" t="s">
        <v>359</v>
      </c>
      <c r="BI2" s="2" t="s">
        <v>360</v>
      </c>
      <c r="BJ2" s="2" t="s">
        <v>361</v>
      </c>
      <c r="BK2" s="116" t="s">
        <v>362</v>
      </c>
      <c r="BL2" s="2" t="s">
        <v>363</v>
      </c>
      <c r="BN2" s="2" t="s">
        <v>396</v>
      </c>
    </row>
    <row r="3" spans="1:66">
      <c r="B3" s="77" t="s">
        <v>397</v>
      </c>
      <c r="C3" s="67" t="s">
        <v>78</v>
      </c>
      <c r="D3" s="79">
        <f>((0 + 'BRAWLERS OFICIAL'!D3)-'BRAWLERS OFICIAL'!D3)/($BN3/5)</f>
        <v>0</v>
      </c>
      <c r="E3" s="79">
        <f>((0 + 'BRAWLERS OFICIAL'!E3)-'BRAWLERS OFICIAL'!E3)/($BN3/5)</f>
        <v>0</v>
      </c>
      <c r="F3" s="79">
        <f>((0 + 'BRAWLERS OFICIAL'!F3)-'BRAWLERS OFICIAL'!F3)/($BN3/5)</f>
        <v>0</v>
      </c>
      <c r="G3" s="79">
        <f>((0 + 'BRAWLERS OFICIAL'!G3)-'BRAWLERS OFICIAL'!G3)/($BN3/5)</f>
        <v>0</v>
      </c>
      <c r="H3" s="79">
        <f>((0 + 'BRAWLERS OFICIAL'!H3)-'BRAWLERS OFICIAL'!H3)/($BN3/5)</f>
        <v>0</v>
      </c>
      <c r="I3" s="79">
        <f>((0 + 'BRAWLERS OFICIAL'!I3)-'BRAWLERS OFICIAL'!I3)/($BN3/5)</f>
        <v>0</v>
      </c>
      <c r="J3" s="79">
        <f>((0 + 'BRAWLERS OFICIAL'!J3)-'BRAWLERS OFICIAL'!J3)/($BN3/5)</f>
        <v>0</v>
      </c>
      <c r="K3" s="79">
        <f>((0 + 'BRAWLERS OFICIAL'!K3)-'BRAWLERS OFICIAL'!K3)/($BN3/5)</f>
        <v>0</v>
      </c>
      <c r="L3" s="79">
        <f>((0 + 'BRAWLERS OFICIAL'!L3)-'BRAWLERS OFICIAL'!L3)/($BN3/5)</f>
        <v>0</v>
      </c>
      <c r="M3" s="79">
        <f>((0 + 'BRAWLERS OFICIAL'!M3)-'BRAWLERS OFICIAL'!M3)/($BN3/5)</f>
        <v>0</v>
      </c>
      <c r="N3" s="79">
        <f>((0 + 'BRAWLERS OFICIAL'!N3)-'BRAWLERS OFICIAL'!N3)/($BN3/5)</f>
        <v>0</v>
      </c>
      <c r="O3" s="79">
        <f>((0 + 'BRAWLERS OFICIAL'!O3)-'BRAWLERS OFICIAL'!O3)/($BN3/5)</f>
        <v>0</v>
      </c>
      <c r="P3" s="79">
        <f>((0 + 'BRAWLERS OFICIAL'!P3)-'BRAWLERS OFICIAL'!P3)/($BN3/5)</f>
        <v>0</v>
      </c>
      <c r="Q3" s="79">
        <f>((0 + 'BRAWLERS OFICIAL'!Q3)-'BRAWLERS OFICIAL'!Q3)/($BN3/5)</f>
        <v>0</v>
      </c>
      <c r="R3" s="79">
        <f>((0 + 'BRAWLERS OFICIAL'!R3)-'BRAWLERS OFICIAL'!R3)/($BN3/5)</f>
        <v>0</v>
      </c>
      <c r="S3" s="79">
        <f>((0 + 'BRAWLERS OFICIAL'!S3)-'BRAWLERS OFICIAL'!S3)/($BN3/5)</f>
        <v>0</v>
      </c>
      <c r="T3" s="79">
        <f>((0 + 'BRAWLERS OFICIAL'!T3)-'BRAWLERS OFICIAL'!T3)/($BN3/5)</f>
        <v>0</v>
      </c>
      <c r="U3" s="79">
        <f>(0 + 'BRAWLERS OFICIAL'!U3)-'BRAWLERS OFICIAL'!U3</f>
        <v>0</v>
      </c>
      <c r="V3" s="121">
        <f>(( 0 + 'BRAWLERS OFICIAL'!V3 + AN3 + AV3/3.5 )-'BRAWLERS OFICIAL'!V3)/($BN3/5)</f>
        <v>0</v>
      </c>
      <c r="W3" s="80">
        <f>((0 + 'BRAWLERS OFICIAL'!W3)-'BRAWLERS OFICIAL'!W3)/($BN3/5)</f>
        <v>0</v>
      </c>
      <c r="X3" s="80">
        <f>(((5 + 6 + 5)/3)-'BRAWLERS OFICIAL'!X3)</f>
        <v>1.9999999999999996</v>
      </c>
      <c r="Y3" s="80">
        <f>((0 + 'BRAWLERS OFICIAL'!Y3)-'BRAWLERS OFICIAL'!Y3)/($BN3/5)</f>
        <v>0</v>
      </c>
      <c r="Z3" s="80">
        <f>((0 + 'BRAWLERS OFICIAL'!Z3)-'BRAWLERS OFICIAL'!Z3)/($BN3/5)</f>
        <v>0</v>
      </c>
      <c r="AA3" s="80">
        <f>(((0)/4 + 'BRAWLERS OFICIAL'!AA3)-'BRAWLERS OFICIAL'!AA3)/($BN3/5)</f>
        <v>0</v>
      </c>
      <c r="AB3" s="80">
        <f>((0 + 'BRAWLERS OFICIAL'!AB3)-'BRAWLERS OFICIAL'!AB3)/($BN3/5)</f>
        <v>0</v>
      </c>
      <c r="AC3" s="80">
        <f>((0 + 'BRAWLERS OFICIAL'!AC3)-'BRAWLERS OFICIAL'!AC3)/($BN3/5)</f>
        <v>0</v>
      </c>
      <c r="AD3" s="80">
        <f>((0 + 'BRAWLERS OFICIAL'!AD3)-'BRAWLERS OFICIAL'!AD3)/($BN3/5)</f>
        <v>0</v>
      </c>
      <c r="AE3" s="80">
        <f>((0 + 'BRAWLERS OFICIAL'!AE3)-'BRAWLERS OFICIAL'!AE3)</f>
        <v>0</v>
      </c>
      <c r="AF3" s="80">
        <f>((0 + 'BRAWLERS OFICIAL'!AF3)-'BRAWLERS OFICIAL'!AF3)</f>
        <v>0</v>
      </c>
      <c r="AG3" s="80">
        <f>((0 + 'BRAWLERS OFICIAL'!AG3)-'BRAWLERS OFICIAL'!AG3)</f>
        <v>0</v>
      </c>
      <c r="AH3" s="80">
        <f>((0 + 'BRAWLERS OFICIAL'!AH3)-'BRAWLERS OFICIAL'!AH3)/($BN3/5)</f>
        <v>0</v>
      </c>
      <c r="AI3" s="80">
        <f>((7 + 'BRAWLERS OFICIAL'!AI3)-'BRAWLERS OFICIAL'!AI3)/($BN3/5)</f>
        <v>2.6923076923076921</v>
      </c>
      <c r="AJ3" s="80">
        <f>(((BH3/5+1)*AI3 + 'BRAWLERS OFICIAL'!AJ3)-'BRAWLERS OFICIAL'!AJ3)/($BN3/5)</f>
        <v>1.0355029585798816</v>
      </c>
      <c r="AK3" s="80">
        <f>IF( 0 = (1-1), (1-1), ((0 + 'BRAWLERS OFICIAL'!AK3)/1.5)-'BRAWLERS OFICIAL'!AK3 )</f>
        <v>0</v>
      </c>
      <c r="AL3" s="80">
        <f>IF( 0 = (1-1), (1-1), ( 0 ) )</f>
        <v>0</v>
      </c>
      <c r="AM3" s="80">
        <f>((0 + 'BRAWLERS OFICIAL'!AM3)-'BRAWLERS OFICIAL'!AM3)/($BN3/5)</f>
        <v>0</v>
      </c>
      <c r="AN3" s="80">
        <f>((0/1000 + 'BRAWLERS OFICIAL'!AN3)-'BRAWLERS OFICIAL'!AN3)</f>
        <v>0</v>
      </c>
      <c r="AO3" s="80">
        <f>((0 + 'BRAWLERS OFICIAL'!AO3)-'BRAWLERS OFICIAL'!AO3)</f>
        <v>0</v>
      </c>
      <c r="AP3" s="80">
        <f>IF( 0 = (1-1), (1-1), ((0 + 'BRAWLERS OFICIAL'!AP3)/1.5) )</f>
        <v>0</v>
      </c>
      <c r="AQ3" s="80">
        <f>IF( 0 = (1-1), (1-1), ((0 + 'BRAWLERS OFICIAL'!AQ3)/1.5) )</f>
        <v>0</v>
      </c>
      <c r="AR3" s="80">
        <f>IF( 0 = (1-1), (1-1), ((0 + 'BRAWLERS OFICIAL'!AR3)/2) )</f>
        <v>0</v>
      </c>
      <c r="AS3" s="80">
        <f>((0 + 'BRAWLERS OFICIAL'!AS3)-'BRAWLERS OFICIAL'!AS3)/($BN3/5)</f>
        <v>0</v>
      </c>
      <c r="AT3" s="80">
        <f>(((0)/4 + 'BRAWLERS OFICIAL'!AT3)-'BRAWLERS OFICIAL'!AT3)</f>
        <v>0</v>
      </c>
      <c r="AU3" s="80">
        <v>0</v>
      </c>
      <c r="AV3" s="79">
        <f>((( 0 )/3 + 'BRAWLERS OFICIAL'!AV3)-'BRAWLERS OFICIAL'!AV3)</f>
        <v>0</v>
      </c>
      <c r="AW3" s="79">
        <f>((( 0 )/2 + 'BRAWLERS OFICIAL'!AW3)-'BRAWLERS OFICIAL'!AW3)/($BN3/5)</f>
        <v>0</v>
      </c>
      <c r="AX3" s="79">
        <f>((( 0 )/2 + 'BRAWLERS OFICIAL'!AX3)-'BRAWLERS OFICIAL'!AX3)</f>
        <v>0</v>
      </c>
      <c r="AY3" s="79">
        <f>((( 0 )/3 + 'BRAWLERS OFICIAL'!AY3)-'BRAWLERS OFICIAL'!AY3)</f>
        <v>0</v>
      </c>
      <c r="AZ3" s="79">
        <f>((( 0 )/2 + 'BRAWLERS OFICIAL'!AZ3)-'BRAWLERS OFICIAL'!AZ3)/($BN3/5)</f>
        <v>0</v>
      </c>
      <c r="BA3" s="79">
        <f>((( 0 )/3 + 'BRAWLERS OFICIAL'!BA3)-'BRAWLERS OFICIAL'!BA3)</f>
        <v>0</v>
      </c>
      <c r="BB3" s="79">
        <f>((( 0 )/3 + 'BRAWLERS OFICIAL'!BB3)-'BRAWLERS OFICIAL'!BB3)</f>
        <v>0</v>
      </c>
      <c r="BC3" s="79">
        <f>((0 + 'BRAWLERS OFICIAL'!BC3)-'BRAWLERS OFICIAL'!BC3)/($BN3/5)</f>
        <v>0</v>
      </c>
      <c r="BD3" s="79">
        <f>((0 + 'BRAWLERS OFICIAL'!BD3)-'BRAWLERS OFICIAL'!BD3)/($BN3/5)</f>
        <v>0</v>
      </c>
      <c r="BE3" s="79">
        <f>((( 0 )/2 + 'BRAWLERS OFICIAL'!BE3)-'BRAWLERS OFICIAL'!BE3)</f>
        <v>0</v>
      </c>
      <c r="BF3" s="79">
        <f>((0 + 'BRAWLERS OFICIAL'!BF3)-'BRAWLERS OFICIAL'!BF3)/($BN3/5)</f>
        <v>0</v>
      </c>
      <c r="BG3" s="79">
        <f>((( 0 )/2 + 'BRAWLERS OFICIAL'!BG3)-'BRAWLERS OFICIAL'!BG3)</f>
        <v>0</v>
      </c>
      <c r="BH3" s="79">
        <f>((( 0 )/3 + 'BRAWLERS OFICIAL'!BH3)-'BRAWLERS OFICIAL'!BH3)</f>
        <v>0</v>
      </c>
      <c r="BI3" s="79">
        <f>((( 0 )/2 + 'BRAWLERS OFICIAL'!BI3)-'BRAWLERS OFICIAL'!BI3)</f>
        <v>0</v>
      </c>
      <c r="BJ3" s="79">
        <f>((0 + 'BRAWLERS OFICIAL'!BJ3)-'BRAWLERS OFICIAL'!BJ3)/($BN3/5)</f>
        <v>0</v>
      </c>
      <c r="BK3" s="79">
        <f>((0 + 'BRAWLERS OFICIAL'!BK3)-'BRAWLERS OFICIAL'!BK3)/($BN3/5)</f>
        <v>0</v>
      </c>
      <c r="BL3" s="79">
        <f>((0 + 'BRAWLERS OFICIAL'!BL3)-'BRAWLERS OFICIAL'!BL3)/($BN3/5)</f>
        <v>0</v>
      </c>
      <c r="BN3" s="79">
        <v>13</v>
      </c>
    </row>
    <row r="4" spans="1:66">
      <c r="B4" s="77" t="s">
        <v>398</v>
      </c>
      <c r="C4" s="67" t="s">
        <v>10</v>
      </c>
      <c r="D4" s="79">
        <f>((0 + 'BRAWLERS OFICIAL'!D4)-'BRAWLERS OFICIAL'!D4)/($BN4/5)</f>
        <v>0</v>
      </c>
      <c r="E4" s="79">
        <f>((0 + 'BRAWLERS OFICIAL'!E4)-'BRAWLERS OFICIAL'!E4)/($BN4/5)</f>
        <v>0</v>
      </c>
      <c r="F4" s="79">
        <f>((0 + 'BRAWLERS OFICIAL'!F4)-'BRAWLERS OFICIAL'!F4)/($BN4/5)</f>
        <v>0</v>
      </c>
      <c r="G4" s="79">
        <f>((0 + 'BRAWLERS OFICIAL'!G4)-'BRAWLERS OFICIAL'!G4)/($BN4/5)</f>
        <v>0</v>
      </c>
      <c r="H4" s="79">
        <f>((0.2 + 'BRAWLERS OFICIAL'!H4)-'BRAWLERS OFICIAL'!H4)/($BN4/5)</f>
        <v>5.5555555555555539E-2</v>
      </c>
      <c r="I4" s="79">
        <f>((0.2 + 'BRAWLERS OFICIAL'!I4)-'BRAWLERS OFICIAL'!I4)/($BN4/5)</f>
        <v>5.5555555555555539E-2</v>
      </c>
      <c r="J4" s="79">
        <f>((0 + 'BRAWLERS OFICIAL'!J4)-'BRAWLERS OFICIAL'!J4)/($BN4/5)</f>
        <v>0</v>
      </c>
      <c r="K4" s="79">
        <f>((0 + 'BRAWLERS OFICIAL'!K4)-'BRAWLERS OFICIAL'!K4)/($BN4/5)</f>
        <v>0</v>
      </c>
      <c r="L4" s="79">
        <f>((0 + 'BRAWLERS OFICIAL'!L4)-'BRAWLERS OFICIAL'!L4)/($BN4/5)</f>
        <v>0</v>
      </c>
      <c r="M4" s="79">
        <f>((0 + 'BRAWLERS OFICIAL'!M4)-'BRAWLERS OFICIAL'!M4)/($BN4/5)</f>
        <v>0</v>
      </c>
      <c r="N4" s="79">
        <f>((0 + 'BRAWLERS OFICIAL'!N4)-'BRAWLERS OFICIAL'!N4)/($BN4/5)</f>
        <v>0</v>
      </c>
      <c r="O4" s="79">
        <f>(( 0 + 'BRAWLERS OFICIAL'!O4)-'BRAWLERS OFICIAL'!O4)/($BN4/5)</f>
        <v>0</v>
      </c>
      <c r="P4" s="79">
        <f>((0 + 'BRAWLERS OFICIAL'!P4)-'BRAWLERS OFICIAL'!P4)/($BN4/5)</f>
        <v>0</v>
      </c>
      <c r="Q4" s="79">
        <f>((0 + 'BRAWLERS OFICIAL'!Q4)-'BRAWLERS OFICIAL'!Q4)/($BN4/5)</f>
        <v>0</v>
      </c>
      <c r="R4" s="79">
        <f>((0 + 'BRAWLERS OFICIAL'!R4)-'BRAWLERS OFICIAL'!R4)/($BN4/5)</f>
        <v>0</v>
      </c>
      <c r="S4" s="79">
        <f>((0 + 'BRAWLERS OFICIAL'!S4)-'BRAWLERS OFICIAL'!S4)/($BN4/5)</f>
        <v>0</v>
      </c>
      <c r="T4" s="79">
        <f>((0 + 'BRAWLERS OFICIAL'!T4)-'BRAWLERS OFICIAL'!T4)/($BN4/5)</f>
        <v>0</v>
      </c>
      <c r="U4" s="79">
        <f>(0 + 'BRAWLERS OFICIAL'!U4)-'BRAWLERS OFICIAL'!U4</f>
        <v>0</v>
      </c>
      <c r="V4" s="121">
        <f>(( 660/1400/2 + 'BRAWLERS OFICIAL'!V4 + AN4 + AV4/3.5 )-'BRAWLERS OFICIAL'!V4)/($BN4/5)</f>
        <v>6.5476190476190493E-2</v>
      </c>
      <c r="W4" s="80">
        <f>((0 + 'BRAWLERS OFICIAL'!W4)-'BRAWLERS OFICIAL'!W4)/($BN4/5)</f>
        <v>0</v>
      </c>
      <c r="X4" s="80">
        <f>(((6.5 + 7 + 10)/3)-'BRAWLERS OFICIAL'!X4)</f>
        <v>7.833333333333333</v>
      </c>
      <c r="Y4" s="80">
        <f>((0 + 'BRAWLERS OFICIAL'!Y4)-'BRAWLERS OFICIAL'!Y4)/($BN4/5)</f>
        <v>0</v>
      </c>
      <c r="Z4" s="80">
        <f>((0 + 'BRAWLERS OFICIAL'!Z4)-'BRAWLERS OFICIAL'!Z4)/($BN4/5)</f>
        <v>0</v>
      </c>
      <c r="AA4" s="80">
        <f>(((0)/4 + 'BRAWLERS OFICIAL'!AA4)-'BRAWLERS OFICIAL'!AA4)/($BN4/5)</f>
        <v>0</v>
      </c>
      <c r="AB4" s="80">
        <f>((0 + 'BRAWLERS OFICIAL'!AB4)-'BRAWLERS OFICIAL'!AB4)/($BN4/5)</f>
        <v>0</v>
      </c>
      <c r="AC4" s="80">
        <f>((0 + 'BRAWLERS OFICIAL'!AC4)-'BRAWLERS OFICIAL'!AC4)/($BN4/5)</f>
        <v>0</v>
      </c>
      <c r="AD4" s="80">
        <f>((0 + 'BRAWLERS OFICIAL'!AD4)-'BRAWLERS OFICIAL'!AD4)/($BN4/5)</f>
        <v>0</v>
      </c>
      <c r="AE4" s="80">
        <f>((0 + 'BRAWLERS OFICIAL'!AE4)-'BRAWLERS OFICIAL'!AE4)</f>
        <v>0</v>
      </c>
      <c r="AF4" s="80">
        <f>((0 + 'BRAWLERS OFICIAL'!AF4)-'BRAWLERS OFICIAL'!AF4)</f>
        <v>0</v>
      </c>
      <c r="AG4" s="80">
        <f>((0 + 'BRAWLERS OFICIAL'!AG4)-'BRAWLERS OFICIAL'!AG4)</f>
        <v>0</v>
      </c>
      <c r="AH4" s="80">
        <f>((0 + 'BRAWLERS OFICIAL'!AH4)-'BRAWLERS OFICIAL'!AH4)/($BN4/5)</f>
        <v>0</v>
      </c>
      <c r="AI4" s="80">
        <f>((1 + 'BRAWLERS OFICIAL'!AI4)-'BRAWLERS OFICIAL'!AI4)/($BN4/5)</f>
        <v>0.27777777777777779</v>
      </c>
      <c r="AJ4" s="80">
        <f>(((BH4/5+1)*AI4 + 'BRAWLERS OFICIAL'!AJ4)-'BRAWLERS OFICIAL'!AJ4)/($BN4/5)</f>
        <v>7.716049382716049E-2</v>
      </c>
      <c r="AK4" s="80">
        <f>IF( 0 = (1-1), (1-1), ((0 + 'BRAWLERS OFICIAL'!AK4)/1.5)-'BRAWLERS OFICIAL'!AK4 )</f>
        <v>0</v>
      </c>
      <c r="AL4" s="80">
        <f t="shared" ref="AL4:AL20" si="0">IF( 0 = (1-1), (1-1), ( 0 ) )</f>
        <v>0</v>
      </c>
      <c r="AM4" s="80">
        <f>((0 + 'BRAWLERS OFICIAL'!AM4)-'BRAWLERS OFICIAL'!AM4)/($BN4/5)</f>
        <v>0</v>
      </c>
      <c r="AN4" s="80">
        <f>((0/1000 + 'BRAWLERS OFICIAL'!AN4)-'BRAWLERS OFICIAL'!AN4)</f>
        <v>0</v>
      </c>
      <c r="AO4" s="80">
        <f>((0 + 'BRAWLERS OFICIAL'!AO4)-'BRAWLERS OFICIAL'!AO4)</f>
        <v>0</v>
      </c>
      <c r="AP4" s="80">
        <f>IF( 0 = (1-1), (1-1), ((0 + 'BRAWLERS OFICIAL'!AP4)/1.5) )</f>
        <v>0</v>
      </c>
      <c r="AQ4" s="80">
        <f>IF( 0 = (1-1), (1-1), ((0 + 'BRAWLERS OFICIAL'!AQ4)/1.5) )</f>
        <v>0</v>
      </c>
      <c r="AR4" s="80">
        <f>IF( 0 = (1-1), (1-1), ((0 + 'BRAWLERS OFICIAL'!AR4)/2) )</f>
        <v>0</v>
      </c>
      <c r="AS4" s="80">
        <f>((0 + 'BRAWLERS OFICIAL'!AS4)-'BRAWLERS OFICIAL'!AS4)/($BN4/5)</f>
        <v>0</v>
      </c>
      <c r="AT4" s="80">
        <f>(((0)/4 + 'BRAWLERS OFICIAL'!AT4)-'BRAWLERS OFICIAL'!AT4)</f>
        <v>0</v>
      </c>
      <c r="AU4" s="80">
        <v>0</v>
      </c>
      <c r="AV4" s="79">
        <f>((( 0 )/3 + 'BRAWLERS OFICIAL'!AV4)-'BRAWLERS OFICIAL'!AV4)</f>
        <v>0</v>
      </c>
      <c r="AW4" s="79">
        <f>((( 0 )/2 + 'BRAWLERS OFICIAL'!AW4)-'BRAWLERS OFICIAL'!AW4)/($BN4/5)</f>
        <v>0</v>
      </c>
      <c r="AX4" s="79">
        <f>((( 0 )/2 + 'BRAWLERS OFICIAL'!AX4)-'BRAWLERS OFICIAL'!AX4)</f>
        <v>0</v>
      </c>
      <c r="AY4" s="79">
        <f>((( 0 )/3 + 'BRAWLERS OFICIAL'!AY4)-'BRAWLERS OFICIAL'!AY4)</f>
        <v>0</v>
      </c>
      <c r="AZ4" s="79">
        <f>((( 0 )/2 + 'BRAWLERS OFICIAL'!AZ4)-'BRAWLERS OFICIAL'!AZ4)/($BN4/5)</f>
        <v>0</v>
      </c>
      <c r="BA4" s="79">
        <f>((( 0 )/3 + 'BRAWLERS OFICIAL'!BA4)-'BRAWLERS OFICIAL'!BA4)</f>
        <v>0</v>
      </c>
      <c r="BB4" s="79">
        <f>((( 0 )/3 + 'BRAWLERS OFICIAL'!BB4)-'BRAWLERS OFICIAL'!BB4)</f>
        <v>0</v>
      </c>
      <c r="BC4" s="79">
        <f>((0 + 'BRAWLERS OFICIAL'!BC4)-'BRAWLERS OFICIAL'!BC4)/($BN4/5)</f>
        <v>0</v>
      </c>
      <c r="BD4" s="79">
        <f>((0 + 'BRAWLERS OFICIAL'!BD4)-'BRAWLERS OFICIAL'!BD4)/($BN4/5)</f>
        <v>0</v>
      </c>
      <c r="BE4" s="79">
        <f>((( 0 )/2 + 'BRAWLERS OFICIAL'!BE4)-'BRAWLERS OFICIAL'!BE4)</f>
        <v>0</v>
      </c>
      <c r="BF4" s="79">
        <f>((0 + 'BRAWLERS OFICIAL'!BF4)-'BRAWLERS OFICIAL'!BF4)/($BN4/5)</f>
        <v>0</v>
      </c>
      <c r="BG4" s="79">
        <f>((( 0 )/2 + 'BRAWLERS OFICIAL'!BG4)-'BRAWLERS OFICIAL'!BG4)</f>
        <v>0</v>
      </c>
      <c r="BH4" s="79">
        <f>((( 0 )/3 + 'BRAWLERS OFICIAL'!BH4)-'BRAWLERS OFICIAL'!BH4)</f>
        <v>0</v>
      </c>
      <c r="BI4" s="79">
        <f>((( 0 )/2 + 'BRAWLERS OFICIAL'!BI4)-'BRAWLERS OFICIAL'!BI4)</f>
        <v>0</v>
      </c>
      <c r="BJ4" s="79">
        <f>((0 + 'BRAWLERS OFICIAL'!BJ4)-'BRAWLERS OFICIAL'!BJ4)/($BN4/5)</f>
        <v>0</v>
      </c>
      <c r="BK4" s="79">
        <f>((0 + 'BRAWLERS OFICIAL'!BK4)-'BRAWLERS OFICIAL'!BK4)/($BN4/5)</f>
        <v>0</v>
      </c>
      <c r="BL4" s="79">
        <f>((0 + 'BRAWLERS OFICIAL'!BL4)-'BRAWLERS OFICIAL'!BL4)/($BN4/5)</f>
        <v>0</v>
      </c>
      <c r="BN4" s="79">
        <v>18</v>
      </c>
    </row>
    <row r="5" spans="1:66">
      <c r="B5" s="77" t="s">
        <v>399</v>
      </c>
      <c r="C5" s="81" t="s">
        <v>88</v>
      </c>
      <c r="D5" s="79">
        <f>((0 + 'BRAWLERS OFICIAL'!D5)-'BRAWLERS OFICIAL'!D5)/($BN5/5)</f>
        <v>0</v>
      </c>
      <c r="E5" s="79">
        <f>((0 + 'BRAWLERS OFICIAL'!E5)-'BRAWLERS OFICIAL'!E5)/($BN5/5)</f>
        <v>0</v>
      </c>
      <c r="F5" s="79">
        <f>((0 + 'BRAWLERS OFICIAL'!F5)-'BRAWLERS OFICIAL'!F5)/($BN5/5)</f>
        <v>0</v>
      </c>
      <c r="G5" s="79">
        <f>((0 + 'BRAWLERS OFICIAL'!G5)-'BRAWLERS OFICIAL'!G5)/($BN5/5)</f>
        <v>0</v>
      </c>
      <c r="H5" s="79">
        <f>((9.5 + 'BRAWLERS OFICIAL'!H5)-'BRAWLERS OFICIAL'!H5)/($BN5/5)</f>
        <v>2.1590909090909087</v>
      </c>
      <c r="I5" s="79">
        <f>((9.5 + 'BRAWLERS OFICIAL'!I5)-'BRAWLERS OFICIAL'!I5)/($BN5/5)</f>
        <v>2.1590909090909087</v>
      </c>
      <c r="J5" s="79">
        <f>((5 + 'BRAWLERS OFICIAL'!J5)-'BRAWLERS OFICIAL'!J5)/($BN5/5)</f>
        <v>1.1363636363636362</v>
      </c>
      <c r="K5" s="79">
        <f>((2 + 'BRAWLERS OFICIAL'!K5)-'BRAWLERS OFICIAL'!K5)/($BN5/5)</f>
        <v>0.45454545454545453</v>
      </c>
      <c r="L5" s="79">
        <f>((1 + 'BRAWLERS OFICIAL'!L5)-'BRAWLERS OFICIAL'!L5)/($BN5/5)</f>
        <v>0.22727272727272727</v>
      </c>
      <c r="M5" s="79">
        <f>((0 + 'BRAWLERS OFICIAL'!M5)-'BRAWLERS OFICIAL'!M5)/($BN5/5)</f>
        <v>0</v>
      </c>
      <c r="N5" s="79">
        <f>((0 + 'BRAWLERS OFICIAL'!N5)-'BRAWLERS OFICIAL'!N5)/($BN5/5)</f>
        <v>0</v>
      </c>
      <c r="O5" s="79">
        <f>((0 + 'BRAWLERS OFICIAL'!O5)-'BRAWLERS OFICIAL'!O5)/($BN5/5)</f>
        <v>0</v>
      </c>
      <c r="P5" s="79">
        <f>((0 + 'BRAWLERS OFICIAL'!P5)-'BRAWLERS OFICIAL'!P5)/($BN5/5)</f>
        <v>0</v>
      </c>
      <c r="Q5" s="79">
        <f>((0 + 'BRAWLERS OFICIAL'!Q5)-'BRAWLERS OFICIAL'!Q5)/($BN5/5)</f>
        <v>0</v>
      </c>
      <c r="R5" s="79">
        <f>((0 + 'BRAWLERS OFICIAL'!R5)-'BRAWLERS OFICIAL'!R5)/($BN5/5)</f>
        <v>0</v>
      </c>
      <c r="S5" s="79">
        <f>((0 + 'BRAWLERS OFICIAL'!S5)-'BRAWLERS OFICIAL'!S5)/($BN5/5)</f>
        <v>0</v>
      </c>
      <c r="T5" s="79">
        <f>((0 + 'BRAWLERS OFICIAL'!T5)-'BRAWLERS OFICIAL'!T5)/($BN5/5)</f>
        <v>0</v>
      </c>
      <c r="U5" s="79">
        <f>(0 + 'BRAWLERS OFICIAL'!U5)-'BRAWLERS OFICIAL'!U5</f>
        <v>0</v>
      </c>
      <c r="V5" s="121">
        <f>(( 0 + 'BRAWLERS OFICIAL'!V5 + AN5 + AV5/3.5 )-'BRAWLERS OFICIAL'!V5)/($BN5/5)</f>
        <v>0</v>
      </c>
      <c r="W5" s="80">
        <f>((0 + 'BRAWLERS OFICIAL'!W5)-'BRAWLERS OFICIAL'!W5)/($BN5/5)</f>
        <v>0</v>
      </c>
      <c r="X5" s="80">
        <f>(((0)/3 + 'BRAWLERS OFICIAL'!X5)-'BRAWLERS OFICIAL'!X5)</f>
        <v>0</v>
      </c>
      <c r="Y5" s="80">
        <f>((8 + 'BRAWLERS OFICIAL'!Y5)-'BRAWLERS OFICIAL'!Y5)/($BN5/5)</f>
        <v>1.8181818181818181</v>
      </c>
      <c r="Z5" s="80">
        <f>((0 + 'BRAWLERS OFICIAL'!Z5)-'BRAWLERS OFICIAL'!Z5)/($BN5/5)</f>
        <v>0</v>
      </c>
      <c r="AA5" s="80">
        <f>(((0)/4 + 'BRAWLERS OFICIAL'!AA5)-'BRAWLERS OFICIAL'!AA5)/($BN5/5)</f>
        <v>0</v>
      </c>
      <c r="AB5" s="80">
        <f>((0 + 'BRAWLERS OFICIAL'!AB5)-'BRAWLERS OFICIAL'!AB5)/($BN5/5)</f>
        <v>0</v>
      </c>
      <c r="AC5" s="80">
        <f>((0 + 'BRAWLERS OFICIAL'!AC5)-'BRAWLERS OFICIAL'!AC5)/($BN5/5)</f>
        <v>0</v>
      </c>
      <c r="AD5" s="80">
        <f>((0 + 'BRAWLERS OFICIAL'!AD5)-'BRAWLERS OFICIAL'!AD5)/($BN5/5)</f>
        <v>0</v>
      </c>
      <c r="AE5" s="80">
        <f>((0 + 'BRAWLERS OFICIAL'!AE5)-'BRAWLERS OFICIAL'!AE5)</f>
        <v>0</v>
      </c>
      <c r="AF5" s="80">
        <f>((0 + 'BRAWLERS OFICIAL'!AF5)-'BRAWLERS OFICIAL'!AF5)</f>
        <v>0</v>
      </c>
      <c r="AG5" s="80">
        <f>((0 + 'BRAWLERS OFICIAL'!AG5)-'BRAWLERS OFICIAL'!AG5)</f>
        <v>0</v>
      </c>
      <c r="AH5" s="80">
        <f>((0 + 'BRAWLERS OFICIAL'!AH5)-'BRAWLERS OFICIAL'!AH5)/($BN5/5)</f>
        <v>0</v>
      </c>
      <c r="AI5" s="80">
        <f>((0 + 'BRAWLERS OFICIAL'!AI5)-'BRAWLERS OFICIAL'!AI5)/($BN5/5)</f>
        <v>0</v>
      </c>
      <c r="AJ5" s="80">
        <f>(((BH5/5+1)*AI5 + 'BRAWLERS OFICIAL'!AJ5)-'BRAWLERS OFICIAL'!AJ5)/($BN5/5)</f>
        <v>0</v>
      </c>
      <c r="AK5" s="80">
        <f>IF( 0 = (1-1), (1-1), ((0 + 'BRAWLERS OFICIAL'!AK5)/1.5)-'BRAWLERS OFICIAL'!AK5 )</f>
        <v>0</v>
      </c>
      <c r="AL5" s="80">
        <f t="shared" si="0"/>
        <v>0</v>
      </c>
      <c r="AM5" s="80">
        <f>((0 + 'BRAWLERS OFICIAL'!AM5)-'BRAWLERS OFICIAL'!AM5)/($BN5/5)</f>
        <v>0</v>
      </c>
      <c r="AN5" s="80">
        <f>((0/1000 + 'BRAWLERS OFICIAL'!AN5)-'BRAWLERS OFICIAL'!AN5)</f>
        <v>0</v>
      </c>
      <c r="AO5" s="80">
        <f>((0 + 'BRAWLERS OFICIAL'!AO5)-'BRAWLERS OFICIAL'!AO5)</f>
        <v>0</v>
      </c>
      <c r="AP5" s="80">
        <f>IF( 0 = (1-1), (1-1), ((0 + 'BRAWLERS OFICIAL'!AP5)/1.5) )</f>
        <v>0</v>
      </c>
      <c r="AQ5" s="80">
        <f>IF( 0 = (1-1), (1-1), ((0 + 'BRAWLERS OFICIAL'!AQ5)/1.5) )</f>
        <v>0</v>
      </c>
      <c r="AR5" s="80">
        <f>IF( 0 = (1-1), (1-1), ((0 + 'BRAWLERS OFICIAL'!AR5)/2) )</f>
        <v>0</v>
      </c>
      <c r="AS5" s="80">
        <f>((0 + 'BRAWLERS OFICIAL'!AS5)-'BRAWLERS OFICIAL'!AS5)/($BN5/5)</f>
        <v>0</v>
      </c>
      <c r="AT5" s="80">
        <f>(((0)/4 + 'BRAWLERS OFICIAL'!AT5)-'BRAWLERS OFICIAL'!AT5)</f>
        <v>0</v>
      </c>
      <c r="AU5" s="80">
        <v>0</v>
      </c>
      <c r="AV5" s="79">
        <f>((( 0 )/3 + 'BRAWLERS OFICIAL'!AV5)-'BRAWLERS OFICIAL'!AV5)</f>
        <v>0</v>
      </c>
      <c r="AW5" s="79">
        <f>((( 0 )/2 + 'BRAWLERS OFICIAL'!AW5)-'BRAWLERS OFICIAL'!AW5)/($BN5/5)</f>
        <v>0</v>
      </c>
      <c r="AX5" s="79">
        <f>((( 0 )/2 + 'BRAWLERS OFICIAL'!AX5)-'BRAWLERS OFICIAL'!AX5)</f>
        <v>0</v>
      </c>
      <c r="AY5" s="79">
        <f>((( 0 )/3 + 'BRAWLERS OFICIAL'!AY5)-'BRAWLERS OFICIAL'!AY5)</f>
        <v>0</v>
      </c>
      <c r="AZ5" s="79">
        <f>((( 0 )/2 + 'BRAWLERS OFICIAL'!AZ5)-'BRAWLERS OFICIAL'!AZ5)/($BN5/5)</f>
        <v>0</v>
      </c>
      <c r="BA5" s="79">
        <f>((( 0 )/3 + 'BRAWLERS OFICIAL'!BA5)-'BRAWLERS OFICIAL'!BA5)</f>
        <v>0</v>
      </c>
      <c r="BB5" s="79">
        <f>((( 0 )/3 + 'BRAWLERS OFICIAL'!BB5)-'BRAWLERS OFICIAL'!BB5)</f>
        <v>0</v>
      </c>
      <c r="BC5" s="79">
        <f>((0 + 'BRAWLERS OFICIAL'!BC5)-'BRAWLERS OFICIAL'!BC5)/($BN5/5)</f>
        <v>0</v>
      </c>
      <c r="BD5" s="79">
        <f>((0 + 'BRAWLERS OFICIAL'!BD5)-'BRAWLERS OFICIAL'!BD5)/($BN5/5)</f>
        <v>0</v>
      </c>
      <c r="BE5" s="79">
        <f>((( 0 )/2 + 'BRAWLERS OFICIAL'!BE5)-'BRAWLERS OFICIAL'!BE5)</f>
        <v>0</v>
      </c>
      <c r="BF5" s="79">
        <f>((0 + 'BRAWLERS OFICIAL'!BF5)-'BRAWLERS OFICIAL'!BF5)/($BN5/5)</f>
        <v>0</v>
      </c>
      <c r="BG5" s="79">
        <f>((( 0 )/2 + 'BRAWLERS OFICIAL'!BG5)-'BRAWLERS OFICIAL'!BG5)</f>
        <v>0</v>
      </c>
      <c r="BH5" s="79">
        <f>((( 0 )/3 + 'BRAWLERS OFICIAL'!BH5)-'BRAWLERS OFICIAL'!BH5)</f>
        <v>0</v>
      </c>
      <c r="BI5" s="79">
        <f>((( 0 )/2 + 'BRAWLERS OFICIAL'!BI5)-'BRAWLERS OFICIAL'!BI5)</f>
        <v>0</v>
      </c>
      <c r="BJ5" s="79">
        <f>((0 + 'BRAWLERS OFICIAL'!BJ5)-'BRAWLERS OFICIAL'!BJ5)/($BN5/5)</f>
        <v>0</v>
      </c>
      <c r="BK5" s="79">
        <f>((0 + 'BRAWLERS OFICIAL'!BK5)-'BRAWLERS OFICIAL'!BK5)/($BN5/5)</f>
        <v>0</v>
      </c>
      <c r="BL5" s="79">
        <f>((0 + 'BRAWLERS OFICIAL'!BL5)-'BRAWLERS OFICIAL'!BL5)/($BN5/5)</f>
        <v>0</v>
      </c>
      <c r="BN5" s="79">
        <v>22</v>
      </c>
    </row>
    <row r="6" spans="1:66">
      <c r="B6" s="77" t="s">
        <v>400</v>
      </c>
      <c r="C6" s="67" t="s">
        <v>96</v>
      </c>
      <c r="D6" s="79">
        <f>((0 + 'BRAWLERS OFICIAL'!D6)-'BRAWLERS OFICIAL'!D6)/($BN6/5)</f>
        <v>0</v>
      </c>
      <c r="E6" s="79">
        <f>((0 + 'BRAWLERS OFICIAL'!E6)-'BRAWLERS OFICIAL'!E6)/($BN6/5)</f>
        <v>0</v>
      </c>
      <c r="F6" s="79">
        <f>((0 + 'BRAWLERS OFICIAL'!F6)-'BRAWLERS OFICIAL'!F6)/($BN6/5)</f>
        <v>0</v>
      </c>
      <c r="G6" s="79">
        <f>((0 + 'BRAWLERS OFICIAL'!G6)-'BRAWLERS OFICIAL'!G6)/($BN6/5)</f>
        <v>0</v>
      </c>
      <c r="H6" s="79">
        <f>((4 + 'BRAWLERS OFICIAL'!H6)-'BRAWLERS OFICIAL'!H6)/($BN6/5)</f>
        <v>1.1764705882352942</v>
      </c>
      <c r="I6" s="79">
        <f>((4 + 'BRAWLERS OFICIAL'!I6)-'BRAWLERS OFICIAL'!I6)/($BN6/5)</f>
        <v>1.1764705882352942</v>
      </c>
      <c r="J6" s="79">
        <f>((2.5 + 'BRAWLERS OFICIAL'!J6)-'BRAWLERS OFICIAL'!J6)/($BN6/5)</f>
        <v>0.73529411764705888</v>
      </c>
      <c r="K6" s="79">
        <f>((1.5 + 'BRAWLERS OFICIAL'!K6)-'BRAWLERS OFICIAL'!K6)/($BN6/5)</f>
        <v>0.44117647058823528</v>
      </c>
      <c r="L6" s="79">
        <f>((0 + 'BRAWLERS OFICIAL'!L6)-'BRAWLERS OFICIAL'!L6)/($BN6/5)</f>
        <v>0</v>
      </c>
      <c r="M6" s="79">
        <f>((0 + 'BRAWLERS OFICIAL'!M6)-'BRAWLERS OFICIAL'!M6)/($BN6/5)</f>
        <v>0</v>
      </c>
      <c r="N6" s="79">
        <f>((0 + 'BRAWLERS OFICIAL'!N6)-'BRAWLERS OFICIAL'!N6)/($BN6/5)</f>
        <v>0</v>
      </c>
      <c r="O6" s="79">
        <f>((0 + 'BRAWLERS OFICIAL'!O6)-'BRAWLERS OFICIAL'!O6)/($BN6/5)</f>
        <v>0</v>
      </c>
      <c r="P6" s="79">
        <f>((0 + 'BRAWLERS OFICIAL'!P6)-'BRAWLERS OFICIAL'!P6)/($BN6/5)</f>
        <v>0</v>
      </c>
      <c r="Q6" s="79">
        <f>((0 + 'BRAWLERS OFICIAL'!Q6)-'BRAWLERS OFICIAL'!Q6)/($BN6/5)</f>
        <v>0</v>
      </c>
      <c r="R6" s="79">
        <f>((0 + 'BRAWLERS OFICIAL'!R6)-'BRAWLERS OFICIAL'!R6)/($BN6/5)</f>
        <v>0</v>
      </c>
      <c r="S6" s="79">
        <f>((0 + 'BRAWLERS OFICIAL'!S6)-'BRAWLERS OFICIAL'!S6)/($BN6/5)</f>
        <v>0</v>
      </c>
      <c r="T6" s="79">
        <f>((0 + 'BRAWLERS OFICIAL'!T6)-'BRAWLERS OFICIAL'!T6)/($BN6/5)</f>
        <v>0</v>
      </c>
      <c r="U6" s="79">
        <f>(0 + 'BRAWLERS OFICIAL'!U6)-'BRAWLERS OFICIAL'!U6</f>
        <v>0</v>
      </c>
      <c r="V6" s="121">
        <f>(( 0 + 'BRAWLERS OFICIAL'!V6 + AN6 + AV6/3.5 )-'BRAWLERS OFICIAL'!V6)/($BN6/5)</f>
        <v>0</v>
      </c>
      <c r="W6" s="80">
        <f>((0 + 'BRAWLERS OFICIAL'!W6)-'BRAWLERS OFICIAL'!W6)/($BN6/5)</f>
        <v>0</v>
      </c>
      <c r="X6" s="80">
        <f>(((0)/3 + 'BRAWLERS OFICIAL'!X6)-'BRAWLERS OFICIAL'!X6)</f>
        <v>0</v>
      </c>
      <c r="Y6" s="80">
        <f>((3 + 'BRAWLERS OFICIAL'!Y6)-'BRAWLERS OFICIAL'!Y6)/($BN6/5)</f>
        <v>0.88235294117647056</v>
      </c>
      <c r="Z6" s="80">
        <f>((0 + 'BRAWLERS OFICIAL'!Z6)-'BRAWLERS OFICIAL'!Z6)/($BN6/5)</f>
        <v>0</v>
      </c>
      <c r="AA6" s="80">
        <f>(((0)/4 + 'BRAWLERS OFICIAL'!AA6)-'BRAWLERS OFICIAL'!AA6)/($BN6/5)</f>
        <v>0</v>
      </c>
      <c r="AB6" s="80">
        <f>((0 + 'BRAWLERS OFICIAL'!AB6)-'BRAWLERS OFICIAL'!AB6)/($BN6/5)</f>
        <v>0</v>
      </c>
      <c r="AC6" s="80">
        <f>((0 + 'BRAWLERS OFICIAL'!AC6)-'BRAWLERS OFICIAL'!AC6)/($BN6/5)</f>
        <v>0</v>
      </c>
      <c r="AD6" s="80">
        <f>((0 + 'BRAWLERS OFICIAL'!AD6)-'BRAWLERS OFICIAL'!AD6)/($BN6/5)</f>
        <v>0</v>
      </c>
      <c r="AE6" s="80">
        <f>((0 + 'BRAWLERS OFICIAL'!AE6)-'BRAWLERS OFICIAL'!AE6)</f>
        <v>0</v>
      </c>
      <c r="AF6" s="80">
        <f>((0 + 'BRAWLERS OFICIAL'!AF6)-'BRAWLERS OFICIAL'!AF6)</f>
        <v>0</v>
      </c>
      <c r="AG6" s="80">
        <f>((0 + 'BRAWLERS OFICIAL'!AG6)-'BRAWLERS OFICIAL'!AG6)</f>
        <v>0</v>
      </c>
      <c r="AH6" s="80">
        <f>((0 + 'BRAWLERS OFICIAL'!AH6)-'BRAWLERS OFICIAL'!AH6)/($BN6/5)</f>
        <v>0</v>
      </c>
      <c r="AI6" s="80">
        <f>((0 + 'BRAWLERS OFICIAL'!AI6)-'BRAWLERS OFICIAL'!AI6)/($BN6/5)</f>
        <v>0</v>
      </c>
      <c r="AJ6" s="80">
        <f>(((BH6/5+1)*AI6 + 'BRAWLERS OFICIAL'!AJ6)-'BRAWLERS OFICIAL'!AJ6)/($BN6/5)</f>
        <v>0</v>
      </c>
      <c r="AK6" s="80">
        <f>IF( 0 = (1-1), (1-1), ((0 + 'BRAWLERS OFICIAL'!AK6)/1.5)-'BRAWLERS OFICIAL'!AK6 )</f>
        <v>0</v>
      </c>
      <c r="AL6" s="80">
        <f t="shared" si="0"/>
        <v>0</v>
      </c>
      <c r="AM6" s="80">
        <f>((0 + 'BRAWLERS OFICIAL'!AM6)-'BRAWLERS OFICIAL'!AM6)/($BN6/5)</f>
        <v>0</v>
      </c>
      <c r="AN6" s="80">
        <f>((0/1000 + 'BRAWLERS OFICIAL'!AN6)-'BRAWLERS OFICIAL'!AN6)</f>
        <v>0</v>
      </c>
      <c r="AO6" s="80">
        <f>((0 + 'BRAWLERS OFICIAL'!AO6)-'BRAWLERS OFICIAL'!AO6)</f>
        <v>0</v>
      </c>
      <c r="AP6" s="80">
        <f>IF( 0 = (1-1), (1-1), ((0 + 'BRAWLERS OFICIAL'!AP6)/1.5) )</f>
        <v>0</v>
      </c>
      <c r="AQ6" s="80">
        <f>IF( 0 = (1-1), (1-1), ((0 + 'BRAWLERS OFICIAL'!AQ6)/1.5) )</f>
        <v>0</v>
      </c>
      <c r="AR6" s="80">
        <f>IF( 0 = (1-1), (1-1), ((0 + 'BRAWLERS OFICIAL'!AR6)/2) )</f>
        <v>0</v>
      </c>
      <c r="AS6" s="80">
        <f>((0 + 'BRAWLERS OFICIAL'!AS6)-'BRAWLERS OFICIAL'!AS6)/($BN6/5)</f>
        <v>0</v>
      </c>
      <c r="AT6" s="80">
        <f>(((0)/4 + 'BRAWLERS OFICIAL'!AT6)-'BRAWLERS OFICIAL'!AT6)</f>
        <v>0</v>
      </c>
      <c r="AU6" s="80">
        <v>0</v>
      </c>
      <c r="AV6" s="79">
        <f>((( 0 )/3 + 'BRAWLERS OFICIAL'!AV6)-'BRAWLERS OFICIAL'!AV6)</f>
        <v>0</v>
      </c>
      <c r="AW6" s="79">
        <f>((( 0 )/2 + 'BRAWLERS OFICIAL'!AW6)-'BRAWLERS OFICIAL'!AW6)/($BN6/5)</f>
        <v>0</v>
      </c>
      <c r="AX6" s="79">
        <f>((( 0 )/2 + 'BRAWLERS OFICIAL'!AX6)-'BRAWLERS OFICIAL'!AX6)</f>
        <v>0</v>
      </c>
      <c r="AY6" s="79">
        <f>((( 0 )/3 + 'BRAWLERS OFICIAL'!AY6)-'BRAWLERS OFICIAL'!AY6)</f>
        <v>0</v>
      </c>
      <c r="AZ6" s="79">
        <f>((( 0 )/2 + 'BRAWLERS OFICIAL'!AZ6)-'BRAWLERS OFICIAL'!AZ6)/($BN6/5)</f>
        <v>0</v>
      </c>
      <c r="BA6" s="79">
        <f>((( 0 )/3 + 'BRAWLERS OFICIAL'!BA6)-'BRAWLERS OFICIAL'!BA6)</f>
        <v>0</v>
      </c>
      <c r="BB6" s="79">
        <f>((( 0 )/3 + 'BRAWLERS OFICIAL'!BB6)-'BRAWLERS OFICIAL'!BB6)</f>
        <v>0</v>
      </c>
      <c r="BC6" s="79">
        <f>((0 + 'BRAWLERS OFICIAL'!BC6)-'BRAWLERS OFICIAL'!BC6)/($BN6/5)</f>
        <v>0</v>
      </c>
      <c r="BD6" s="79">
        <f>((0 + 'BRAWLERS OFICIAL'!BD6)-'BRAWLERS OFICIAL'!BD6)/($BN6/5)</f>
        <v>0</v>
      </c>
      <c r="BE6" s="79">
        <f>((( 0 )/2 + 'BRAWLERS OFICIAL'!BE6)-'BRAWLERS OFICIAL'!BE6)</f>
        <v>0</v>
      </c>
      <c r="BF6" s="79">
        <f>((4 + 'BRAWLERS OFICIAL'!BF6)-'BRAWLERS OFICIAL'!BF6)/($BN6/5)</f>
        <v>1.1764705882352942</v>
      </c>
      <c r="BG6" s="79">
        <f>((( 0 )/2 + 'BRAWLERS OFICIAL'!BG6)-'BRAWLERS OFICIAL'!BG6)</f>
        <v>0</v>
      </c>
      <c r="BH6" s="79">
        <f>((( 0 )/3 + 'BRAWLERS OFICIAL'!BH6)-'BRAWLERS OFICIAL'!BH6)</f>
        <v>0</v>
      </c>
      <c r="BI6" s="79">
        <f>((( 0 )/2 + 'BRAWLERS OFICIAL'!BI6)-'BRAWLERS OFICIAL'!BI6)</f>
        <v>0</v>
      </c>
      <c r="BJ6" s="79">
        <f>((0 + 'BRAWLERS OFICIAL'!BJ6)-'BRAWLERS OFICIAL'!BJ6)/($BN6/5)</f>
        <v>0</v>
      </c>
      <c r="BK6" s="79">
        <f>((0 + 'BRAWLERS OFICIAL'!BK6)-'BRAWLERS OFICIAL'!BK6)/($BN6/5)</f>
        <v>0</v>
      </c>
      <c r="BL6" s="79">
        <f>((0 + 'BRAWLERS OFICIAL'!BL6)-'BRAWLERS OFICIAL'!BL6)/($BN6/5)</f>
        <v>0</v>
      </c>
      <c r="BN6" s="79">
        <v>17</v>
      </c>
    </row>
    <row r="7" spans="1:66">
      <c r="B7" s="77" t="s">
        <v>401</v>
      </c>
      <c r="C7" s="67" t="s">
        <v>62</v>
      </c>
      <c r="D7" s="79">
        <f>((0 + 'BRAWLERS OFICIAL'!D7)-'BRAWLERS OFICIAL'!D7)/($BN7/5)</f>
        <v>0</v>
      </c>
      <c r="E7" s="79">
        <f>((0 + 'BRAWLERS OFICIAL'!E7)-'BRAWLERS OFICIAL'!E7)/($BN7/5)</f>
        <v>0</v>
      </c>
      <c r="F7" s="79">
        <f>((0 + 'BRAWLERS OFICIAL'!F7)-'BRAWLERS OFICIAL'!F7)/($BN7/5)</f>
        <v>0</v>
      </c>
      <c r="G7" s="79">
        <f>((0 + 'BRAWLERS OFICIAL'!G7)-'BRAWLERS OFICIAL'!G7)/($BN7/5)</f>
        <v>0</v>
      </c>
      <c r="H7" s="79">
        <f>((0 + 'BRAWLERS OFICIAL'!H7)-'BRAWLERS OFICIAL'!H7)/($BN7/5)</f>
        <v>0</v>
      </c>
      <c r="I7" s="79">
        <f>((0 + 'BRAWLERS OFICIAL'!I7)-'BRAWLERS OFICIAL'!I7)/($BN7/5)</f>
        <v>0</v>
      </c>
      <c r="J7" s="79">
        <f>((0 + 'BRAWLERS OFICIAL'!J7)-'BRAWLERS OFICIAL'!J7)/($BN7/5)</f>
        <v>0</v>
      </c>
      <c r="K7" s="79">
        <f>((0 + 'BRAWLERS OFICIAL'!K7)-'BRAWLERS OFICIAL'!K7)/($BN7/5)</f>
        <v>0</v>
      </c>
      <c r="L7" s="79">
        <f>((0 + 'BRAWLERS OFICIAL'!L7)-'BRAWLERS OFICIAL'!L7)/($BN7/5)</f>
        <v>0</v>
      </c>
      <c r="M7" s="79">
        <f>((0 + 'BRAWLERS OFICIAL'!M7)-'BRAWLERS OFICIAL'!M7)/($BN7/5)</f>
        <v>0</v>
      </c>
      <c r="N7" s="79">
        <f>((0 + 'BRAWLERS OFICIAL'!N7)-'BRAWLERS OFICIAL'!N7)/($BN7/5)</f>
        <v>0</v>
      </c>
      <c r="O7" s="79">
        <f>((0 + 'BRAWLERS OFICIAL'!O7)-'BRAWLERS OFICIAL'!O7)/($BN7/5)</f>
        <v>0</v>
      </c>
      <c r="P7" s="79">
        <f>((0 + 'BRAWLERS OFICIAL'!P7)-'BRAWLERS OFICIAL'!P7)/($BN7/5)</f>
        <v>0</v>
      </c>
      <c r="Q7" s="79">
        <f>((0 + 'BRAWLERS OFICIAL'!Q7)-'BRAWLERS OFICIAL'!Q7)/($BN7/5)</f>
        <v>0</v>
      </c>
      <c r="R7" s="79">
        <f>((0 + 'BRAWLERS OFICIAL'!R7)-'BRAWLERS OFICIAL'!R7)/($BN7/5)</f>
        <v>0</v>
      </c>
      <c r="S7" s="79">
        <f>((0 + 'BRAWLERS OFICIAL'!S7)-'BRAWLERS OFICIAL'!S7)/($BN7/5)</f>
        <v>0</v>
      </c>
      <c r="T7" s="79">
        <f>((0 + 'BRAWLERS OFICIAL'!T7)-'BRAWLERS OFICIAL'!T7)/($BN7/5)</f>
        <v>0</v>
      </c>
      <c r="U7" s="79">
        <f>(0 + 'BRAWLERS OFICIAL'!U7)-'BRAWLERS OFICIAL'!U7</f>
        <v>0</v>
      </c>
      <c r="V7" s="121">
        <f>(( 0 + 'BRAWLERS OFICIAL'!V7 + AN7 + AV7/3.5 )-'BRAWLERS OFICIAL'!V7)/($BN7/5)</f>
        <v>1.2692307692307692</v>
      </c>
      <c r="W7" s="80">
        <f>((0 + 'BRAWLERS OFICIAL'!W7)-'BRAWLERS OFICIAL'!W7)/($BN7/5)</f>
        <v>0</v>
      </c>
      <c r="X7" s="80">
        <f>(((8 + 8 + 5)/3)-'BRAWLERS OFICIAL'!X7)</f>
        <v>1</v>
      </c>
      <c r="Y7" s="80">
        <f>((0 + 'BRAWLERS OFICIAL'!Y7)-'BRAWLERS OFICIAL'!Y7)/($BN7/5)</f>
        <v>0</v>
      </c>
      <c r="Z7" s="80">
        <f>((0 + 'BRAWLERS OFICIAL'!Z7)-'BRAWLERS OFICIAL'!Z7)/($BN7/5)</f>
        <v>0</v>
      </c>
      <c r="AA7" s="80">
        <f>(((0)/4 + 'BRAWLERS OFICIAL'!AA7)-'BRAWLERS OFICIAL'!AA7)/($BN7/5)</f>
        <v>0</v>
      </c>
      <c r="AB7" s="80">
        <f>((0 + 'BRAWLERS OFICIAL'!AB7)-'BRAWLERS OFICIAL'!AB7)/($BN7/5)</f>
        <v>0</v>
      </c>
      <c r="AC7" s="80">
        <f>((0 + 'BRAWLERS OFICIAL'!AC7)-'BRAWLERS OFICIAL'!AC7)/($BN7/5)</f>
        <v>0</v>
      </c>
      <c r="AD7" s="80">
        <f>((0 + 'BRAWLERS OFICIAL'!AD7)-'BRAWLERS OFICIAL'!AD7)/($BN7/5)</f>
        <v>0</v>
      </c>
      <c r="AE7" s="80">
        <f>((0 + 'BRAWLERS OFICIAL'!AE7)-'BRAWLERS OFICIAL'!AE7)</f>
        <v>0</v>
      </c>
      <c r="AF7" s="80">
        <f>((0 + 'BRAWLERS OFICIAL'!AF7)-'BRAWLERS OFICIAL'!AF7)</f>
        <v>0</v>
      </c>
      <c r="AG7" s="80">
        <f>((0 + 'BRAWLERS OFICIAL'!AG7)-'BRAWLERS OFICIAL'!AG7)</f>
        <v>0</v>
      </c>
      <c r="AH7" s="80">
        <f>((0 + 'BRAWLERS OFICIAL'!AH7)-'BRAWLERS OFICIAL'!AH7)/($BN7/5)</f>
        <v>0</v>
      </c>
      <c r="AI7" s="80">
        <f>((5 + 'BRAWLERS OFICIAL'!AI7)-'BRAWLERS OFICIAL'!AI7)/($BN7/5)</f>
        <v>1.9230769230769229</v>
      </c>
      <c r="AJ7" s="80">
        <f>(((BH7/5+1)*AI7 + 'BRAWLERS OFICIAL'!AJ7)-'BRAWLERS OFICIAL'!AJ7)/($BN7/5)</f>
        <v>0.7396449704142013</v>
      </c>
      <c r="AK7" s="80">
        <f>IF( 6.5 = (1-1), (1-1), ((6.5 + 'BRAWLERS OFICIAL'!AK7)/1.5)-'BRAWLERS OFICIAL'!AK7 )</f>
        <v>4.333333333333333</v>
      </c>
      <c r="AL7" s="80">
        <f>IF( 1 = (1-1), (1-1), ( 1 ) )</f>
        <v>1</v>
      </c>
      <c r="AM7" s="80">
        <f>((1 + 'BRAWLERS OFICIAL'!AM7)-'BRAWLERS OFICIAL'!AM7)/($BN7/5)</f>
        <v>0.38461538461538458</v>
      </c>
      <c r="AN7" s="80">
        <f>(('BRAWLERS OFICIAL'!V7*1400/2/1000 + 'BRAWLERS OFICIAL'!AN7)-'BRAWLERS OFICIAL'!AN7)</f>
        <v>3.3</v>
      </c>
      <c r="AO7" s="80">
        <f>((0 + 'BRAWLERS OFICIAL'!AO7)-'BRAWLERS OFICIAL'!AO7)/($BN7/5)</f>
        <v>0</v>
      </c>
      <c r="AP7" s="80">
        <f>IF( 1 = (1-1), (1-1), ((1 + 'BRAWLERS OFICIAL'!AP7)/1.5) )</f>
        <v>0.66666666666666663</v>
      </c>
      <c r="AQ7" s="80">
        <f>IF( 'BRAWLERS OFICIAL'!AH7 = (1-1), (1-1), (('BRAWLERS OFICIAL'!AH7 + 'BRAWLERS OFICIAL'!AQ7)/1.5) )</f>
        <v>6</v>
      </c>
      <c r="AR7" s="80">
        <f>IF( 2.5 = (1-1), (1-1), ((2.5 + 'BRAWLERS OFICIAL'!AR7)/2) )</f>
        <v>1.25</v>
      </c>
      <c r="AS7" s="80">
        <f>((0 + 'BRAWLERS OFICIAL'!AS7)-'BRAWLERS OFICIAL'!AS7)/($BN7/5)</f>
        <v>0</v>
      </c>
      <c r="AT7" s="80">
        <f>(((1 + 3 + 4 + 6.5)/4 + 'BRAWLERS OFICIAL'!AT7)-'BRAWLERS OFICIAL'!AT7)</f>
        <v>3.625</v>
      </c>
      <c r="AU7" s="80">
        <v>0</v>
      </c>
      <c r="AV7" s="79">
        <f>((( 0 )/3 + 'BRAWLERS OFICIAL'!AV7)-'BRAWLERS OFICIAL'!AV7)</f>
        <v>0</v>
      </c>
      <c r="AW7" s="79">
        <f>((( 0 )/2 + 'BRAWLERS OFICIAL'!AW7)-'BRAWLERS OFICIAL'!AW7)/($BN7/5)</f>
        <v>0</v>
      </c>
      <c r="AX7" s="79">
        <f>((( 0 )/2 + 'BRAWLERS OFICIAL'!AX7)-'BRAWLERS OFICIAL'!AX7)</f>
        <v>0</v>
      </c>
      <c r="AY7" s="79">
        <f>((( 0 )/3 + 'BRAWLERS OFICIAL'!AY7)-'BRAWLERS OFICIAL'!AY7)</f>
        <v>0</v>
      </c>
      <c r="AZ7" s="79">
        <f>((( 0 )/2 + 'BRAWLERS OFICIAL'!AZ7)-'BRAWLERS OFICIAL'!AZ7)/($BN7/5)</f>
        <v>0</v>
      </c>
      <c r="BA7" s="79">
        <f>((( 0 )/3 + 'BRAWLERS OFICIAL'!BA7)-'BRAWLERS OFICIAL'!BA7)</f>
        <v>0</v>
      </c>
      <c r="BB7" s="79">
        <f>((( 0 )/3 + 'BRAWLERS OFICIAL'!BB7)-'BRAWLERS OFICIAL'!BB7)</f>
        <v>0</v>
      </c>
      <c r="BC7" s="79">
        <f>((0 + 'BRAWLERS OFICIAL'!BC7)-'BRAWLERS OFICIAL'!BC7)/($BN7/5)</f>
        <v>0</v>
      </c>
      <c r="BD7" s="79">
        <f>((0 + 'BRAWLERS OFICIAL'!BD7)-'BRAWLERS OFICIAL'!BD7)/($BN7/5)</f>
        <v>0</v>
      </c>
      <c r="BE7" s="79">
        <f>((( 0 )/2 + 'BRAWLERS OFICIAL'!BE7)-'BRAWLERS OFICIAL'!BE7)</f>
        <v>0</v>
      </c>
      <c r="BF7" s="79">
        <f>((0 + 'BRAWLERS OFICIAL'!BF7)-'BRAWLERS OFICIAL'!BF7)/($BN7/5)</f>
        <v>0</v>
      </c>
      <c r="BG7" s="79">
        <f>((( 0 )/2 + 'BRAWLERS OFICIAL'!BG7)-'BRAWLERS OFICIAL'!BG7)</f>
        <v>0</v>
      </c>
      <c r="BH7" s="79">
        <f>((( 0 )/3 + 'BRAWLERS OFICIAL'!BH7)-'BRAWLERS OFICIAL'!BH7)</f>
        <v>0</v>
      </c>
      <c r="BI7" s="79">
        <f>((( 0 )/2 + 'BRAWLERS OFICIAL'!BI7)-'BRAWLERS OFICIAL'!BI7)</f>
        <v>0</v>
      </c>
      <c r="BJ7" s="79">
        <f>((0 + 'BRAWLERS OFICIAL'!BJ7)-'BRAWLERS OFICIAL'!BJ7)/($BN7/5)</f>
        <v>0</v>
      </c>
      <c r="BK7" s="79">
        <f>((0 + 'BRAWLERS OFICIAL'!BK7)-'BRAWLERS OFICIAL'!BK7)/($BN7/5)</f>
        <v>0</v>
      </c>
      <c r="BL7" s="79">
        <f>((0 + 'BRAWLERS OFICIAL'!BL7)-'BRAWLERS OFICIAL'!BL7)/($BN7/5)</f>
        <v>0</v>
      </c>
      <c r="BN7" s="79">
        <v>13</v>
      </c>
    </row>
    <row r="8" spans="1:66">
      <c r="B8" s="77" t="s">
        <v>402</v>
      </c>
      <c r="C8" s="67" t="s">
        <v>44</v>
      </c>
      <c r="D8" s="79">
        <f>((0 + 'BRAWLERS OFICIAL'!D8)-'BRAWLERS OFICIAL'!D8)/($BN8/5)</f>
        <v>0</v>
      </c>
      <c r="E8" s="79">
        <f>((0 + 'BRAWLERS OFICIAL'!E8)-'BRAWLERS OFICIAL'!E8)/($BN8/5)</f>
        <v>0</v>
      </c>
      <c r="F8" s="79">
        <f>((0 + 'BRAWLERS OFICIAL'!F8)-'BRAWLERS OFICIAL'!F8)/($BN8/5)</f>
        <v>0</v>
      </c>
      <c r="G8" s="79">
        <f>((0 + 'BRAWLERS OFICIAL'!G8)-'BRAWLERS OFICIAL'!G8)/($BN8/5)</f>
        <v>0</v>
      </c>
      <c r="H8" s="79">
        <f>((0 + 'BRAWLERS OFICIAL'!H8)-'BRAWLERS OFICIAL'!H8)/($BN8/5)</f>
        <v>0</v>
      </c>
      <c r="I8" s="79">
        <f>((0 + 'BRAWLERS OFICIAL'!I8)-'BRAWLERS OFICIAL'!I8)/($BN8/5)</f>
        <v>0</v>
      </c>
      <c r="J8" s="79">
        <f>((0 + 'BRAWLERS OFICIAL'!J8)-'BRAWLERS OFICIAL'!J8)/($BN8/5)</f>
        <v>0</v>
      </c>
      <c r="K8" s="79">
        <f>((0 + 'BRAWLERS OFICIAL'!K8)-'BRAWLERS OFICIAL'!K8)/($BN8/5)</f>
        <v>0</v>
      </c>
      <c r="L8" s="79">
        <f>((0 + 'BRAWLERS OFICIAL'!L8)-'BRAWLERS OFICIAL'!L8)/($BN8/5)</f>
        <v>0</v>
      </c>
      <c r="M8" s="79">
        <f>((0 + 'BRAWLERS OFICIAL'!M8)-'BRAWLERS OFICIAL'!M8)/($BN8/5)</f>
        <v>0</v>
      </c>
      <c r="N8" s="79">
        <f>((0 + 'BRAWLERS OFICIAL'!N8)-'BRAWLERS OFICIAL'!N8)/($BN8/5)</f>
        <v>0</v>
      </c>
      <c r="O8" s="79">
        <f>((0 + 'BRAWLERS OFICIAL'!O8)-'BRAWLERS OFICIAL'!O8)/($BN8/5)</f>
        <v>0</v>
      </c>
      <c r="P8" s="79">
        <f>((0 + 'BRAWLERS OFICIAL'!P8)-'BRAWLERS OFICIAL'!P8)/($BN8/5)</f>
        <v>0</v>
      </c>
      <c r="Q8" s="79">
        <f>((0 + 'BRAWLERS OFICIAL'!Q8)-'BRAWLERS OFICIAL'!Q8)/($BN8/5)</f>
        <v>0</v>
      </c>
      <c r="R8" s="79">
        <f>((0 + 'BRAWLERS OFICIAL'!R8)-'BRAWLERS OFICIAL'!R8)/($BN8/5)</f>
        <v>0</v>
      </c>
      <c r="S8" s="79">
        <f>((0 + 'BRAWLERS OFICIAL'!S8)-'BRAWLERS OFICIAL'!S8)/($BN8/5)</f>
        <v>0</v>
      </c>
      <c r="T8" s="79">
        <f>((0 + 'BRAWLERS OFICIAL'!T8)-'BRAWLERS OFICIAL'!T8)/($BN8/5)</f>
        <v>0</v>
      </c>
      <c r="U8" s="79">
        <f>(0 + 'BRAWLERS OFICIAL'!U8)-'BRAWLERS OFICIAL'!U8</f>
        <v>0</v>
      </c>
      <c r="V8" s="121">
        <f>(( 0 + 'BRAWLERS OFICIAL'!V8 + AN8 + AV8/3.5 )-'BRAWLERS OFICIAL'!V8)/($BN8/5)</f>
        <v>0</v>
      </c>
      <c r="W8" s="80">
        <f>((0 + 'BRAWLERS OFICIAL'!W8)-'BRAWLERS OFICIAL'!W8)/($BN8/5)</f>
        <v>0</v>
      </c>
      <c r="X8" s="80">
        <f>(((7.5 + 6 + 5)/3)-'BRAWLERS OFICIAL'!X8)</f>
        <v>0.83333333333333393</v>
      </c>
      <c r="Y8" s="80">
        <f>((0 + 'BRAWLERS OFICIAL'!Y8)-'BRAWLERS OFICIAL'!Y8)/($BN8/5)</f>
        <v>0</v>
      </c>
      <c r="Z8" s="80">
        <f>((0 + 'BRAWLERS OFICIAL'!Z8)-'BRAWLERS OFICIAL'!Z8)/($BN8/5)</f>
        <v>0</v>
      </c>
      <c r="AA8" s="80">
        <f>(((0)/4 + 'BRAWLERS OFICIAL'!AA8)-'BRAWLERS OFICIAL'!AA8)/($BN8/5)</f>
        <v>0</v>
      </c>
      <c r="AB8" s="80">
        <f>((0.5 + 'BRAWLERS OFICIAL'!AB8)-'BRAWLERS OFICIAL'!AB8)/($BN8/5)</f>
        <v>0.125</v>
      </c>
      <c r="AC8" s="80">
        <f>((0 + 'BRAWLERS OFICIAL'!AC8)-'BRAWLERS OFICIAL'!AC8)/($BN8/5)</f>
        <v>0</v>
      </c>
      <c r="AD8" s="80">
        <f>((0 + 'BRAWLERS OFICIAL'!AD8)-'BRAWLERS OFICIAL'!AD8)/($BN8/5)</f>
        <v>0</v>
      </c>
      <c r="AE8" s="80">
        <f>((0 + 'BRAWLERS OFICIAL'!AE8)-'BRAWLERS OFICIAL'!AE8)</f>
        <v>0</v>
      </c>
      <c r="AF8" s="80">
        <f>((0 + 'BRAWLERS OFICIAL'!AF8)-'BRAWLERS OFICIAL'!AF8)</f>
        <v>0</v>
      </c>
      <c r="AG8" s="80">
        <f>((0 + 'BRAWLERS OFICIAL'!AG8)-'BRAWLERS OFICIAL'!AG8)</f>
        <v>0</v>
      </c>
      <c r="AH8" s="80">
        <f>((0 + 'BRAWLERS OFICIAL'!AH8)-'BRAWLERS OFICIAL'!AH8)/($BN8/5)</f>
        <v>0</v>
      </c>
      <c r="AI8" s="80">
        <f>((2 + 'BRAWLERS OFICIAL'!AI8)-'BRAWLERS OFICIAL'!AI8)/($BN8/5)</f>
        <v>0.5</v>
      </c>
      <c r="AJ8" s="80">
        <f>(((BH8/5+1)*AI8 + 'BRAWLERS OFICIAL'!AJ8)-'BRAWLERS OFICIAL'!AJ8)/($BN8/5)</f>
        <v>0.125</v>
      </c>
      <c r="AK8" s="80">
        <f>IF( 0 = (1-1), (1-1), ((0 + 'BRAWLERS OFICIAL'!AK8)/1.5)-'BRAWLERS OFICIAL'!AK8 )</f>
        <v>0</v>
      </c>
      <c r="AL8" s="80">
        <f t="shared" si="0"/>
        <v>0</v>
      </c>
      <c r="AM8" s="80">
        <f>((0 + 'BRAWLERS OFICIAL'!AM8)-'BRAWLERS OFICIAL'!AM8)/($BN8/5)</f>
        <v>0</v>
      </c>
      <c r="AN8" s="80">
        <f>((0/1000 + 'BRAWLERS OFICIAL'!AN8)-'BRAWLERS OFICIAL'!AN8)</f>
        <v>0</v>
      </c>
      <c r="AO8" s="80">
        <f>((0 + 'BRAWLERS OFICIAL'!AO8)-'BRAWLERS OFICIAL'!AO8)</f>
        <v>0</v>
      </c>
      <c r="AP8" s="80">
        <f>IF( 0 = (1-1), (1-1), ((0 + 'BRAWLERS OFICIAL'!AP8)/1.5) )</f>
        <v>0</v>
      </c>
      <c r="AQ8" s="80">
        <f>IF( 0 = (1-1), (1-1), ((0 + 'BRAWLERS OFICIAL'!AQ8)/1.5) )</f>
        <v>0</v>
      </c>
      <c r="AR8" s="80">
        <f>IF( 0 = (1-1), (1-1), ((0 + 'BRAWLERS OFICIAL'!AR8)/2) )</f>
        <v>0</v>
      </c>
      <c r="AS8" s="80">
        <f>((0 + 'BRAWLERS OFICIAL'!AS8)-'BRAWLERS OFICIAL'!AS8)/($BN8/5)</f>
        <v>0</v>
      </c>
      <c r="AT8" s="80">
        <f>(((0)/4 + 'BRAWLERS OFICIAL'!AT8)-'BRAWLERS OFICIAL'!AT8)</f>
        <v>0</v>
      </c>
      <c r="AU8" s="80">
        <v>0</v>
      </c>
      <c r="AV8" s="79">
        <f>((( 0 )/3 + 'BRAWLERS OFICIAL'!AV8)-'BRAWLERS OFICIAL'!AV8)</f>
        <v>0</v>
      </c>
      <c r="AW8" s="79">
        <f>((( 0 )/2 + 'BRAWLERS OFICIAL'!AW8)-'BRAWLERS OFICIAL'!AW8)/($BN8/5)</f>
        <v>0</v>
      </c>
      <c r="AX8" s="79">
        <f>((( 0 )/2 + 'BRAWLERS OFICIAL'!AX8)-'BRAWLERS OFICIAL'!AX8)</f>
        <v>0</v>
      </c>
      <c r="AY8" s="79">
        <f>((( 0 )/3 + 'BRAWLERS OFICIAL'!AY8)-'BRAWLERS OFICIAL'!AY8)</f>
        <v>0</v>
      </c>
      <c r="AZ8" s="79">
        <f>((( 0 )/2 + 'BRAWLERS OFICIAL'!AZ8)-'BRAWLERS OFICIAL'!AZ8)/($BN8/5)</f>
        <v>0</v>
      </c>
      <c r="BA8" s="79">
        <f>((( 0 )/3 + 'BRAWLERS OFICIAL'!BA8)-'BRAWLERS OFICIAL'!BA8)</f>
        <v>0</v>
      </c>
      <c r="BB8" s="79">
        <f>((( 0 )/3 + 'BRAWLERS OFICIAL'!BB8)-'BRAWLERS OFICIAL'!BB8)</f>
        <v>0</v>
      </c>
      <c r="BC8" s="79">
        <f>((4 + 'BRAWLERS OFICIAL'!BC8)-'BRAWLERS OFICIAL'!BC8)/($BN8/5)</f>
        <v>1</v>
      </c>
      <c r="BD8" s="79">
        <f>((0 + 'BRAWLERS OFICIAL'!BD8)-'BRAWLERS OFICIAL'!BD8)/($BN8/5)</f>
        <v>0</v>
      </c>
      <c r="BE8" s="79">
        <f>((( 0 )/2 + 'BRAWLERS OFICIAL'!BE8)-'BRAWLERS OFICIAL'!BE8)</f>
        <v>0</v>
      </c>
      <c r="BF8" s="79">
        <f>((0 + 'BRAWLERS OFICIAL'!BF8)-'BRAWLERS OFICIAL'!BF8)/($BN8/5)</f>
        <v>0</v>
      </c>
      <c r="BG8" s="79">
        <f>((( 0 )/2 + 'BRAWLERS OFICIAL'!BG8)-'BRAWLERS OFICIAL'!BG8)</f>
        <v>0</v>
      </c>
      <c r="BH8" s="79">
        <f>((( 0 )/3 + 'BRAWLERS OFICIAL'!BH8)-'BRAWLERS OFICIAL'!BH8)</f>
        <v>0</v>
      </c>
      <c r="BI8" s="79">
        <f>((( 0 )/2 + 'BRAWLERS OFICIAL'!BI8)-'BRAWLERS OFICIAL'!BI8)</f>
        <v>0</v>
      </c>
      <c r="BJ8" s="79">
        <f>((0.5 + 'BRAWLERS OFICIAL'!BJ8)-'BRAWLERS OFICIAL'!BJ8)/($BN8/5)</f>
        <v>0.125</v>
      </c>
      <c r="BK8" s="79">
        <f>((0 + 'BRAWLERS OFICIAL'!BK8)-'BRAWLERS OFICIAL'!BK8)/($BN8/5)</f>
        <v>0</v>
      </c>
      <c r="BL8" s="79">
        <f>((0 + 'BRAWLERS OFICIAL'!BL8)-'BRAWLERS OFICIAL'!BL8)/($BN8/5)</f>
        <v>0</v>
      </c>
      <c r="BN8" s="79">
        <v>20</v>
      </c>
    </row>
    <row r="9" spans="1:66">
      <c r="B9" s="77" t="s">
        <v>403</v>
      </c>
      <c r="C9" s="81" t="s">
        <v>95</v>
      </c>
      <c r="D9" s="79">
        <f>((0 + 'BRAWLERS OFICIAL'!D9)-'BRAWLERS OFICIAL'!D9)/($BN9/5)</f>
        <v>0</v>
      </c>
      <c r="E9" s="79">
        <f>((0 + 'BRAWLERS OFICIAL'!E9)-'BRAWLERS OFICIAL'!E9)/($BN9/5)</f>
        <v>0</v>
      </c>
      <c r="F9" s="79">
        <f>((0 + 'BRAWLERS OFICIAL'!F9)-'BRAWLERS OFICIAL'!F9)/($BN9/5)</f>
        <v>0</v>
      </c>
      <c r="G9" s="79">
        <f>((2*'BRAWLERS OFICIAL'!G9)-'BRAWLERS OFICIAL'!G9)/($BN9/5)</f>
        <v>0.45833333333333337</v>
      </c>
      <c r="H9" s="79">
        <f>((0 + 'BRAWLERS OFICIAL'!H9)-'BRAWLERS OFICIAL'!H9)/($BN9/5)</f>
        <v>0</v>
      </c>
      <c r="I9" s="79">
        <f>((0 + 'BRAWLERS OFICIAL'!I9)-'BRAWLERS OFICIAL'!I9)/($BN9/5)</f>
        <v>0</v>
      </c>
      <c r="J9" s="79">
        <f>((0 + 'BRAWLERS OFICIAL'!J9)-'BRAWLERS OFICIAL'!J9)/($BN9/5)</f>
        <v>0</v>
      </c>
      <c r="K9" s="79">
        <f>((0 + 'BRAWLERS OFICIAL'!K9)-'BRAWLERS OFICIAL'!K9)/($BN9/5)</f>
        <v>0</v>
      </c>
      <c r="L9" s="79">
        <f>((0 + 'BRAWLERS OFICIAL'!L9)-'BRAWLERS OFICIAL'!L9)/($BN9/5)</f>
        <v>0</v>
      </c>
      <c r="M9" s="79">
        <f>((0 + 'BRAWLERS OFICIAL'!M9)-'BRAWLERS OFICIAL'!M9)/($BN9/5)</f>
        <v>0</v>
      </c>
      <c r="N9" s="79">
        <f>((0 + 'BRAWLERS OFICIAL'!N9)-'BRAWLERS OFICIAL'!N9)/($BN9/5)</f>
        <v>0</v>
      </c>
      <c r="O9" s="79">
        <f>((0 + 'BRAWLERS OFICIAL'!O9)-'BRAWLERS OFICIAL'!O9)/($BN9/5)</f>
        <v>0</v>
      </c>
      <c r="P9" s="79">
        <f>((0 + 'BRAWLERS OFICIAL'!P9)-'BRAWLERS OFICIAL'!P9)/($BN9/5)</f>
        <v>0</v>
      </c>
      <c r="Q9" s="79">
        <f>((0 + 'BRAWLERS OFICIAL'!Q9)-'BRAWLERS OFICIAL'!Q9)/($BN9/5)</f>
        <v>0</v>
      </c>
      <c r="R9" s="79">
        <f>((0 + 'BRAWLERS OFICIAL'!R9)-'BRAWLERS OFICIAL'!R9)/($BN9/5)</f>
        <v>0</v>
      </c>
      <c r="S9" s="79">
        <f>((0 + 'BRAWLERS OFICIAL'!S9)-'BRAWLERS OFICIAL'!S9)/($BN9/5)</f>
        <v>0</v>
      </c>
      <c r="T9" s="79">
        <f>((0 + 'BRAWLERS OFICIAL'!T9)-'BRAWLERS OFICIAL'!T9)/($BN9/5)</f>
        <v>0</v>
      </c>
      <c r="U9" s="79">
        <f>(0 + 'BRAWLERS OFICIAL'!U9)-'BRAWLERS OFICIAL'!U9</f>
        <v>0</v>
      </c>
      <c r="V9" s="121">
        <f>(( 3000/1400 + 'BRAWLERS OFICIAL'!V9 + AN9 + AV9/3.5 )-'BRAWLERS OFICIAL'!V9)/($BN9/5)</f>
        <v>0.53571428571428559</v>
      </c>
      <c r="W9" s="80">
        <f>((0 + 'BRAWLERS OFICIAL'!W9)-'BRAWLERS OFICIAL'!W9)/($BN9/5)</f>
        <v>0</v>
      </c>
      <c r="X9" s="80">
        <f>((((8 + 6 + 3))/3)-'BRAWLERS OFICIAL'!X9)</f>
        <v>1</v>
      </c>
      <c r="Y9" s="80">
        <f>((0 + 'BRAWLERS OFICIAL'!Y9)-'BRAWLERS OFICIAL'!Y9)/($BN9/5)</f>
        <v>0</v>
      </c>
      <c r="Z9" s="80">
        <f>((0 + 'BRAWLERS OFICIAL'!Z9)-'BRAWLERS OFICIAL'!Z9)/($BN9/5)</f>
        <v>0</v>
      </c>
      <c r="AA9" s="80">
        <f>(((0)/4 + 'BRAWLERS OFICIAL'!AA9)-'BRAWLERS OFICIAL'!AA9)/($BN9/5)</f>
        <v>0</v>
      </c>
      <c r="AB9" s="80">
        <f>((0 + 'BRAWLERS OFICIAL'!AB9)-'BRAWLERS OFICIAL'!AB9)/($BN9/5)</f>
        <v>0</v>
      </c>
      <c r="AC9" s="80">
        <f>((0 + 'BRAWLERS OFICIAL'!AC9)-'BRAWLERS OFICIAL'!AC9)/($BN9/5)</f>
        <v>0</v>
      </c>
      <c r="AD9" s="80">
        <f>((0 + 'BRAWLERS OFICIAL'!AD9)-'BRAWLERS OFICIAL'!AD9)/($BN9/5)</f>
        <v>0</v>
      </c>
      <c r="AE9" s="80">
        <f>((0 + 'BRAWLERS OFICIAL'!AE9)-'BRAWLERS OFICIAL'!AE9)</f>
        <v>0</v>
      </c>
      <c r="AF9" s="80">
        <f>((0 + 'BRAWLERS OFICIAL'!AF9)-'BRAWLERS OFICIAL'!AF9)</f>
        <v>0</v>
      </c>
      <c r="AG9" s="80">
        <f>((0 + 'BRAWLERS OFICIAL'!AG9)-'BRAWLERS OFICIAL'!AG9)</f>
        <v>0</v>
      </c>
      <c r="AH9" s="80">
        <f>((0 + 'BRAWLERS OFICIAL'!AH9)-'BRAWLERS OFICIAL'!AH9)/($BN9/5)</f>
        <v>0</v>
      </c>
      <c r="AI9" s="80">
        <f>((5 + 'BRAWLERS OFICIAL'!AI9)-'BRAWLERS OFICIAL'!AI9)/($BN9/5)</f>
        <v>1.25</v>
      </c>
      <c r="AJ9" s="80">
        <f>(((BH9/5+1)*AI9 + 'BRAWLERS OFICIAL'!AJ9)-'BRAWLERS OFICIAL'!AJ9)/($BN9/5)</f>
        <v>0.3125</v>
      </c>
      <c r="AK9" s="80">
        <f>IF( 0 = (1-1), (1-1), ((0 + 'BRAWLERS OFICIAL'!AK9)/1.5)-'BRAWLERS OFICIAL'!AK9 )</f>
        <v>0</v>
      </c>
      <c r="AL9" s="80">
        <f t="shared" si="0"/>
        <v>0</v>
      </c>
      <c r="AM9" s="80">
        <f>((0 + 'BRAWLERS OFICIAL'!AM9)-'BRAWLERS OFICIAL'!AM9)/($BN9/5)</f>
        <v>0</v>
      </c>
      <c r="AN9" s="80">
        <f>((0/1000 + 'BRAWLERS OFICIAL'!AN9)-'BRAWLERS OFICIAL'!AN9)</f>
        <v>0</v>
      </c>
      <c r="AO9" s="80">
        <f>((0 + 'BRAWLERS OFICIAL'!AO9)-'BRAWLERS OFICIAL'!AO9)</f>
        <v>0</v>
      </c>
      <c r="AP9" s="80">
        <f>IF( 0 = (1-1), (1-1), ((0 + 'BRAWLERS OFICIAL'!AP9)/1.5) )</f>
        <v>0</v>
      </c>
      <c r="AQ9" s="80">
        <f>IF( 0 = (1-1), (1-1), ((0 + 'BRAWLERS OFICIAL'!AQ9)/1.5) )</f>
        <v>0</v>
      </c>
      <c r="AR9" s="80">
        <f>IF( 0 = (1-1), (1-1), ((0 + 'BRAWLERS OFICIAL'!AR9)/2) )</f>
        <v>0</v>
      </c>
      <c r="AS9" s="80">
        <f>((0 + 'BRAWLERS OFICIAL'!AS9)-'BRAWLERS OFICIAL'!AS9)/($BN9/5)</f>
        <v>0</v>
      </c>
      <c r="AT9" s="80">
        <f>(((0)/4 + 'BRAWLERS OFICIAL'!AT9)-'BRAWLERS OFICIAL'!AT9)</f>
        <v>0</v>
      </c>
      <c r="AU9" s="80">
        <v>0</v>
      </c>
      <c r="AV9" s="79">
        <f>((( 0 )/3 + 'BRAWLERS OFICIAL'!AV9)-'BRAWLERS OFICIAL'!AV9)</f>
        <v>0</v>
      </c>
      <c r="AW9" s="79">
        <f>((( 0 )/2 + 'BRAWLERS OFICIAL'!AW9)-'BRAWLERS OFICIAL'!AW9)/($BN9/5)</f>
        <v>0</v>
      </c>
      <c r="AX9" s="79">
        <f>((( 0 )/2 + 'BRAWLERS OFICIAL'!AX9)-'BRAWLERS OFICIAL'!AX9)</f>
        <v>0</v>
      </c>
      <c r="AY9" s="79">
        <f>((( 0 )/3 + 'BRAWLERS OFICIAL'!AY9)-'BRAWLERS OFICIAL'!AY9)</f>
        <v>0</v>
      </c>
      <c r="AZ9" s="79">
        <f>((( 0 )/2 + 'BRAWLERS OFICIAL'!AZ9)-'BRAWLERS OFICIAL'!AZ9)/($BN9/5)</f>
        <v>0</v>
      </c>
      <c r="BA9" s="79">
        <f>((( 0 )/3 + 'BRAWLERS OFICIAL'!BA9)-'BRAWLERS OFICIAL'!BA9)</f>
        <v>0</v>
      </c>
      <c r="BB9" s="79">
        <f>((( 0 )/3 + 'BRAWLERS OFICIAL'!BB9)-'BRAWLERS OFICIAL'!BB9)</f>
        <v>0</v>
      </c>
      <c r="BC9" s="79">
        <f>((0 + 'BRAWLERS OFICIAL'!BC9)-'BRAWLERS OFICIAL'!BC9)/($BN9/5)</f>
        <v>0</v>
      </c>
      <c r="BD9" s="79">
        <f>((0 + 'BRAWLERS OFICIAL'!BD9)-'BRAWLERS OFICIAL'!BD9)/($BN9/5)</f>
        <v>0</v>
      </c>
      <c r="BE9" s="79">
        <f>((( 0 )/2 + 'BRAWLERS OFICIAL'!BE9)-'BRAWLERS OFICIAL'!BE9)</f>
        <v>0</v>
      </c>
      <c r="BF9" s="79">
        <f>((0 + 'BRAWLERS OFICIAL'!BF9)-'BRAWLERS OFICIAL'!BF9)/($BN9/5)</f>
        <v>0</v>
      </c>
      <c r="BG9" s="79">
        <f>((( 5 + 5 )/2 + 'BRAWLERS OFICIAL'!BG9)-'BRAWLERS OFICIAL'!BG9)</f>
        <v>5</v>
      </c>
      <c r="BH9" s="79">
        <f>((( 0 )/3 + 'BRAWLERS OFICIAL'!BH9)-'BRAWLERS OFICIAL'!BH9)</f>
        <v>0</v>
      </c>
      <c r="BI9" s="79">
        <f>((( 5 + 5 )/2 + 'BRAWLERS OFICIAL'!BI9)-'BRAWLERS OFICIAL'!BI9)</f>
        <v>5</v>
      </c>
      <c r="BJ9" s="79">
        <f>((0 + 'BRAWLERS OFICIAL'!BJ9)-'BRAWLERS OFICIAL'!BJ9)/($BN9/5)</f>
        <v>0</v>
      </c>
      <c r="BK9" s="79">
        <f>((0 + 'BRAWLERS OFICIAL'!BK9)-'BRAWLERS OFICIAL'!BK9)/($BN9/5)</f>
        <v>0</v>
      </c>
      <c r="BL9" s="79">
        <f>((0 + 'BRAWLERS OFICIAL'!BL9)-'BRAWLERS OFICIAL'!BL9)/($BN9/5)</f>
        <v>0</v>
      </c>
      <c r="BN9" s="79">
        <v>20</v>
      </c>
    </row>
    <row r="10" spans="1:66">
      <c r="B10" s="77" t="s">
        <v>404</v>
      </c>
      <c r="C10" s="81" t="s">
        <v>87</v>
      </c>
      <c r="D10" s="79">
        <f>((0 + 'BRAWLERS OFICIAL'!D10)-'BRAWLERS OFICIAL'!D10)/($BN10/5)</f>
        <v>0</v>
      </c>
      <c r="E10" s="79">
        <f>((0 + 'BRAWLERS OFICIAL'!E10)-'BRAWLERS OFICIAL'!E10)/($BN10/5)</f>
        <v>0</v>
      </c>
      <c r="F10" s="79">
        <f>((0 + 'BRAWLERS OFICIAL'!F10)-'BRAWLERS OFICIAL'!F10)/($BN10/5)</f>
        <v>0</v>
      </c>
      <c r="G10" s="79">
        <f>((0 + 'BRAWLERS OFICIAL'!G10)-'BRAWLERS OFICIAL'!G10)/($BN10/5)</f>
        <v>0</v>
      </c>
      <c r="H10" s="79">
        <f>((0 + 'BRAWLERS OFICIAL'!H10)-'BRAWLERS OFICIAL'!H10)/($BN10/5)</f>
        <v>0</v>
      </c>
      <c r="I10" s="79">
        <f>((0 + 'BRAWLERS OFICIAL'!I10)-'BRAWLERS OFICIAL'!I10)/($BN10/5)</f>
        <v>0</v>
      </c>
      <c r="J10" s="79">
        <f>((0 + 'BRAWLERS OFICIAL'!J10)-'BRAWLERS OFICIAL'!J10)/($BN10/5)</f>
        <v>0</v>
      </c>
      <c r="K10" s="79">
        <f>((0 + 'BRAWLERS OFICIAL'!K10)-'BRAWLERS OFICIAL'!K10)/($BN10/5)</f>
        <v>0</v>
      </c>
      <c r="L10" s="79">
        <f>((0 + 'BRAWLERS OFICIAL'!L10)-'BRAWLERS OFICIAL'!L10)/($BN10/5)</f>
        <v>0</v>
      </c>
      <c r="M10" s="79">
        <f>((0 + 'BRAWLERS OFICIAL'!M10)-'BRAWLERS OFICIAL'!M10)/($BN10/5)</f>
        <v>0</v>
      </c>
      <c r="N10" s="79">
        <f>((0 + 'BRAWLERS OFICIAL'!N10)-'BRAWLERS OFICIAL'!N10)/($BN10/5)</f>
        <v>0</v>
      </c>
      <c r="O10" s="79">
        <f>((0 + 'BRAWLERS OFICIAL'!O10)-'BRAWLERS OFICIAL'!O10)/($BN10/5)</f>
        <v>0</v>
      </c>
      <c r="P10" s="79">
        <f>((0 + 'BRAWLERS OFICIAL'!P10)-'BRAWLERS OFICIAL'!P10)/($BN10/5)</f>
        <v>0</v>
      </c>
      <c r="Q10" s="79">
        <f>((0 + 'BRAWLERS OFICIAL'!Q10)-'BRAWLERS OFICIAL'!Q10)/($BN10/5)</f>
        <v>0</v>
      </c>
      <c r="R10" s="79">
        <f>((0 + 'BRAWLERS OFICIAL'!R10)-'BRAWLERS OFICIAL'!R10)/($BN10/5)</f>
        <v>0</v>
      </c>
      <c r="S10" s="79">
        <f>((0 + 'BRAWLERS OFICIAL'!S10)-'BRAWLERS OFICIAL'!S10)/($BN10/5)</f>
        <v>0</v>
      </c>
      <c r="T10" s="79">
        <f>((0 + 'BRAWLERS OFICIAL'!T10)-'BRAWLERS OFICIAL'!T10)/($BN10/5)</f>
        <v>0</v>
      </c>
      <c r="U10" s="79">
        <f>(0 + 'BRAWLERS OFICIAL'!U10)-'BRAWLERS OFICIAL'!U10</f>
        <v>0</v>
      </c>
      <c r="V10" s="121">
        <f>(( 0 + 'BRAWLERS OFICIAL'!V10 + AN10 + AV10/3.5 )-'BRAWLERS OFICIAL'!V10)/($BN10/5)</f>
        <v>0.40476190476190466</v>
      </c>
      <c r="W10" s="80">
        <f>((0 + 'BRAWLERS OFICIAL'!W10)-'BRAWLERS OFICIAL'!W10)/($BN10/5)</f>
        <v>0</v>
      </c>
      <c r="X10" s="80">
        <f>(((0)/3 + 'BRAWLERS OFICIAL'!X10)-'BRAWLERS OFICIAL'!X10)</f>
        <v>0</v>
      </c>
      <c r="Y10" s="80">
        <f>((0 + 'BRAWLERS OFICIAL'!Y10)-'BRAWLERS OFICIAL'!Y10)/($BN10/5)</f>
        <v>0</v>
      </c>
      <c r="Z10" s="80">
        <f>((0 + 'BRAWLERS OFICIAL'!Z10)-'BRAWLERS OFICIAL'!Z10)/($BN10/5)</f>
        <v>0</v>
      </c>
      <c r="AA10" s="80">
        <f>(((0)/4 + 'BRAWLERS OFICIAL'!AA10)-'BRAWLERS OFICIAL'!AA10)/($BN10/5)</f>
        <v>0</v>
      </c>
      <c r="AB10" s="80">
        <f>((0 + 'BRAWLERS OFICIAL'!AB10)-'BRAWLERS OFICIAL'!AB10)/($BN10/5)</f>
        <v>0</v>
      </c>
      <c r="AC10" s="80">
        <f>((0 + 'BRAWLERS OFICIAL'!AC10)-'BRAWLERS OFICIAL'!AC10)/($BN10/5)</f>
        <v>0</v>
      </c>
      <c r="AD10" s="80">
        <f>((0 + 'BRAWLERS OFICIAL'!AD10)-'BRAWLERS OFICIAL'!AD10)/($BN10/5)</f>
        <v>0</v>
      </c>
      <c r="AE10" s="80">
        <f>((0 + 'BRAWLERS OFICIAL'!AE10)-'BRAWLERS OFICIAL'!AE10)</f>
        <v>0</v>
      </c>
      <c r="AF10" s="80">
        <f>((0 + 'BRAWLERS OFICIAL'!AF10)-'BRAWLERS OFICIAL'!AF10)</f>
        <v>0</v>
      </c>
      <c r="AG10" s="80">
        <f>((0 + 'BRAWLERS OFICIAL'!AG10)-'BRAWLERS OFICIAL'!AG10)</f>
        <v>0</v>
      </c>
      <c r="AH10" s="80">
        <f>((0 + 'BRAWLERS OFICIAL'!AH10)-'BRAWLERS OFICIAL'!AH10)/($BN10/5)</f>
        <v>0</v>
      </c>
      <c r="AI10" s="80">
        <f>((0 + 'BRAWLERS OFICIAL'!AI10)-'BRAWLERS OFICIAL'!AI10)/($BN10/5)</f>
        <v>0</v>
      </c>
      <c r="AJ10" s="80">
        <f>(((BH10/5+1)*AI10 + 'BRAWLERS OFICIAL'!AJ10)-'BRAWLERS OFICIAL'!AJ10)/($BN10/5)</f>
        <v>0</v>
      </c>
      <c r="AK10" s="80">
        <f>IF( 0 = (1-1), (1-1), ((0 + 'BRAWLERS OFICIAL'!AK10)/1.5)-'BRAWLERS OFICIAL'!AK10 )</f>
        <v>0</v>
      </c>
      <c r="AL10" s="80">
        <f t="shared" si="0"/>
        <v>0</v>
      </c>
      <c r="AM10" s="80">
        <f>((0 + 'BRAWLERS OFICIAL'!AM10)-'BRAWLERS OFICIAL'!AM10)/($BN10/5)</f>
        <v>0</v>
      </c>
      <c r="AN10" s="80">
        <f>((0/1000 + 'BRAWLERS OFICIAL'!AN10)-'BRAWLERS OFICIAL'!AN10)</f>
        <v>0</v>
      </c>
      <c r="AO10" s="80">
        <f>((0 + 'BRAWLERS OFICIAL'!AO10)-'BRAWLERS OFICIAL'!AO10)</f>
        <v>0</v>
      </c>
      <c r="AP10" s="80">
        <f>IF( 0 = (1-1), (1-1), ((0 + 'BRAWLERS OFICIAL'!AP10)/1.5) )</f>
        <v>0</v>
      </c>
      <c r="AQ10" s="80">
        <f>IF( 0 = (1-1), (1-1), ((0 + 'BRAWLERS OFICIAL'!AQ10)/1.5) )</f>
        <v>0</v>
      </c>
      <c r="AR10" s="80">
        <f>IF( 0 = (1-1), (1-1), ((0 + 'BRAWLERS OFICIAL'!AR10)/2) )</f>
        <v>0</v>
      </c>
      <c r="AS10" s="80">
        <f>((0 + 'BRAWLERS OFICIAL'!AS10)-'BRAWLERS OFICIAL'!AS10)/($BN10/5)</f>
        <v>0</v>
      </c>
      <c r="AT10" s="80">
        <f>(((0)/4 + 'BRAWLERS OFICIAL'!AT10)-'BRAWLERS OFICIAL'!AT10)</f>
        <v>0</v>
      </c>
      <c r="AU10" s="80">
        <v>0</v>
      </c>
      <c r="AV10" s="79">
        <f>((( 5 + 9 + 3 )/3 + 'BRAWLERS OFICIAL'!AV10)-'BRAWLERS OFICIAL'!AV10)</f>
        <v>5.6666666666666679</v>
      </c>
      <c r="AW10" s="79">
        <f>((( 0 )/2 + 'BRAWLERS OFICIAL'!AW10)-'BRAWLERS OFICIAL'!AW10)/($BN10/5)</f>
        <v>0</v>
      </c>
      <c r="AX10" s="79">
        <f>((( 0 )/2 + 'BRAWLERS OFICIAL'!AX10)-'BRAWLERS OFICIAL'!AX10)</f>
        <v>0</v>
      </c>
      <c r="AY10" s="79">
        <f>((( 0 )/3 + 'BRAWLERS OFICIAL'!AY10)-'BRAWLERS OFICIAL'!AY10)</f>
        <v>0</v>
      </c>
      <c r="AZ10" s="79">
        <f>((( 0 )/2 + 'BRAWLERS OFICIAL'!AZ10)-'BRAWLERS OFICIAL'!AZ10)/($BN10/5)</f>
        <v>0</v>
      </c>
      <c r="BA10" s="79">
        <f>((( 0 )/3 + 'BRAWLERS OFICIAL'!BA10)-'BRAWLERS OFICIAL'!BA10)</f>
        <v>0</v>
      </c>
      <c r="BB10" s="79">
        <f>((( 0 )/3 + 'BRAWLERS OFICIAL'!BB10)-'BRAWLERS OFICIAL'!BB10)</f>
        <v>0</v>
      </c>
      <c r="BC10" s="79">
        <f>((0 + 'BRAWLERS OFICIAL'!BC10)-'BRAWLERS OFICIAL'!BC10)/($BN10/5)</f>
        <v>0</v>
      </c>
      <c r="BD10" s="79">
        <f>((0 + 'BRAWLERS OFICIAL'!BD10)-'BRAWLERS OFICIAL'!BD10)/($BN10/5)</f>
        <v>0</v>
      </c>
      <c r="BE10" s="79">
        <f>((( 0 )/2 + 'BRAWLERS OFICIAL'!BE10)-'BRAWLERS OFICIAL'!BE10)</f>
        <v>0</v>
      </c>
      <c r="BF10" s="79">
        <f>((0 + 'BRAWLERS OFICIAL'!BF10)-'BRAWLERS OFICIAL'!BF10)/($BN10/5)</f>
        <v>0</v>
      </c>
      <c r="BG10" s="79">
        <f>((( 0 )/2 + 'BRAWLERS OFICIAL'!BG10)-'BRAWLERS OFICIAL'!BG10)</f>
        <v>0</v>
      </c>
      <c r="BH10" s="79">
        <f>((( 0 )/3 + 'BRAWLERS OFICIAL'!BH10)-'BRAWLERS OFICIAL'!BH10)</f>
        <v>0</v>
      </c>
      <c r="BI10" s="79">
        <f>((( 0 )/2 + 'BRAWLERS OFICIAL'!BI10)-'BRAWLERS OFICIAL'!BI10)</f>
        <v>0</v>
      </c>
      <c r="BJ10" s="79">
        <f>((0 + 'BRAWLERS OFICIAL'!BJ10)-'BRAWLERS OFICIAL'!BJ10)/($BN10/5)</f>
        <v>0</v>
      </c>
      <c r="BK10" s="79">
        <f>((0 + 'BRAWLERS OFICIAL'!BK10)-'BRAWLERS OFICIAL'!BK10)/($BN10/5)</f>
        <v>0</v>
      </c>
      <c r="BL10" s="79">
        <f>((0 + 'BRAWLERS OFICIAL'!BL10)-'BRAWLERS OFICIAL'!BL10)/($BN10/5)</f>
        <v>0</v>
      </c>
      <c r="BN10" s="79">
        <v>20</v>
      </c>
    </row>
    <row r="11" spans="1:66">
      <c r="B11" s="77" t="s">
        <v>405</v>
      </c>
      <c r="C11" s="67" t="s">
        <v>15</v>
      </c>
      <c r="D11" s="79">
        <f>((0 + 'BRAWLERS OFICIAL'!D11)-'BRAWLERS OFICIAL'!D11)/($BN11/5)</f>
        <v>0</v>
      </c>
      <c r="E11" s="79">
        <f>((0 + 'BRAWLERS OFICIAL'!E11)-'BRAWLERS OFICIAL'!E11)/($BN11/5)</f>
        <v>0</v>
      </c>
      <c r="F11" s="79">
        <f>((0 + 'BRAWLERS OFICIAL'!F11)-'BRAWLERS OFICIAL'!F11)/($BN11/5)</f>
        <v>0</v>
      </c>
      <c r="G11" s="79">
        <f>((0 + 'BRAWLERS OFICIAL'!G11)-'BRAWLERS OFICIAL'!G11)/($BN11/5)</f>
        <v>0</v>
      </c>
      <c r="H11" s="79">
        <f>((0 + 'BRAWLERS OFICIAL'!H11)-'BRAWLERS OFICIAL'!H11)/($BN11/5)</f>
        <v>0</v>
      </c>
      <c r="I11" s="79">
        <f>((0 + 'BRAWLERS OFICIAL'!I11)-'BRAWLERS OFICIAL'!I11)/($BN11/5)</f>
        <v>0</v>
      </c>
      <c r="J11" s="79">
        <f>((0 + 'BRAWLERS OFICIAL'!J11)-'BRAWLERS OFICIAL'!J11)/($BN11/5)</f>
        <v>0</v>
      </c>
      <c r="K11" s="79">
        <f>((0 + 'BRAWLERS OFICIAL'!K11)-'BRAWLERS OFICIAL'!K11)/($BN11/5)</f>
        <v>0</v>
      </c>
      <c r="L11" s="79">
        <f>((0 + 'BRAWLERS OFICIAL'!L11)-'BRAWLERS OFICIAL'!L11)/($BN11/5)</f>
        <v>0</v>
      </c>
      <c r="M11" s="79">
        <f>((0 + 'BRAWLERS OFICIAL'!M11)-'BRAWLERS OFICIAL'!M11)/($BN11/5)</f>
        <v>0</v>
      </c>
      <c r="N11" s="79">
        <f>((0 + 'BRAWLERS OFICIAL'!N11)-'BRAWLERS OFICIAL'!N11)/($BN11/5)</f>
        <v>0</v>
      </c>
      <c r="O11" s="79">
        <f>((0 + 'BRAWLERS OFICIAL'!O11)-'BRAWLERS OFICIAL'!O11)/($BN11/5)</f>
        <v>0</v>
      </c>
      <c r="P11" s="79">
        <f>((0 + 'BRAWLERS OFICIAL'!P11)-'BRAWLERS OFICIAL'!P11)/($BN11/5)</f>
        <v>0</v>
      </c>
      <c r="Q11" s="79">
        <f>((0 + 'BRAWLERS OFICIAL'!Q11)-'BRAWLERS OFICIAL'!Q11)/($BN11/5)</f>
        <v>0</v>
      </c>
      <c r="R11" s="79">
        <f>((0 + 'BRAWLERS OFICIAL'!R11)-'BRAWLERS OFICIAL'!R11)/($BN11/5)</f>
        <v>0</v>
      </c>
      <c r="S11" s="79">
        <f>((0 + 'BRAWLERS OFICIAL'!S11)-'BRAWLERS OFICIAL'!S11)/($BN11/5)</f>
        <v>0</v>
      </c>
      <c r="T11" s="79">
        <f>((0 + 'BRAWLERS OFICIAL'!T11)-'BRAWLERS OFICIAL'!T11)/($BN11/5)</f>
        <v>0</v>
      </c>
      <c r="U11" s="79">
        <f>(0 + 'BRAWLERS OFICIAL'!U11)-'BRAWLERS OFICIAL'!U11</f>
        <v>0</v>
      </c>
      <c r="V11" s="121">
        <f>(( 0 + 'BRAWLERS OFICIAL'!V11 + AN11 + AV11/3.5 )-'BRAWLERS OFICIAL'!V11)/($BN11/5)</f>
        <v>0.504201680672269</v>
      </c>
      <c r="W11" s="80">
        <f>((0 + 'BRAWLERS OFICIAL'!W11)-'BRAWLERS OFICIAL'!W11)/($BN11/5)</f>
        <v>0</v>
      </c>
      <c r="X11" s="80">
        <f>(((8 + 7+ 6)/3)-'BRAWLERS OFICIAL'!X11)</f>
        <v>0.66666666666666696</v>
      </c>
      <c r="Y11" s="80">
        <f>((0 + 'BRAWLERS OFICIAL'!Y11)-'BRAWLERS OFICIAL'!Y11)/($BN11/5)</f>
        <v>0</v>
      </c>
      <c r="Z11" s="80">
        <f>((0 + 'BRAWLERS OFICIAL'!Z11)-'BRAWLERS OFICIAL'!Z11)/($BN11/5)</f>
        <v>0</v>
      </c>
      <c r="AA11" s="80">
        <f>(((0)/4 + 'BRAWLERS OFICIAL'!AA11)-'BRAWLERS OFICIAL'!AA11)/($BN11/5)</f>
        <v>0</v>
      </c>
      <c r="AB11" s="80">
        <f>((2 + 'BRAWLERS OFICIAL'!AB11)-'BRAWLERS OFICIAL'!AB11)/($BN11/5)</f>
        <v>0.58823529411764708</v>
      </c>
      <c r="AC11" s="80">
        <f>((0 + 'BRAWLERS OFICIAL'!AC11)-'BRAWLERS OFICIAL'!AC11)/($BN11/5)</f>
        <v>0</v>
      </c>
      <c r="AD11" s="80">
        <f>((0 + 'BRAWLERS OFICIAL'!AD11)-'BRAWLERS OFICIAL'!AD11)/($BN11/5)</f>
        <v>0</v>
      </c>
      <c r="AE11" s="80">
        <f>((0 + 'BRAWLERS OFICIAL'!AE11)-'BRAWLERS OFICIAL'!AE11)</f>
        <v>0</v>
      </c>
      <c r="AF11" s="80">
        <f>((0 + 'BRAWLERS OFICIAL'!AF11)-'BRAWLERS OFICIAL'!AF11)</f>
        <v>0</v>
      </c>
      <c r="AG11" s="80">
        <f>((0 + 'BRAWLERS OFICIAL'!AG11)-'BRAWLERS OFICIAL'!AG11)</f>
        <v>0</v>
      </c>
      <c r="AH11" s="80">
        <f>((0 + 'BRAWLERS OFICIAL'!AH11)-'BRAWLERS OFICIAL'!AH11)/($BN11/5)</f>
        <v>0</v>
      </c>
      <c r="AI11" s="80">
        <f>((0 + 'BRAWLERS OFICIAL'!AI11)-'BRAWLERS OFICIAL'!AI11)/($BN11/5)</f>
        <v>0</v>
      </c>
      <c r="AJ11" s="80">
        <f>(((BH11/5+1)*AI11 + 'BRAWLERS OFICIAL'!AJ11)-'BRAWLERS OFICIAL'!AJ11)/($BN11/5)</f>
        <v>0</v>
      </c>
      <c r="AK11" s="80">
        <f>IF( 0 = (1-1), (1-1), ((0 + 'BRAWLERS OFICIAL'!AK11)/1.5)-'BRAWLERS OFICIAL'!AK11 )</f>
        <v>0</v>
      </c>
      <c r="AL11" s="80">
        <f t="shared" si="0"/>
        <v>0</v>
      </c>
      <c r="AM11" s="80">
        <f>((0 + 'BRAWLERS OFICIAL'!AM11)-'BRAWLERS OFICIAL'!AM11)/($BN11/5)</f>
        <v>0</v>
      </c>
      <c r="AN11" s="80">
        <f>((0/1000 + 'BRAWLERS OFICIAL'!AN11)-'BRAWLERS OFICIAL'!AN11)</f>
        <v>0</v>
      </c>
      <c r="AO11" s="80">
        <f>((0 + 'BRAWLERS OFICIAL'!AO11)-'BRAWLERS OFICIAL'!AO11)</f>
        <v>0</v>
      </c>
      <c r="AP11" s="80">
        <f>IF( 0 = (1-1), (1-1), ((0 + 'BRAWLERS OFICIAL'!AP11)/1.5) )</f>
        <v>0</v>
      </c>
      <c r="AQ11" s="80">
        <f>IF( 0 = (1-1), (1-1), ((0 + 'BRAWLERS OFICIAL'!AQ11)/1.5) )</f>
        <v>0</v>
      </c>
      <c r="AR11" s="80">
        <f>IF( 0 = (1-1), (1-1), ((0 + 'BRAWLERS OFICIAL'!AR11)/2) )</f>
        <v>0</v>
      </c>
      <c r="AS11" s="80">
        <f>((0 + 'BRAWLERS OFICIAL'!AS11)-'BRAWLERS OFICIAL'!AS11)/($BN11/5)</f>
        <v>0</v>
      </c>
      <c r="AT11" s="80">
        <f>(((0)/4 + 'BRAWLERS OFICIAL'!AT11)-'BRAWLERS OFICIAL'!AT11)</f>
        <v>0</v>
      </c>
      <c r="AU11" s="80">
        <v>0</v>
      </c>
      <c r="AV11" s="79">
        <f>((( 6 + 3 + 9 )/3 + 'BRAWLERS OFICIAL'!AV11)-'BRAWLERS OFICIAL'!AV11)</f>
        <v>6</v>
      </c>
      <c r="AW11" s="79">
        <f>((( 0 )/2 + 'BRAWLERS OFICIAL'!AW11)-'BRAWLERS OFICIAL'!AW11)/($BN11/5)</f>
        <v>0</v>
      </c>
      <c r="AX11" s="79">
        <f>((( 0 )/2 + 'BRAWLERS OFICIAL'!AX11)-'BRAWLERS OFICIAL'!AX11)</f>
        <v>0</v>
      </c>
      <c r="AY11" s="79">
        <f>((( 0 )/3 + 'BRAWLERS OFICIAL'!AY11)-'BRAWLERS OFICIAL'!AY11)</f>
        <v>0</v>
      </c>
      <c r="AZ11" s="79">
        <f>((( 0 )/2 + 'BRAWLERS OFICIAL'!AZ11)-'BRAWLERS OFICIAL'!AZ11)/($BN11/5)</f>
        <v>0</v>
      </c>
      <c r="BA11" s="79">
        <f>((( 0 )/3 + 'BRAWLERS OFICIAL'!BA11)-'BRAWLERS OFICIAL'!BA11)</f>
        <v>0</v>
      </c>
      <c r="BB11" s="79">
        <f>((( 0 )/3 + 'BRAWLERS OFICIAL'!BB11)-'BRAWLERS OFICIAL'!BB11)</f>
        <v>0</v>
      </c>
      <c r="BC11" s="79">
        <f>((0 + 'BRAWLERS OFICIAL'!BC11)-'BRAWLERS OFICIAL'!BC11)/($BN11/5)</f>
        <v>0</v>
      </c>
      <c r="BD11" s="79">
        <f>((0 + 'BRAWLERS OFICIAL'!BD11)-'BRAWLERS OFICIAL'!BD11)/($BN11/5)</f>
        <v>0</v>
      </c>
      <c r="BE11" s="79">
        <f>((( 0 )/2 + 'BRAWLERS OFICIAL'!BE11)-'BRAWLERS OFICIAL'!BE11)</f>
        <v>0</v>
      </c>
      <c r="BF11" s="79">
        <f>((1 + 'BRAWLERS OFICIAL'!BF11)-'BRAWLERS OFICIAL'!BF11)/($BN11/5)</f>
        <v>0.29411764705882354</v>
      </c>
      <c r="BG11" s="79">
        <f>((( 0 )/2 + 'BRAWLERS OFICIAL'!BG11)-'BRAWLERS OFICIAL'!BG11)</f>
        <v>0</v>
      </c>
      <c r="BH11" s="79">
        <f>((( 0 )/3 + 'BRAWLERS OFICIAL'!BH11)-'BRAWLERS OFICIAL'!BH11)</f>
        <v>0</v>
      </c>
      <c r="BI11" s="79">
        <f>((( 0 )/2 + 'BRAWLERS OFICIAL'!BI11)-'BRAWLERS OFICIAL'!BI11)</f>
        <v>0</v>
      </c>
      <c r="BJ11" s="79">
        <f>((2 + 'BRAWLERS OFICIAL'!BJ11)-'BRAWLERS OFICIAL'!BJ11)/($BN11/5)</f>
        <v>0.58823529411764708</v>
      </c>
      <c r="BK11" s="79">
        <f>((0 + 'BRAWLERS OFICIAL'!BK11)-'BRAWLERS OFICIAL'!BK11)/($BN11/5)</f>
        <v>0</v>
      </c>
      <c r="BL11" s="79">
        <f>((0 + 'BRAWLERS OFICIAL'!BL11)-'BRAWLERS OFICIAL'!BL11)/($BN11/5)</f>
        <v>0</v>
      </c>
      <c r="BN11" s="79">
        <v>17</v>
      </c>
    </row>
    <row r="12" spans="1:66">
      <c r="B12" s="77" t="s">
        <v>406</v>
      </c>
      <c r="C12" s="81" t="s">
        <v>43</v>
      </c>
      <c r="D12" s="79">
        <f>((0 + 'BRAWLERS OFICIAL'!D12)-'BRAWLERS OFICIAL'!D12)/($BN12/5)</f>
        <v>0</v>
      </c>
      <c r="E12" s="79">
        <f>((0 + 'BRAWLERS OFICIAL'!E12)-'BRAWLERS OFICIAL'!E12)/($BN12/5)</f>
        <v>0</v>
      </c>
      <c r="F12" s="79">
        <f>((0 + 'BRAWLERS OFICIAL'!F12)-'BRAWLERS OFICIAL'!F12)/($BN12/5)</f>
        <v>0</v>
      </c>
      <c r="G12" s="79">
        <f>((0 + 'BRAWLERS OFICIAL'!G12)-'BRAWLERS OFICIAL'!G12)/($BN12/5)</f>
        <v>0</v>
      </c>
      <c r="H12" s="79">
        <f>((0.5 + 'BRAWLERS OFICIAL'!H12)-'BRAWLERS OFICIAL'!H12)/($BN12/5)</f>
        <v>0.15625</v>
      </c>
      <c r="I12" s="79">
        <f>((0.5 + 'BRAWLERS OFICIAL'!I12)-'BRAWLERS OFICIAL'!I12)/($BN12/5)</f>
        <v>0.15625</v>
      </c>
      <c r="J12" s="79">
        <f>((0.5 + 'BRAWLERS OFICIAL'!J12)-'BRAWLERS OFICIAL'!J12)/($BN12/5)</f>
        <v>0.15625</v>
      </c>
      <c r="K12" s="79">
        <f>((0 + 'BRAWLERS OFICIAL'!K12)-'BRAWLERS OFICIAL'!K12)/($BN12/5)</f>
        <v>0</v>
      </c>
      <c r="L12" s="79">
        <f>((0 + 'BRAWLERS OFICIAL'!L12)-'BRAWLERS OFICIAL'!L12)/($BN12/5)</f>
        <v>0</v>
      </c>
      <c r="M12" s="79">
        <f>((0 + 'BRAWLERS OFICIAL'!M12)-'BRAWLERS OFICIAL'!M12)/($BN12/5)</f>
        <v>0</v>
      </c>
      <c r="N12" s="79">
        <f>((0 + 'BRAWLERS OFICIAL'!N12)-'BRAWLERS OFICIAL'!N12)/($BN12/5)</f>
        <v>0</v>
      </c>
      <c r="O12" s="79">
        <f>((0 + 'BRAWLERS OFICIAL'!O12)-'BRAWLERS OFICIAL'!O12)/($BN12/5)</f>
        <v>0</v>
      </c>
      <c r="P12" s="79">
        <f>((0 + 'BRAWLERS OFICIAL'!P12)-'BRAWLERS OFICIAL'!P12)/($BN12/5)</f>
        <v>0</v>
      </c>
      <c r="Q12" s="79">
        <f>((0 + 'BRAWLERS OFICIAL'!Q12)-'BRAWLERS OFICIAL'!Q12)/($BN12/5)</f>
        <v>0</v>
      </c>
      <c r="R12" s="79">
        <f>((0 + 'BRAWLERS OFICIAL'!R12)-'BRAWLERS OFICIAL'!R12)/($BN12/5)</f>
        <v>0</v>
      </c>
      <c r="S12" s="79">
        <f>((0 + 'BRAWLERS OFICIAL'!S12)-'BRAWLERS OFICIAL'!S12)/($BN12/5)</f>
        <v>0</v>
      </c>
      <c r="T12" s="79">
        <f>((0 + 'BRAWLERS OFICIAL'!T12)-'BRAWLERS OFICIAL'!T12)/($BN12/5)</f>
        <v>0</v>
      </c>
      <c r="U12" s="79">
        <f>(0 + 'BRAWLERS OFICIAL'!U12)-'BRAWLERS OFICIAL'!U12</f>
        <v>0</v>
      </c>
      <c r="V12" s="121">
        <f>(( AVERAGE(200, 2000)/1400 + 'BRAWLERS OFICIAL'!V12 + AN12 + AV12/3.5 )-'BRAWLERS OFICIAL'!V12)/($BN12/5)</f>
        <v>0.24553571428571452</v>
      </c>
      <c r="W12" s="80">
        <f>((0 + 'BRAWLERS OFICIAL'!W12)-'BRAWLERS OFICIAL'!W12)/($BN12/5)</f>
        <v>0</v>
      </c>
      <c r="X12" s="80">
        <f>(((0)/3 + 'BRAWLERS OFICIAL'!X12)-'BRAWLERS OFICIAL'!X12)</f>
        <v>0</v>
      </c>
      <c r="Y12" s="80">
        <f>((0 + 'BRAWLERS OFICIAL'!Y12)-'BRAWLERS OFICIAL'!Y12)/($BN12/5)</f>
        <v>0</v>
      </c>
      <c r="Z12" s="80">
        <f>((0 + 'BRAWLERS OFICIAL'!Z12)-'BRAWLERS OFICIAL'!Z12)/($BN12/5)</f>
        <v>0</v>
      </c>
      <c r="AA12" s="80">
        <f>(((0)/4 + 'BRAWLERS OFICIAL'!AA12)-'BRAWLERS OFICIAL'!AA12)/($BN12/5)</f>
        <v>0</v>
      </c>
      <c r="AB12" s="80">
        <f>((0 + 'BRAWLERS OFICIAL'!AB12)-'BRAWLERS OFICIAL'!AB12)/($BN12/5)</f>
        <v>0</v>
      </c>
      <c r="AC12" s="80">
        <f>((0 + 'BRAWLERS OFICIAL'!AC12)-'BRAWLERS OFICIAL'!AC12)/($BN12/5)</f>
        <v>0</v>
      </c>
      <c r="AD12" s="80">
        <f>((0 + 'BRAWLERS OFICIAL'!AD12)-'BRAWLERS OFICIAL'!AD12)/($BN12/5)</f>
        <v>0</v>
      </c>
      <c r="AE12" s="80">
        <f>((0 + 'BRAWLERS OFICIAL'!AE12)-'BRAWLERS OFICIAL'!AE12)</f>
        <v>0</v>
      </c>
      <c r="AF12" s="80">
        <f>((0 + 'BRAWLERS OFICIAL'!AF12)-'BRAWLERS OFICIAL'!AF12)</f>
        <v>0</v>
      </c>
      <c r="AG12" s="80">
        <f>((0 + 'BRAWLERS OFICIAL'!AG12)-'BRAWLERS OFICIAL'!AG12)</f>
        <v>0</v>
      </c>
      <c r="AH12" s="80">
        <f>((0 + 'BRAWLERS OFICIAL'!AH12)-'BRAWLERS OFICIAL'!AH12)/($BN12/5)</f>
        <v>0</v>
      </c>
      <c r="AI12" s="80">
        <f>((0 + 'BRAWLERS OFICIAL'!AI12)-'BRAWLERS OFICIAL'!AI12)/($BN12/5)</f>
        <v>0</v>
      </c>
      <c r="AJ12" s="80">
        <f>(((BH12/5+1)*AI12 + 'BRAWLERS OFICIAL'!AJ12)-'BRAWLERS OFICIAL'!AJ12)/($BN12/5)</f>
        <v>0</v>
      </c>
      <c r="AK12" s="80">
        <f>IF( 0 = (1-1), (1-1), ((0 + 'BRAWLERS OFICIAL'!AK12)/1.5)-'BRAWLERS OFICIAL'!AK12 )</f>
        <v>0</v>
      </c>
      <c r="AL12" s="80">
        <f t="shared" si="0"/>
        <v>0</v>
      </c>
      <c r="AM12" s="80">
        <f>((0 + 'BRAWLERS OFICIAL'!AM12)-'BRAWLERS OFICIAL'!AM12)/($BN12/5)</f>
        <v>0</v>
      </c>
      <c r="AN12" s="80">
        <f>((0/1000 + 'BRAWLERS OFICIAL'!AN12)-'BRAWLERS OFICIAL'!AN12)</f>
        <v>0</v>
      </c>
      <c r="AO12" s="80">
        <f>((0 + 'BRAWLERS OFICIAL'!AO12)-'BRAWLERS OFICIAL'!AO12)</f>
        <v>0</v>
      </c>
      <c r="AP12" s="80">
        <f>IF( 0 = (1-1), (1-1), ((0 + 'BRAWLERS OFICIAL'!AP12)/1.5) )</f>
        <v>0</v>
      </c>
      <c r="AQ12" s="80">
        <f>IF( 0 = (1-1), (1-1), ((0 + 'BRAWLERS OFICIAL'!AQ12)/1.5) )</f>
        <v>0</v>
      </c>
      <c r="AR12" s="80">
        <f>IF( 0 = (1-1), (1-1), ((0 + 'BRAWLERS OFICIAL'!AR12)/2) )</f>
        <v>0</v>
      </c>
      <c r="AS12" s="80">
        <f>((0 + 'BRAWLERS OFICIAL'!AS12)-'BRAWLERS OFICIAL'!AS12)/($BN12/5)</f>
        <v>0</v>
      </c>
      <c r="AT12" s="80">
        <f>(((0)/4 + 'BRAWLERS OFICIAL'!AT12)-'BRAWLERS OFICIAL'!AT12)</f>
        <v>0</v>
      </c>
      <c r="AU12" s="80">
        <v>2.5</v>
      </c>
      <c r="AV12" s="79">
        <f>((( 0 )/3 + 'BRAWLERS OFICIAL'!AV12)-'BRAWLERS OFICIAL'!AV12)</f>
        <v>0</v>
      </c>
      <c r="AW12" s="79">
        <f>((( 0 )/2 + 'BRAWLERS OFICIAL'!AW12)-'BRAWLERS OFICIAL'!AW12)/($BN12/5)</f>
        <v>0</v>
      </c>
      <c r="AX12" s="79">
        <f>((( 0 )/2 + 'BRAWLERS OFICIAL'!AX12)-'BRAWLERS OFICIAL'!AX12)</f>
        <v>0</v>
      </c>
      <c r="AY12" s="79">
        <f>((( 0 )/3 + 'BRAWLERS OFICIAL'!AY12)-'BRAWLERS OFICIAL'!AY12)</f>
        <v>0</v>
      </c>
      <c r="AZ12" s="79">
        <f>((( 0 )/2 + 'BRAWLERS OFICIAL'!AZ12)-'BRAWLERS OFICIAL'!AZ12)/($BN12/5)</f>
        <v>0</v>
      </c>
      <c r="BA12" s="79">
        <f>((( 0 )/3 + 'BRAWLERS OFICIAL'!BA12)-'BRAWLERS OFICIAL'!BA12)</f>
        <v>0</v>
      </c>
      <c r="BB12" s="79">
        <f>((( 0 )/3 + 'BRAWLERS OFICIAL'!BB12)-'BRAWLERS OFICIAL'!BB12)</f>
        <v>0</v>
      </c>
      <c r="BC12" s="79">
        <f>((0 + 'BRAWLERS OFICIAL'!BC12)-'BRAWLERS OFICIAL'!BC12)/($BN12/5)</f>
        <v>0</v>
      </c>
      <c r="BD12" s="79">
        <f>((0 + 'BRAWLERS OFICIAL'!BD12)-'BRAWLERS OFICIAL'!BD12)/($BN12/5)</f>
        <v>0</v>
      </c>
      <c r="BE12" s="79">
        <f>((( 0 )/2 + 'BRAWLERS OFICIAL'!BE12)-'BRAWLERS OFICIAL'!BE12)</f>
        <v>0</v>
      </c>
      <c r="BF12" s="79">
        <f>((0 + 'BRAWLERS OFICIAL'!BF12)-'BRAWLERS OFICIAL'!BF12)/($BN12/5)</f>
        <v>0</v>
      </c>
      <c r="BG12" s="79">
        <f>((( 8 + 6 )/2 + 'BRAWLERS OFICIAL'!BG12)-'BRAWLERS OFICIAL'!BG12)</f>
        <v>7</v>
      </c>
      <c r="BH12" s="79">
        <f>((( 0 )/3 + 'BRAWLERS OFICIAL'!BH12)-'BRAWLERS OFICIAL'!BH12)</f>
        <v>0</v>
      </c>
      <c r="BI12" s="79">
        <f>((( 8 + 6 )/2 + 'BRAWLERS OFICIAL'!BI12)-'BRAWLERS OFICIAL'!BI12)</f>
        <v>7</v>
      </c>
      <c r="BJ12" s="79">
        <f>((0 + 'BRAWLERS OFICIAL'!BJ12)-'BRAWLERS OFICIAL'!BJ12)/($BN12/5)</f>
        <v>0</v>
      </c>
      <c r="BK12" s="79">
        <f>((7 + 'BRAWLERS OFICIAL'!BK12)-'BRAWLERS OFICIAL'!BK12)/($BN12/5)</f>
        <v>2.1875</v>
      </c>
      <c r="BL12" s="79">
        <f>((0 + 'BRAWLERS OFICIAL'!BL12)-'BRAWLERS OFICIAL'!BL12)/($BN12/5)</f>
        <v>0</v>
      </c>
      <c r="BN12" s="79">
        <v>16</v>
      </c>
    </row>
    <row r="13" spans="1:66">
      <c r="B13" s="77" t="s">
        <v>407</v>
      </c>
      <c r="C13" s="67" t="s">
        <v>93</v>
      </c>
      <c r="D13" s="79">
        <f>((0 + 'BRAWLERS OFICIAL'!D13)-'BRAWLERS OFICIAL'!D13)/($BN13/5)</f>
        <v>0</v>
      </c>
      <c r="E13" s="79">
        <f>((0 + 'BRAWLERS OFICIAL'!E13)-'BRAWLERS OFICIAL'!E13)/($BN13/5)</f>
        <v>0</v>
      </c>
      <c r="F13" s="79">
        <f>((0 + 'BRAWLERS OFICIAL'!F13)-'BRAWLERS OFICIAL'!F13)/($BN13/5)</f>
        <v>0</v>
      </c>
      <c r="G13" s="79">
        <f>((0 + 'BRAWLERS OFICIAL'!G13)-'BRAWLERS OFICIAL'!G13)/($BN13/5)</f>
        <v>0</v>
      </c>
      <c r="H13" s="79">
        <f>((0 + 'BRAWLERS OFICIAL'!H13)-'BRAWLERS OFICIAL'!H13)/($BN13/5)</f>
        <v>0</v>
      </c>
      <c r="I13" s="79">
        <f>((0 + 'BRAWLERS OFICIAL'!I13)-'BRAWLERS OFICIAL'!I13)/($BN13/5)</f>
        <v>0</v>
      </c>
      <c r="J13" s="79">
        <f>((0 + 'BRAWLERS OFICIAL'!J13)-'BRAWLERS OFICIAL'!J13)/($BN13/5)</f>
        <v>0</v>
      </c>
      <c r="K13" s="79">
        <f>((0 + 'BRAWLERS OFICIAL'!K13)-'BRAWLERS OFICIAL'!K13)/($BN13/5)</f>
        <v>0</v>
      </c>
      <c r="L13" s="79">
        <f>((0 + 'BRAWLERS OFICIAL'!L13)-'BRAWLERS OFICIAL'!L13)/($BN13/5)</f>
        <v>0</v>
      </c>
      <c r="M13" s="79">
        <f>((0 + 'BRAWLERS OFICIAL'!M13)-'BRAWLERS OFICIAL'!M13)/($BN13/5)</f>
        <v>0</v>
      </c>
      <c r="N13" s="79">
        <f>((0 + 'BRAWLERS OFICIAL'!N13)-'BRAWLERS OFICIAL'!N13)/($BN13/5)</f>
        <v>0</v>
      </c>
      <c r="O13" s="79">
        <f>((0 + 'BRAWLERS OFICIAL'!O13)-'BRAWLERS OFICIAL'!O13)/($BN13/5)</f>
        <v>0</v>
      </c>
      <c r="P13" s="79">
        <f>((0 + 'BRAWLERS OFICIAL'!P13)-'BRAWLERS OFICIAL'!P13)/($BN13/5)</f>
        <v>0</v>
      </c>
      <c r="Q13" s="79">
        <f>((0 + 'BRAWLERS OFICIAL'!Q13)-'BRAWLERS OFICIAL'!Q13)/($BN13/5)</f>
        <v>0</v>
      </c>
      <c r="R13" s="79">
        <f>((0 + 'BRAWLERS OFICIAL'!R13)-'BRAWLERS OFICIAL'!R13)/($BN13/5)</f>
        <v>0</v>
      </c>
      <c r="S13" s="79">
        <f>((0 + 'BRAWLERS OFICIAL'!S13)-'BRAWLERS OFICIAL'!S13)/($BN13/5)</f>
        <v>0</v>
      </c>
      <c r="T13" s="79">
        <f>((0 + 'BRAWLERS OFICIAL'!T13)-'BRAWLERS OFICIAL'!T13)/($BN13/5)</f>
        <v>0</v>
      </c>
      <c r="U13" s="79">
        <f>(0 + 'BRAWLERS OFICIAL'!U13)-'BRAWLERS OFICIAL'!U13</f>
        <v>0</v>
      </c>
      <c r="V13" s="121">
        <f>(( 0 + 'BRAWLERS OFICIAL'!V13 + AN13 + (7 + 8 + 5)/3/3.5 )-'BRAWLERS OFICIAL'!V13)/($BN13/5)</f>
        <v>0.8658008658008659</v>
      </c>
      <c r="W13" s="80">
        <f>((0 + 'BRAWLERS OFICIAL'!W13)-'BRAWLERS OFICIAL'!W13)/($BN13/5)</f>
        <v>0</v>
      </c>
      <c r="X13" s="80">
        <f>(((0)/3 + 'BRAWLERS OFICIAL'!X13)-'BRAWLERS OFICIAL'!X13)</f>
        <v>0</v>
      </c>
      <c r="Y13" s="80">
        <f>((0 + 'BRAWLERS OFICIAL'!Y13)-'BRAWLERS OFICIAL'!Y13)/($BN13/5)</f>
        <v>0</v>
      </c>
      <c r="Z13" s="80">
        <f>((0 + 'BRAWLERS OFICIAL'!Z13)-'BRAWLERS OFICIAL'!Z13)/($BN13/5)</f>
        <v>0</v>
      </c>
      <c r="AA13" s="80">
        <f>(((0)/4 + 'BRAWLERS OFICIAL'!AA13)-'BRAWLERS OFICIAL'!AA13)/($BN13/5)</f>
        <v>0</v>
      </c>
      <c r="AB13" s="80">
        <f>((0 + 'BRAWLERS OFICIAL'!AB13)-'BRAWLERS OFICIAL'!AB13)/($BN13/5)</f>
        <v>0</v>
      </c>
      <c r="AC13" s="80">
        <f>((0 + 'BRAWLERS OFICIAL'!AC13)-'BRAWLERS OFICIAL'!AC13)/($BN13/5)</f>
        <v>0</v>
      </c>
      <c r="AD13" s="80">
        <f>((0 + 'BRAWLERS OFICIAL'!AD13)-'BRAWLERS OFICIAL'!AD13)/($BN13/5)</f>
        <v>0</v>
      </c>
      <c r="AE13" s="80">
        <f>((0 + 'BRAWLERS OFICIAL'!AE13)-'BRAWLERS OFICIAL'!AE13)</f>
        <v>0</v>
      </c>
      <c r="AF13" s="80">
        <f>((0 + 'BRAWLERS OFICIAL'!AF13)-'BRAWLERS OFICIAL'!AF13)</f>
        <v>0</v>
      </c>
      <c r="AG13" s="80">
        <f>((0 + 'BRAWLERS OFICIAL'!AG13)-'BRAWLERS OFICIAL'!AG13)</f>
        <v>0</v>
      </c>
      <c r="AH13" s="80">
        <f>((0 + 'BRAWLERS OFICIAL'!AH13)-'BRAWLERS OFICIAL'!AH13)/($BN13/5)</f>
        <v>0</v>
      </c>
      <c r="AI13" s="80">
        <f>((0 + 'BRAWLERS OFICIAL'!AI13)-'BRAWLERS OFICIAL'!AI13)/($BN13/5)</f>
        <v>0</v>
      </c>
      <c r="AJ13" s="80">
        <f>(((BH13/5+1)*AI13 + 'BRAWLERS OFICIAL'!AJ13)-'BRAWLERS OFICIAL'!AJ13)/($BN13/5)</f>
        <v>0</v>
      </c>
      <c r="AK13" s="80">
        <f>IF( 0 = (1-1), (1-1), ((0 + 'BRAWLERS OFICIAL'!AK13)/1.5)-'BRAWLERS OFICIAL'!AK13 )</f>
        <v>0</v>
      </c>
      <c r="AL13" s="80">
        <f t="shared" si="0"/>
        <v>0</v>
      </c>
      <c r="AM13" s="80">
        <f>((0 + 'BRAWLERS OFICIAL'!AM13)-'BRAWLERS OFICIAL'!AM13)/($BN13/5)</f>
        <v>0</v>
      </c>
      <c r="AN13" s="80">
        <f>((0/1000 + 'BRAWLERS OFICIAL'!AN13)-'BRAWLERS OFICIAL'!AN13)</f>
        <v>0</v>
      </c>
      <c r="AO13" s="80">
        <f>((0 + 'BRAWLERS OFICIAL'!AO13)-'BRAWLERS OFICIAL'!AO13)</f>
        <v>0</v>
      </c>
      <c r="AP13" s="80">
        <f>IF( 0 = (1-1), (1-1), ((0 + 'BRAWLERS OFICIAL'!AP13)/1.5) )</f>
        <v>0</v>
      </c>
      <c r="AQ13" s="80">
        <f>IF( 0 = (1-1), (1-1), ((0 + 'BRAWLERS OFICIAL'!AQ13)/1.5) )</f>
        <v>0</v>
      </c>
      <c r="AR13" s="80">
        <f>IF( 0 = (1-1), (1-1), ((0 + 'BRAWLERS OFICIAL'!AR13)/2) )</f>
        <v>0</v>
      </c>
      <c r="AS13" s="80">
        <f>((0 + 'BRAWLERS OFICIAL'!AS13)-'BRAWLERS OFICIAL'!AS13)/($BN13/5)</f>
        <v>0</v>
      </c>
      <c r="AT13" s="80">
        <f>(((0)/4 + 'BRAWLERS OFICIAL'!AT13)-'BRAWLERS OFICIAL'!AT13)</f>
        <v>0</v>
      </c>
      <c r="AU13" s="80">
        <v>2.5</v>
      </c>
      <c r="AV13" s="79">
        <f>((( 0 )/3 + 'BRAWLERS OFICIAL'!AV13)-'BRAWLERS OFICIAL'!AV13)</f>
        <v>0</v>
      </c>
      <c r="AW13" s="79">
        <f>((( 0 )/2 + 'BRAWLERS OFICIAL'!AW13)-'BRAWLERS OFICIAL'!AW13)/($BN13/5)</f>
        <v>0</v>
      </c>
      <c r="AX13" s="79">
        <f>((( 0 )/2 + 'BRAWLERS OFICIAL'!AX13)-'BRAWLERS OFICIAL'!AX13)</f>
        <v>0</v>
      </c>
      <c r="AY13" s="79">
        <f>((( 0 )/3 + 'BRAWLERS OFICIAL'!AY13)-'BRAWLERS OFICIAL'!AY13)</f>
        <v>0</v>
      </c>
      <c r="AZ13" s="79">
        <f>((( 0 )/2 + 'BRAWLERS OFICIAL'!AZ13)-'BRAWLERS OFICIAL'!AZ13)/($BN13/5)</f>
        <v>0</v>
      </c>
      <c r="BA13" s="79">
        <f>((( 0 )/3 + 'BRAWLERS OFICIAL'!BA13)-'BRAWLERS OFICIAL'!BA13)</f>
        <v>0</v>
      </c>
      <c r="BB13" s="79">
        <f>((( 0 )/3 + 'BRAWLERS OFICIAL'!BB13)-'BRAWLERS OFICIAL'!BB13)</f>
        <v>0</v>
      </c>
      <c r="BC13" s="79">
        <f>((0 + 'BRAWLERS OFICIAL'!BC13)-'BRAWLERS OFICIAL'!BC13)/($BN13/5)</f>
        <v>0</v>
      </c>
      <c r="BD13" s="79">
        <f>((0 + 'BRAWLERS OFICIAL'!BD13)-'BRAWLERS OFICIAL'!BD13)/($BN13/5)</f>
        <v>0</v>
      </c>
      <c r="BE13" s="79">
        <f>((( 0 )/2 + 'BRAWLERS OFICIAL'!BE13)-'BRAWLERS OFICIAL'!BE13)</f>
        <v>0</v>
      </c>
      <c r="BF13" s="79">
        <f>((0 + 'BRAWLERS OFICIAL'!BF13)-'BRAWLERS OFICIAL'!BF13)/($BN13/5)</f>
        <v>0</v>
      </c>
      <c r="BG13" s="79">
        <f>((( 0 )/2 + 'BRAWLERS OFICIAL'!BG13)-'BRAWLERS OFICIAL'!BG13)</f>
        <v>0</v>
      </c>
      <c r="BH13" s="79">
        <f>((( 0 )/3 + 'BRAWLERS OFICIAL'!BH13)-'BRAWLERS OFICIAL'!BH13)</f>
        <v>0</v>
      </c>
      <c r="BI13" s="79">
        <f>((( 0 )/2 + 'BRAWLERS OFICIAL'!BI13)-'BRAWLERS OFICIAL'!BI13)</f>
        <v>0</v>
      </c>
      <c r="BJ13" s="79">
        <f>((0 + 'BRAWLERS OFICIAL'!BJ13)-'BRAWLERS OFICIAL'!BJ13)/($BN13/5)</f>
        <v>0</v>
      </c>
      <c r="BK13" s="79">
        <f>((-2 + 'BRAWLERS OFICIAL'!BK13)-'BRAWLERS OFICIAL'!BK13)/($BN13/5)</f>
        <v>-0.90909090909090906</v>
      </c>
      <c r="BL13" s="79">
        <f>((0 + 'BRAWLERS OFICIAL'!BL13)-'BRAWLERS OFICIAL'!BL13)/($BN13/5)</f>
        <v>0</v>
      </c>
      <c r="BN13" s="79">
        <v>11</v>
      </c>
    </row>
    <row r="14" spans="1:66">
      <c r="B14" s="77" t="s">
        <v>408</v>
      </c>
      <c r="C14" s="81" t="s">
        <v>53</v>
      </c>
      <c r="D14" s="79">
        <f>((0 + 'BRAWLERS OFICIAL'!D14)-'BRAWLERS OFICIAL'!D14)/($BN14/5)</f>
        <v>0</v>
      </c>
      <c r="E14" s="79">
        <f>((0 + 'BRAWLERS OFICIAL'!E14)-'BRAWLERS OFICIAL'!E14)/($BN14/5)</f>
        <v>0</v>
      </c>
      <c r="F14" s="79">
        <f>((0 + 'BRAWLERS OFICIAL'!F14)-'BRAWLERS OFICIAL'!F14)/($BN14/5)</f>
        <v>0</v>
      </c>
      <c r="G14" s="79">
        <f>((0 + 'BRAWLERS OFICIAL'!G14)-'BRAWLERS OFICIAL'!G14)/($BN14/5)</f>
        <v>0</v>
      </c>
      <c r="H14" s="79">
        <f>((0 + 'BRAWLERS OFICIAL'!H14)-'BRAWLERS OFICIAL'!H14)/($BN14/5)</f>
        <v>0</v>
      </c>
      <c r="I14" s="79">
        <f>((0 + 'BRAWLERS OFICIAL'!I14)-'BRAWLERS OFICIAL'!I14)/($BN14/5)</f>
        <v>0</v>
      </c>
      <c r="J14" s="79">
        <f>((0 + 'BRAWLERS OFICIAL'!J14)-'BRAWLERS OFICIAL'!J14)/($BN14/5)</f>
        <v>0</v>
      </c>
      <c r="K14" s="79">
        <f>((0 + 'BRAWLERS OFICIAL'!K14)-'BRAWLERS OFICIAL'!K14)/($BN14/5)</f>
        <v>0</v>
      </c>
      <c r="L14" s="79">
        <f>((0 + 'BRAWLERS OFICIAL'!L14)-'BRAWLERS OFICIAL'!L14)/($BN14/5)</f>
        <v>0</v>
      </c>
      <c r="M14" s="79">
        <f>((0 + 'BRAWLERS OFICIAL'!M14)-'BRAWLERS OFICIAL'!M14)/($BN14/5)</f>
        <v>0</v>
      </c>
      <c r="N14" s="79">
        <f>((0 + 'BRAWLERS OFICIAL'!N14)-'BRAWLERS OFICIAL'!N14)/($BN14/5)</f>
        <v>0</v>
      </c>
      <c r="O14" s="79">
        <f>((0 + 'BRAWLERS OFICIAL'!O14)-'BRAWLERS OFICIAL'!O14)/($BN14/5)</f>
        <v>0</v>
      </c>
      <c r="P14" s="79">
        <f>((0 + 'BRAWLERS OFICIAL'!P14)-'BRAWLERS OFICIAL'!P14)/($BN14/5)</f>
        <v>0</v>
      </c>
      <c r="Q14" s="79">
        <f>((0 + 'BRAWLERS OFICIAL'!Q14)-'BRAWLERS OFICIAL'!Q14)/($BN14/5)</f>
        <v>0</v>
      </c>
      <c r="R14" s="79">
        <f>((0 + 'BRAWLERS OFICIAL'!R14)-'BRAWLERS OFICIAL'!R14)/($BN14/5)</f>
        <v>0</v>
      </c>
      <c r="S14" s="79">
        <f>((0 + 'BRAWLERS OFICIAL'!S14)-'BRAWLERS OFICIAL'!S14)/($BN14/5)</f>
        <v>0</v>
      </c>
      <c r="T14" s="79">
        <f>((0 + 'BRAWLERS OFICIAL'!T14)-'BRAWLERS OFICIAL'!T14)/($BN14/5)</f>
        <v>0</v>
      </c>
      <c r="U14" s="79">
        <f>(0 + 'BRAWLERS OFICIAL'!U14)-'BRAWLERS OFICIAL'!U14</f>
        <v>0</v>
      </c>
      <c r="V14" s="121">
        <f>(( 0 + 'BRAWLERS OFICIAL'!V14 + AN14 + AV14/3.5 )-'BRAWLERS OFICIAL'!V14)/($BN14/5)</f>
        <v>0</v>
      </c>
      <c r="W14" s="80">
        <f>((0 + 'BRAWLERS OFICIAL'!W14)-'BRAWLERS OFICIAL'!W14)/($BN14/5)</f>
        <v>0</v>
      </c>
      <c r="X14" s="80">
        <f>(((0)/3 + 'BRAWLERS OFICIAL'!X14)-'BRAWLERS OFICIAL'!X14)</f>
        <v>0</v>
      </c>
      <c r="Y14" s="80">
        <f>((0 + 'BRAWLERS OFICIAL'!Y14)-'BRAWLERS OFICIAL'!Y14)/($BN14/5)</f>
        <v>0</v>
      </c>
      <c r="Z14" s="80">
        <f>((0 + 'BRAWLERS OFICIAL'!Z14)-'BRAWLERS OFICIAL'!Z14)/($BN14/5)</f>
        <v>0</v>
      </c>
      <c r="AA14" s="80">
        <f>(((0)/4 + 'BRAWLERS OFICIAL'!AA14)-'BRAWLERS OFICIAL'!AA14)/($BN14/5)</f>
        <v>0</v>
      </c>
      <c r="AB14" s="80">
        <f>((0 + 'BRAWLERS OFICIAL'!AB14)-'BRAWLERS OFICIAL'!AB14)/($BN14/5)</f>
        <v>0</v>
      </c>
      <c r="AC14" s="80">
        <f>((0 + 'BRAWLERS OFICIAL'!AC14)-'BRAWLERS OFICIAL'!AC14)/($BN14/5)</f>
        <v>0</v>
      </c>
      <c r="AD14" s="80">
        <f>((0 + 'BRAWLERS OFICIAL'!AD14)-'BRAWLERS OFICIAL'!AD14)/($BN14/5)</f>
        <v>0</v>
      </c>
      <c r="AE14" s="80">
        <f>((0 + 'BRAWLERS OFICIAL'!AE14)-'BRAWLERS OFICIAL'!AE14)</f>
        <v>0</v>
      </c>
      <c r="AF14" s="80">
        <f>((0 + 'BRAWLERS OFICIAL'!AF14)-'BRAWLERS OFICIAL'!AF14)</f>
        <v>0</v>
      </c>
      <c r="AG14" s="80">
        <f>((0 + 'BRAWLERS OFICIAL'!AG14)-'BRAWLERS OFICIAL'!AG14)</f>
        <v>0</v>
      </c>
      <c r="AH14" s="80">
        <f>((4 + 'BRAWLERS OFICIAL'!AH14)-'BRAWLERS OFICIAL'!AH14)/($BN14/5)</f>
        <v>1.3333333333333333</v>
      </c>
      <c r="AI14" s="80">
        <f>((0 + 'BRAWLERS OFICIAL'!AI14)-'BRAWLERS OFICIAL'!AI14)/($BN14/5)</f>
        <v>0</v>
      </c>
      <c r="AJ14" s="80">
        <f>(((BH14/5+1)*AI14 + 'BRAWLERS OFICIAL'!AJ14)-'BRAWLERS OFICIAL'!AJ14)/($BN14/5)</f>
        <v>0</v>
      </c>
      <c r="AK14" s="80">
        <f>IF( 0 = (1-1), (1-1), ((0 + 'BRAWLERS OFICIAL'!AK14)/1.5)-'BRAWLERS OFICIAL'!AK14 )</f>
        <v>0</v>
      </c>
      <c r="AL14" s="80">
        <f t="shared" si="0"/>
        <v>0</v>
      </c>
      <c r="AM14" s="80">
        <f>((0 + 'BRAWLERS OFICIAL'!AM14)-'BRAWLERS OFICIAL'!AM14)/($BN14/5)</f>
        <v>0</v>
      </c>
      <c r="AN14" s="80">
        <f>((0/1000 + 'BRAWLERS OFICIAL'!AN14)-'BRAWLERS OFICIAL'!AN14)</f>
        <v>0</v>
      </c>
      <c r="AO14" s="80">
        <f>((0 + 'BRAWLERS OFICIAL'!AO14)-'BRAWLERS OFICIAL'!AO14)</f>
        <v>0</v>
      </c>
      <c r="AP14" s="80">
        <f>IF( 0 = (1-1), (1-1), ((0 + 'BRAWLERS OFICIAL'!AP14)/1.5) )</f>
        <v>0</v>
      </c>
      <c r="AQ14" s="80">
        <f>IF( 0 = (1-1), (1-1), ((0 + 'BRAWLERS OFICIAL'!AQ14)/1.5) )</f>
        <v>0</v>
      </c>
      <c r="AR14" s="80">
        <f>IF( 0 = (1-1), (1-1), ((0 + 'BRAWLERS OFICIAL'!AR14)/2) )</f>
        <v>0</v>
      </c>
      <c r="AS14" s="80">
        <f>((0 + 'BRAWLERS OFICIAL'!AS14)-'BRAWLERS OFICIAL'!AS14)/($BN14/5)</f>
        <v>0</v>
      </c>
      <c r="AT14" s="80">
        <f>(((0)/4 + 'BRAWLERS OFICIAL'!AT14)-'BRAWLERS OFICIAL'!AT14)</f>
        <v>0</v>
      </c>
      <c r="AU14" s="80">
        <v>0</v>
      </c>
      <c r="AV14" s="79">
        <f>((( 0 )/3 + 'BRAWLERS OFICIAL'!AV14)-'BRAWLERS OFICIAL'!AV14)</f>
        <v>0</v>
      </c>
      <c r="AW14" s="79">
        <f>((( 0 )/2 + 'BRAWLERS OFICIAL'!AW14)-'BRAWLERS OFICIAL'!AW14)/($BN14/5)</f>
        <v>0</v>
      </c>
      <c r="AX14" s="79">
        <f>((( 0 )/2 + 'BRAWLERS OFICIAL'!AX14)-'BRAWLERS OFICIAL'!AX14)</f>
        <v>0</v>
      </c>
      <c r="AY14" s="79">
        <f>((( 0 )/3 + 'BRAWLERS OFICIAL'!AY14)-'BRAWLERS OFICIAL'!AY14)</f>
        <v>0</v>
      </c>
      <c r="AZ14" s="79">
        <f>((( 0 )/2 + 'BRAWLERS OFICIAL'!AZ14)-'BRAWLERS OFICIAL'!AZ14)/($BN14/5)</f>
        <v>0</v>
      </c>
      <c r="BA14" s="79">
        <f>((( 0 )/3 + 'BRAWLERS OFICIAL'!BA14)-'BRAWLERS OFICIAL'!BA14)</f>
        <v>0</v>
      </c>
      <c r="BB14" s="79">
        <f>((( 0 )/3 + 'BRAWLERS OFICIAL'!BB14)-'BRAWLERS OFICIAL'!BB14)</f>
        <v>0</v>
      </c>
      <c r="BC14" s="79">
        <f>((0 + 'BRAWLERS OFICIAL'!BC14)-'BRAWLERS OFICIAL'!BC14)/($BN14/5)</f>
        <v>0</v>
      </c>
      <c r="BD14" s="79">
        <f>((0 + 'BRAWLERS OFICIAL'!BD14)-'BRAWLERS OFICIAL'!BD14)/($BN14/5)</f>
        <v>0</v>
      </c>
      <c r="BE14" s="79">
        <f>((( 0 )/2 + 'BRAWLERS OFICIAL'!BE14)-'BRAWLERS OFICIAL'!BE14)</f>
        <v>0</v>
      </c>
      <c r="BF14" s="79">
        <f>((0 + 'BRAWLERS OFICIAL'!BF14)-'BRAWLERS OFICIAL'!BF14)/($BN14/5)</f>
        <v>0</v>
      </c>
      <c r="BG14" s="79">
        <f>((( 0 )/2 + 'BRAWLERS OFICIAL'!BG14)-'BRAWLERS OFICIAL'!BG14)</f>
        <v>0</v>
      </c>
      <c r="BH14" s="79">
        <f>((( 0 )/3 + 'BRAWLERS OFICIAL'!BH14)-'BRAWLERS OFICIAL'!BH14)</f>
        <v>0</v>
      </c>
      <c r="BI14" s="79">
        <f>((( 0 )/2 + 'BRAWLERS OFICIAL'!BI14)-'BRAWLERS OFICIAL'!BI14)</f>
        <v>0</v>
      </c>
      <c r="BJ14" s="79">
        <f>((0 + 'BRAWLERS OFICIAL'!BJ14)-'BRAWLERS OFICIAL'!BJ14)/($BN14/5)</f>
        <v>0</v>
      </c>
      <c r="BK14" s="79">
        <f>((0 + 'BRAWLERS OFICIAL'!BK14)-'BRAWLERS OFICIAL'!BK14)/($BN14/5)</f>
        <v>0</v>
      </c>
      <c r="BL14" s="79">
        <f>((0 + 'BRAWLERS OFICIAL'!BL14)-'BRAWLERS OFICIAL'!BL14)/($BN14/5)</f>
        <v>0</v>
      </c>
      <c r="BN14" s="79">
        <v>15</v>
      </c>
    </row>
    <row r="15" spans="1:66">
      <c r="B15" s="77" t="s">
        <v>409</v>
      </c>
      <c r="C15" s="81" t="s">
        <v>84</v>
      </c>
      <c r="D15" s="79">
        <f>((0 + 'BRAWLERS OFICIAL'!D15)-'BRAWLERS OFICIAL'!D15)/($BN15/5)</f>
        <v>0</v>
      </c>
      <c r="E15" s="79">
        <f>((0 + 'BRAWLERS OFICIAL'!E15)-'BRAWLERS OFICIAL'!E15)/($BN15/5)</f>
        <v>0</v>
      </c>
      <c r="F15" s="79">
        <f>((0 + 'BRAWLERS OFICIAL'!F15)-'BRAWLERS OFICIAL'!F15)/($BN15/5)</f>
        <v>0</v>
      </c>
      <c r="G15" s="79">
        <f>((0 + 'BRAWLERS OFICIAL'!G15)-'BRAWLERS OFICIAL'!G15)/($BN15/5)</f>
        <v>0</v>
      </c>
      <c r="H15" s="79">
        <f>((3.5 + 'BRAWLERS OFICIAL'!H15)-'BRAWLERS OFICIAL'!H15)/($BN15/5)</f>
        <v>0.97222222222222221</v>
      </c>
      <c r="I15" s="79">
        <f>((3.5 + 'BRAWLERS OFICIAL'!I15)-'BRAWLERS OFICIAL'!I15)/($BN15/5)</f>
        <v>0.97222222222222221</v>
      </c>
      <c r="J15" s="79">
        <f>((1 + 'BRAWLERS OFICIAL'!J15)-'BRAWLERS OFICIAL'!J15)/($BN15/5)</f>
        <v>0.27777777777777779</v>
      </c>
      <c r="K15" s="79">
        <f>((0 + 'BRAWLERS OFICIAL'!K15)-'BRAWLERS OFICIAL'!K15)/($BN15/5)</f>
        <v>0</v>
      </c>
      <c r="L15" s="79">
        <f>((0 + 'BRAWLERS OFICIAL'!L15)-'BRAWLERS OFICIAL'!L15)/($BN15/5)</f>
        <v>0</v>
      </c>
      <c r="M15" s="79">
        <f>((0 + 'BRAWLERS OFICIAL'!M15)-'BRAWLERS OFICIAL'!M15)/($BN15/5)</f>
        <v>0</v>
      </c>
      <c r="N15" s="79">
        <f>((0 + 'BRAWLERS OFICIAL'!N15)-'BRAWLERS OFICIAL'!N15)/($BN15/5)</f>
        <v>0</v>
      </c>
      <c r="O15" s="79">
        <f>((0 + 'BRAWLERS OFICIAL'!O15)-'BRAWLERS OFICIAL'!O15)/($BN15/5)</f>
        <v>0</v>
      </c>
      <c r="P15" s="79">
        <f>((0 + 'BRAWLERS OFICIAL'!P15)-'BRAWLERS OFICIAL'!P15)/($BN15/5)</f>
        <v>0</v>
      </c>
      <c r="Q15" s="79">
        <f>((0 + 'BRAWLERS OFICIAL'!Q15)-'BRAWLERS OFICIAL'!Q15)/($BN15/5)</f>
        <v>0</v>
      </c>
      <c r="R15" s="79">
        <f>((0 + 'BRAWLERS OFICIAL'!R15)-'BRAWLERS OFICIAL'!R15)/($BN15/5)</f>
        <v>0</v>
      </c>
      <c r="S15" s="79">
        <f>((0 + 'BRAWLERS OFICIAL'!S15)-'BRAWLERS OFICIAL'!S15)/($BN15/5)</f>
        <v>0</v>
      </c>
      <c r="T15" s="79">
        <f>((0 + 'BRAWLERS OFICIAL'!T15)-'BRAWLERS OFICIAL'!T15)/($BN15/5)</f>
        <v>0</v>
      </c>
      <c r="U15" s="79">
        <f>(0 + 'BRAWLERS OFICIAL'!U15)-'BRAWLERS OFICIAL'!U15</f>
        <v>0</v>
      </c>
      <c r="V15" s="121">
        <f>(( 0 + 'BRAWLERS OFICIAL'!V15 + AN15 + AV15/3.5 )-'BRAWLERS OFICIAL'!V15)/($BN15/5)</f>
        <v>0.70555555555555527</v>
      </c>
      <c r="W15" s="80">
        <f>((0 + 'BRAWLERS OFICIAL'!W15)-'BRAWLERS OFICIAL'!W15)/($BN15/5)</f>
        <v>0</v>
      </c>
      <c r="X15" s="80">
        <f>(((0)/3 + 'BRAWLERS OFICIAL'!X15)-'BRAWLERS OFICIAL'!X15)</f>
        <v>0</v>
      </c>
      <c r="Y15" s="80">
        <f>((0 + 'BRAWLERS OFICIAL'!Y15)-'BRAWLERS OFICIAL'!Y15)/($BN15/5)</f>
        <v>0</v>
      </c>
      <c r="Z15" s="80">
        <f>((0 + 'BRAWLERS OFICIAL'!Z15)-'BRAWLERS OFICIAL'!Z15)/($BN15/5)</f>
        <v>0</v>
      </c>
      <c r="AA15" s="80">
        <f>(((0)/4 + 'BRAWLERS OFICIAL'!AA15)-'BRAWLERS OFICIAL'!AA15)/($BN15/5)</f>
        <v>0</v>
      </c>
      <c r="AB15" s="80">
        <f>((0 + 'BRAWLERS OFICIAL'!AB15)-'BRAWLERS OFICIAL'!AB15)/($BN15/5)</f>
        <v>0</v>
      </c>
      <c r="AC15" s="80">
        <f>((0 + 'BRAWLERS OFICIAL'!AC15)-'BRAWLERS OFICIAL'!AC15)/($BN15/5)</f>
        <v>0</v>
      </c>
      <c r="AD15" s="80">
        <f>((0 + 'BRAWLERS OFICIAL'!AD15)-'BRAWLERS OFICIAL'!AD15)/($BN15/5)</f>
        <v>0</v>
      </c>
      <c r="AE15" s="80">
        <f>((0 + 'BRAWLERS OFICIAL'!AE15)-'BRAWLERS OFICIAL'!AE15)</f>
        <v>0</v>
      </c>
      <c r="AF15" s="80">
        <f>((0 + 'BRAWLERS OFICIAL'!AF15)-'BRAWLERS OFICIAL'!AF15)</f>
        <v>0</v>
      </c>
      <c r="AG15" s="80">
        <f>((0 + 'BRAWLERS OFICIAL'!AG15)-'BRAWLERS OFICIAL'!AG15)</f>
        <v>0</v>
      </c>
      <c r="AH15" s="80">
        <f>((0 + 'BRAWLERS OFICIAL'!AH15)-'BRAWLERS OFICIAL'!AH15)/($BN15/5)</f>
        <v>0</v>
      </c>
      <c r="AI15" s="80">
        <f>((0 + 'BRAWLERS OFICIAL'!AI15)-'BRAWLERS OFICIAL'!AI15)/($BN15/5)</f>
        <v>0</v>
      </c>
      <c r="AJ15" s="80">
        <f>(((BH15/5+1)*AI15 + 'BRAWLERS OFICIAL'!AJ15)-'BRAWLERS OFICIAL'!AJ15)/($BN15/5)</f>
        <v>0</v>
      </c>
      <c r="AK15" s="80">
        <f>IF( 5.5 = (1-1), (1-1), ((5.5 + 'BRAWLERS OFICIAL'!AK15)/1.5)-'BRAWLERS OFICIAL'!AK15 )</f>
        <v>2.333333333333333</v>
      </c>
      <c r="AL15" s="80">
        <f>IF( 1 = (1-1), (1-1), ( 1 ) )</f>
        <v>1</v>
      </c>
      <c r="AM15" s="80">
        <f>((0 + 'BRAWLERS OFICIAL'!AM15)-'BRAWLERS OFICIAL'!AM15)/($BN15/5)</f>
        <v>0</v>
      </c>
      <c r="AN15" s="80">
        <f>((2540/1000 + 'BRAWLERS OFICIAL'!AN15)-'BRAWLERS OFICIAL'!AN15)</f>
        <v>2.5399999999999991</v>
      </c>
      <c r="AO15" s="80">
        <f>((0 + 'BRAWLERS OFICIAL'!AO15)-'BRAWLERS OFICIAL'!AO15)</f>
        <v>0</v>
      </c>
      <c r="AP15" s="80">
        <f>IF( 0 = (1-1), (1-1), ((0 + 'BRAWLERS OFICIAL'!AP15)/1.5) )</f>
        <v>0</v>
      </c>
      <c r="AQ15" s="80">
        <f>IF( 0 = (1-1), (1-1), ((0 + 'BRAWLERS OFICIAL'!AQ15)/1.5) )</f>
        <v>0</v>
      </c>
      <c r="AR15" s="80">
        <f>IF( 5 = (1-1), (1-1), ((5 + 'BRAWLERS OFICIAL'!AR15)/2) )</f>
        <v>2.5</v>
      </c>
      <c r="AS15" s="80">
        <f>((0 + 'BRAWLERS OFICIAL'!AS15)-'BRAWLERS OFICIAL'!AS15)/($BN15/5)</f>
        <v>0</v>
      </c>
      <c r="AT15" s="80">
        <f>(((0)/4 + 'BRAWLERS OFICIAL'!AT15)-'BRAWLERS OFICIAL'!AT15)</f>
        <v>0</v>
      </c>
      <c r="AU15" s="80">
        <v>0</v>
      </c>
      <c r="AV15" s="79">
        <f>((( 0 )/3 + 'BRAWLERS OFICIAL'!AV15)-'BRAWLERS OFICIAL'!AV15)</f>
        <v>0</v>
      </c>
      <c r="AW15" s="79">
        <f>((( 0 )/2 + 'BRAWLERS OFICIAL'!AW15)-'BRAWLERS OFICIAL'!AW15)/($BN15/5)</f>
        <v>0</v>
      </c>
      <c r="AX15" s="79">
        <f>((( 0 )/2 + 'BRAWLERS OFICIAL'!AX15)-'BRAWLERS OFICIAL'!AX15)</f>
        <v>0</v>
      </c>
      <c r="AY15" s="79">
        <f>((( 0 )/3 + 'BRAWLERS OFICIAL'!AY15)-'BRAWLERS OFICIAL'!AY15)</f>
        <v>0</v>
      </c>
      <c r="AZ15" s="79">
        <f>((( 0 )/2 + 'BRAWLERS OFICIAL'!AZ15)-'BRAWLERS OFICIAL'!AZ15)/($BN15/5)</f>
        <v>0</v>
      </c>
      <c r="BA15" s="79">
        <f>((( 0 )/3 + 'BRAWLERS OFICIAL'!BA15)-'BRAWLERS OFICIAL'!BA15)</f>
        <v>0</v>
      </c>
      <c r="BB15" s="79">
        <f>((( 0 )/3 + 'BRAWLERS OFICIAL'!BB15)-'BRAWLERS OFICIAL'!BB15)</f>
        <v>0</v>
      </c>
      <c r="BC15" s="79">
        <f>((0 + 'BRAWLERS OFICIAL'!BC15)-'BRAWLERS OFICIAL'!BC15)/($BN15/5)</f>
        <v>0</v>
      </c>
      <c r="BD15" s="79">
        <f>((0 + 'BRAWLERS OFICIAL'!BD15)-'BRAWLERS OFICIAL'!BD15)/($BN15/5)</f>
        <v>0</v>
      </c>
      <c r="BE15" s="79">
        <f>((( 0 )/2 + 'BRAWLERS OFICIAL'!BE15)-'BRAWLERS OFICIAL'!BE15)</f>
        <v>0</v>
      </c>
      <c r="BF15" s="79">
        <f>((0 + 'BRAWLERS OFICIAL'!BF15)-'BRAWLERS OFICIAL'!BF15)/($BN15/5)</f>
        <v>0</v>
      </c>
      <c r="BG15" s="79">
        <f>((( 0 )/2 + 'BRAWLERS OFICIAL'!BG15)-'BRAWLERS OFICIAL'!BG15)</f>
        <v>0</v>
      </c>
      <c r="BH15" s="79">
        <f>((( 0 )/3 + 'BRAWLERS OFICIAL'!BH15)-'BRAWLERS OFICIAL'!BH15)</f>
        <v>0</v>
      </c>
      <c r="BI15" s="79">
        <f>((( 0 )/2 + 'BRAWLERS OFICIAL'!BI15)-'BRAWLERS OFICIAL'!BI15)</f>
        <v>0</v>
      </c>
      <c r="BJ15" s="79">
        <f>((0 + 'BRAWLERS OFICIAL'!BJ15)-'BRAWLERS OFICIAL'!BJ15)/($BN15/5)</f>
        <v>0</v>
      </c>
      <c r="BK15" s="79">
        <f>((0 + 'BRAWLERS OFICIAL'!BK15)-'BRAWLERS OFICIAL'!BK15)/($BN15/5)</f>
        <v>0</v>
      </c>
      <c r="BL15" s="79">
        <f>((0 + 'BRAWLERS OFICIAL'!BL15)-'BRAWLERS OFICIAL'!BL15)/($BN15/5)</f>
        <v>0</v>
      </c>
      <c r="BN15" s="79">
        <v>18</v>
      </c>
    </row>
    <row r="16" spans="1:66">
      <c r="B16" s="77" t="s">
        <v>410</v>
      </c>
      <c r="C16" s="67" t="s">
        <v>77</v>
      </c>
      <c r="D16" s="79">
        <f>((0 + 'BRAWLERS OFICIAL'!D16)-'BRAWLERS OFICIAL'!D16)/($BN16/5)</f>
        <v>0</v>
      </c>
      <c r="E16" s="79">
        <f>((0 + 'BRAWLERS OFICIAL'!E16)-'BRAWLERS OFICIAL'!E16)/($BN16/5)</f>
        <v>0</v>
      </c>
      <c r="F16" s="79">
        <f>((0 + 'BRAWLERS OFICIAL'!F16)-'BRAWLERS OFICIAL'!F16)/($BN16/5)</f>
        <v>0</v>
      </c>
      <c r="G16" s="79">
        <f>((0 + 'BRAWLERS OFICIAL'!G16)-'BRAWLERS OFICIAL'!G16)/($BN16/5)</f>
        <v>0</v>
      </c>
      <c r="H16" s="79">
        <f>((1.25 + 'BRAWLERS OFICIAL'!H16)-'BRAWLERS OFICIAL'!H16)/($BN16/5)</f>
        <v>0.41666666666666669</v>
      </c>
      <c r="I16" s="79">
        <f>((1.25 + 'BRAWLERS OFICIAL'!I16)-'BRAWLERS OFICIAL'!I16)/($BN16/5)</f>
        <v>0.41666666666666669</v>
      </c>
      <c r="J16" s="79">
        <f>((1.25 + 'BRAWLERS OFICIAL'!J16)-'BRAWLERS OFICIAL'!J16)/($BN16/5)</f>
        <v>0.41666666666666669</v>
      </c>
      <c r="K16" s="79">
        <f>((0 + 'BRAWLERS OFICIAL'!K16)-'BRAWLERS OFICIAL'!K16)/($BN16/5)</f>
        <v>0</v>
      </c>
      <c r="L16" s="79">
        <f>((0 + 'BRAWLERS OFICIAL'!L16)-'BRAWLERS OFICIAL'!L16)/($BN16/5)</f>
        <v>0</v>
      </c>
      <c r="M16" s="79">
        <f>((0 + 'BRAWLERS OFICIAL'!M16)-'BRAWLERS OFICIAL'!M16)/($BN16/5)</f>
        <v>0</v>
      </c>
      <c r="N16" s="79">
        <f>((0 + 'BRAWLERS OFICIAL'!N16)-'BRAWLERS OFICIAL'!N16)/($BN16/5)</f>
        <v>0</v>
      </c>
      <c r="O16" s="79">
        <f>((0 + 'BRAWLERS OFICIAL'!O16)-'BRAWLERS OFICIAL'!O16)/($BN16/5)</f>
        <v>0</v>
      </c>
      <c r="P16" s="79">
        <f>((0 + 'BRAWLERS OFICIAL'!P16)-'BRAWLERS OFICIAL'!P16)/($BN16/5)</f>
        <v>0</v>
      </c>
      <c r="Q16" s="79">
        <f>((0 + 'BRAWLERS OFICIAL'!Q16)-'BRAWLERS OFICIAL'!Q16)/($BN16/5)</f>
        <v>0</v>
      </c>
      <c r="R16" s="79">
        <f>((0 + 'BRAWLERS OFICIAL'!R16)-'BRAWLERS OFICIAL'!R16)/($BN16/5)</f>
        <v>0</v>
      </c>
      <c r="S16" s="79">
        <f>((0 + 'BRAWLERS OFICIAL'!S16)-'BRAWLERS OFICIAL'!S16)/($BN16/5)</f>
        <v>0</v>
      </c>
      <c r="T16" s="79">
        <f>((0 + 'BRAWLERS OFICIAL'!T16)-'BRAWLERS OFICIAL'!T16)/($BN16/5)</f>
        <v>0</v>
      </c>
      <c r="U16" s="79">
        <v>0</v>
      </c>
      <c r="V16" s="121">
        <f>(( 0 + 'BRAWLERS OFICIAL'!V16 + AN16 + AV16/3.5 )-'BRAWLERS OFICIAL'!V16)/($BN16/5)</f>
        <v>0</v>
      </c>
      <c r="W16" s="80">
        <f>((2 + 'BRAWLERS OFICIAL'!W16)-'BRAWLERS OFICIAL'!W16)/($BN16/5)</f>
        <v>0.66666666666666663</v>
      </c>
      <c r="X16" s="80">
        <f>(((0)/3 + 'BRAWLERS OFICIAL'!X16)-'BRAWLERS OFICIAL'!X16)</f>
        <v>0</v>
      </c>
      <c r="Y16" s="80">
        <f>((1 + 'BRAWLERS OFICIAL'!Y16)-'BRAWLERS OFICIAL'!Y16)/($BN16/5)</f>
        <v>0.33333333333333331</v>
      </c>
      <c r="Z16" s="80">
        <f>((0 + 'BRAWLERS OFICIAL'!Z16)-'BRAWLERS OFICIAL'!Z16)/($BN16/5)</f>
        <v>0</v>
      </c>
      <c r="AA16" s="80">
        <f>(((0)/4 + 'BRAWLERS OFICIAL'!AA16)-'BRAWLERS OFICIAL'!AA16)/($BN16/5)</f>
        <v>0</v>
      </c>
      <c r="AB16" s="80">
        <f>((0 + 'BRAWLERS OFICIAL'!AB16)-'BRAWLERS OFICIAL'!AB16)/($BN16/5)</f>
        <v>0</v>
      </c>
      <c r="AC16" s="80">
        <f>((0 + 'BRAWLERS OFICIAL'!AC16)-'BRAWLERS OFICIAL'!AC16)/($BN16/5)</f>
        <v>0</v>
      </c>
      <c r="AD16" s="80">
        <f>((2 + 'BRAWLERS OFICIAL'!AD16)-'BRAWLERS OFICIAL'!AD16)/($BN16/5)</f>
        <v>0.66666666666666663</v>
      </c>
      <c r="AE16" s="80">
        <f>((0 + 'BRAWLERS OFICIAL'!AE16)-'BRAWLERS OFICIAL'!AE16)</f>
        <v>0</v>
      </c>
      <c r="AF16" s="80">
        <f>((0 + 'BRAWLERS OFICIAL'!AF16)-'BRAWLERS OFICIAL'!AF16)</f>
        <v>0</v>
      </c>
      <c r="AG16" s="80">
        <f>((0 + 'BRAWLERS OFICIAL'!AG16)-'BRAWLERS OFICIAL'!AG16)</f>
        <v>0</v>
      </c>
      <c r="AH16" s="80">
        <f>((0 + 'BRAWLERS OFICIAL'!AH16)-'BRAWLERS OFICIAL'!AH16)/($BN16/5)</f>
        <v>0</v>
      </c>
      <c r="AI16" s="80">
        <f>((0 + 'BRAWLERS OFICIAL'!AI16)-'BRAWLERS OFICIAL'!AI16)/($BN16/5)</f>
        <v>0</v>
      </c>
      <c r="AJ16" s="80">
        <f>(((BH16/5+1)*AI16 + 'BRAWLERS OFICIAL'!AJ16)-'BRAWLERS OFICIAL'!AJ16)/($BN16/5)</f>
        <v>0</v>
      </c>
      <c r="AK16" s="80">
        <f>IF( 0 = (1-1), (1-1), ((0 + 'BRAWLERS OFICIAL'!AK16)/1.5)-'BRAWLERS OFICIAL'!AK16 )</f>
        <v>0</v>
      </c>
      <c r="AL16" s="80">
        <f t="shared" si="0"/>
        <v>0</v>
      </c>
      <c r="AM16" s="80">
        <f>((0 + 'BRAWLERS OFICIAL'!AM16)-'BRAWLERS OFICIAL'!AM16)/($BN16/5)</f>
        <v>0</v>
      </c>
      <c r="AN16" s="80">
        <f>((0/1000 + 'BRAWLERS OFICIAL'!AN16)-'BRAWLERS OFICIAL'!AN16)</f>
        <v>0</v>
      </c>
      <c r="AO16" s="80">
        <f>((0 + 'BRAWLERS OFICIAL'!AO16)-'BRAWLERS OFICIAL'!AO16)</f>
        <v>0</v>
      </c>
      <c r="AP16" s="80">
        <f>IF( 0 = (1-1), (1-1), ((0 + 'BRAWLERS OFICIAL'!AP16)/1.5) )</f>
        <v>0</v>
      </c>
      <c r="AQ16" s="80">
        <f>IF( 0 = (1-1), (1-1), ((0 + 'BRAWLERS OFICIAL'!AQ16)/1.5) )</f>
        <v>0</v>
      </c>
      <c r="AR16" s="80">
        <f>IF( 0 = (1-1), (1-1), ((0 + 'BRAWLERS OFICIAL'!AR16)/2) )</f>
        <v>0</v>
      </c>
      <c r="AS16" s="80">
        <f>((0 + 'BRAWLERS OFICIAL'!AS16)-'BRAWLERS OFICIAL'!AS16)/($BN16/5)</f>
        <v>0</v>
      </c>
      <c r="AT16" s="80">
        <f>(((0)/4 + 'BRAWLERS OFICIAL'!AT16)-'BRAWLERS OFICIAL'!AT16)</f>
        <v>0</v>
      </c>
      <c r="AU16" s="80">
        <v>0</v>
      </c>
      <c r="AV16" s="79">
        <f>((( 0 )/3 + 'BRAWLERS OFICIAL'!AV16)-'BRAWLERS OFICIAL'!AV16)</f>
        <v>0</v>
      </c>
      <c r="AW16" s="79">
        <f>((( 0 )/2 + 'BRAWLERS OFICIAL'!AW16)-'BRAWLERS OFICIAL'!AW16)/($BN16/5)</f>
        <v>0</v>
      </c>
      <c r="AX16" s="79">
        <f>((( 0 )/2 + 'BRAWLERS OFICIAL'!AX16)-'BRAWLERS OFICIAL'!AX16)</f>
        <v>0</v>
      </c>
      <c r="AY16" s="79">
        <f>((( 0 )/3 + 'BRAWLERS OFICIAL'!AY16)-'BRAWLERS OFICIAL'!AY16)</f>
        <v>0</v>
      </c>
      <c r="AZ16" s="79">
        <f>((( 0 )/2 + 'BRAWLERS OFICIAL'!AZ16)-'BRAWLERS OFICIAL'!AZ16)/($BN16/5)</f>
        <v>0</v>
      </c>
      <c r="BA16" s="79">
        <f>((( 0 )/3 + 'BRAWLERS OFICIAL'!BA16)-'BRAWLERS OFICIAL'!BA16)</f>
        <v>0</v>
      </c>
      <c r="BB16" s="79">
        <f>((( 0 )/3 + 'BRAWLERS OFICIAL'!BB16)-'BRAWLERS OFICIAL'!BB16)</f>
        <v>0</v>
      </c>
      <c r="BC16" s="79">
        <f>((0 + 'BRAWLERS OFICIAL'!BC16)-'BRAWLERS OFICIAL'!BC16)/($BN16/5)</f>
        <v>0</v>
      </c>
      <c r="BD16" s="79">
        <f>((0 + 'BRAWLERS OFICIAL'!BD16)-'BRAWLERS OFICIAL'!BD16)/($BN16/5)</f>
        <v>0</v>
      </c>
      <c r="BE16" s="79">
        <f>((( 0 )/2 + 'BRAWLERS OFICIAL'!BE16)-'BRAWLERS OFICIAL'!BE16)</f>
        <v>0</v>
      </c>
      <c r="BF16" s="79">
        <f>((0 + 'BRAWLERS OFICIAL'!BF16)-'BRAWLERS OFICIAL'!BF16)/($BN16/5)</f>
        <v>0</v>
      </c>
      <c r="BG16" s="79">
        <f>((( 0 )/2 + 'BRAWLERS OFICIAL'!BG16)-'BRAWLERS OFICIAL'!BG16)</f>
        <v>0</v>
      </c>
      <c r="BH16" s="79">
        <f>((( 0 )/3 + 'BRAWLERS OFICIAL'!BH16)-'BRAWLERS OFICIAL'!BH16)</f>
        <v>0</v>
      </c>
      <c r="BI16" s="79">
        <f>((( 0 )/2 + 'BRAWLERS OFICIAL'!BI16)-'BRAWLERS OFICIAL'!BI16)</f>
        <v>0</v>
      </c>
      <c r="BJ16" s="79">
        <f>((0 + 'BRAWLERS OFICIAL'!BJ16)-'BRAWLERS OFICIAL'!BJ16)/($BN16/5)</f>
        <v>0</v>
      </c>
      <c r="BK16" s="79">
        <f>((0 + 'BRAWLERS OFICIAL'!BK16)-'BRAWLERS OFICIAL'!BK16)/($BN16/5)</f>
        <v>0</v>
      </c>
      <c r="BL16" s="79">
        <f>((0 + 'BRAWLERS OFICIAL'!BL16)-'BRAWLERS OFICIAL'!BL16)/($BN16/5)</f>
        <v>0</v>
      </c>
      <c r="BN16" s="79">
        <v>15</v>
      </c>
    </row>
    <row r="17" spans="2:66">
      <c r="B17" s="77" t="s">
        <v>214</v>
      </c>
      <c r="C17" s="81" t="s">
        <v>101</v>
      </c>
      <c r="D17" s="79">
        <f>((0 + 'BRAWLERS OFICIAL'!D17)-'BRAWLERS OFICIAL'!D17)/($BN17/5)</f>
        <v>0</v>
      </c>
      <c r="E17" s="79">
        <f>((0 + 'BRAWLERS OFICIAL'!E17)-'BRAWLERS OFICIAL'!E17)/($BN17/5)</f>
        <v>0</v>
      </c>
      <c r="F17" s="79">
        <f>((0 + 'BRAWLERS OFICIAL'!F17)-'BRAWLERS OFICIAL'!F17)/($BN17/5)</f>
        <v>0</v>
      </c>
      <c r="G17" s="79">
        <f>((0 + 'BRAWLERS OFICIAL'!G17)-'BRAWLERS OFICIAL'!G17)/($BN17/5)</f>
        <v>0</v>
      </c>
      <c r="H17" s="79">
        <f>((2*'BRAWLERS OFICIAL'!H17)-'BRAWLERS OFICIAL'!H17)/($BN17/5)</f>
        <v>0.5</v>
      </c>
      <c r="I17" s="79">
        <f>((2*'BRAWLERS OFICIAL'!I17)-'BRAWLERS OFICIAL'!I17)/($BN17/5)</f>
        <v>0.19999999999999998</v>
      </c>
      <c r="J17" s="79">
        <f>((2*'BRAWLERS OFICIAL'!J17)-'BRAWLERS OFICIAL'!J17)/($BN17/5)</f>
        <v>0.39999999999999997</v>
      </c>
      <c r="K17" s="79">
        <f>((2*'BRAWLERS OFICIAL'!K17)-'BRAWLERS OFICIAL'!K17)/($BN17/5)</f>
        <v>0.6</v>
      </c>
      <c r="L17" s="79">
        <f>((2*'BRAWLERS OFICIAL'!L17)-'BRAWLERS OFICIAL'!L17)/($BN17/5)</f>
        <v>0.19999999999999998</v>
      </c>
      <c r="M17" s="79">
        <f>((0 + 'BRAWLERS OFICIAL'!M17)-'BRAWLERS OFICIAL'!M17)/($BN17/5)</f>
        <v>0</v>
      </c>
      <c r="N17" s="79">
        <f>((0 + 'BRAWLERS OFICIAL'!N17)-'BRAWLERS OFICIAL'!N17)/($BN17/5)</f>
        <v>0</v>
      </c>
      <c r="O17" s="79">
        <f>((0 + 'BRAWLERS OFICIAL'!O17)-'BRAWLERS OFICIAL'!O17)/($BN17/5)</f>
        <v>0</v>
      </c>
      <c r="P17" s="79">
        <f>((0 + 'BRAWLERS OFICIAL'!P17)-'BRAWLERS OFICIAL'!P17)/($BN17/5)</f>
        <v>0</v>
      </c>
      <c r="Q17" s="79">
        <f>((0 + 'BRAWLERS OFICIAL'!Q17)-'BRAWLERS OFICIAL'!Q17)/($BN17/5)</f>
        <v>0</v>
      </c>
      <c r="R17" s="79">
        <f>((0 + 'BRAWLERS OFICIAL'!R17)-'BRAWLERS OFICIAL'!R17)/($BN17/5)</f>
        <v>0</v>
      </c>
      <c r="S17" s="79">
        <f>((0 + 'BRAWLERS OFICIAL'!S17)-'BRAWLERS OFICIAL'!S17)/($BN17/5)</f>
        <v>0</v>
      </c>
      <c r="T17" s="79">
        <f>((0 + 'BRAWLERS OFICIAL'!T17)-'BRAWLERS OFICIAL'!T17)/($BN17/5)</f>
        <v>0</v>
      </c>
      <c r="U17" s="79">
        <f>(0 + 'BRAWLERS OFICIAL'!U17)-'BRAWLERS OFICIAL'!U17</f>
        <v>0</v>
      </c>
      <c r="V17" s="121">
        <f>(( 0 + 'BRAWLERS OFICIAL'!V17 + AN17 + AV17/3.5 )-'BRAWLERS OFICIAL'!V17)/($BN17/5)</f>
        <v>0</v>
      </c>
      <c r="W17" s="80">
        <f>((0 + 'BRAWLERS OFICIAL'!W17)-'BRAWLERS OFICIAL'!W17)/($BN17/5)</f>
        <v>0</v>
      </c>
      <c r="X17" s="80">
        <f>(((0)/3 + 'BRAWLERS OFICIAL'!X17)-'BRAWLERS OFICIAL'!X17)</f>
        <v>0</v>
      </c>
      <c r="Y17" s="80">
        <f>((0 + 'BRAWLERS OFICIAL'!Y17)-'BRAWLERS OFICIAL'!Y17)/($BN17/5)</f>
        <v>0</v>
      </c>
      <c r="Z17" s="80">
        <f>((0 + 'BRAWLERS OFICIAL'!Z17)-'BRAWLERS OFICIAL'!Z17)/($BN17/5)</f>
        <v>0</v>
      </c>
      <c r="AA17" s="80">
        <f>(((0)/4 + 'BRAWLERS OFICIAL'!AA17)-'BRAWLERS OFICIAL'!AA17)/($BN17/5)</f>
        <v>0</v>
      </c>
      <c r="AB17" s="80">
        <f>((0 + 'BRAWLERS OFICIAL'!AB17)-'BRAWLERS OFICIAL'!AB17)/($BN17/5)</f>
        <v>0</v>
      </c>
      <c r="AC17" s="80">
        <f>((0 + 'BRAWLERS OFICIAL'!AC17)-'BRAWLERS OFICIAL'!AC17)/($BN17/5)</f>
        <v>0</v>
      </c>
      <c r="AD17" s="80">
        <f>((0 + 'BRAWLERS OFICIAL'!AD17)-'BRAWLERS OFICIAL'!AD17)/($BN17/5)</f>
        <v>0</v>
      </c>
      <c r="AE17" s="80">
        <f>((0 + 'BRAWLERS OFICIAL'!AE17)-'BRAWLERS OFICIAL'!AE17)</f>
        <v>0</v>
      </c>
      <c r="AF17" s="80">
        <f>((0 + 'BRAWLERS OFICIAL'!AF17)-'BRAWLERS OFICIAL'!AF17)</f>
        <v>0</v>
      </c>
      <c r="AG17" s="80">
        <f>((0 + 'BRAWLERS OFICIAL'!AG17)-'BRAWLERS OFICIAL'!AG17)</f>
        <v>0</v>
      </c>
      <c r="AH17" s="80">
        <f>((0 + 'BRAWLERS OFICIAL'!AH17)-'BRAWLERS OFICIAL'!AH17)/($BN17/5)</f>
        <v>0</v>
      </c>
      <c r="AI17" s="80">
        <f>((0 + 'BRAWLERS OFICIAL'!AI17)-'BRAWLERS OFICIAL'!AI17)/($BN17/5)</f>
        <v>0</v>
      </c>
      <c r="AJ17" s="80">
        <f>(((BH17/5+1)*AI17 + 'BRAWLERS OFICIAL'!AJ17)-'BRAWLERS OFICIAL'!AJ17)/($BN17/5)</f>
        <v>0</v>
      </c>
      <c r="AK17" s="80">
        <f>IF( 0 = (1-1), (1-1), ((0 + 'BRAWLERS OFICIAL'!AK17)/1.5)-'BRAWLERS OFICIAL'!AK17 )</f>
        <v>0</v>
      </c>
      <c r="AL17" s="80">
        <f t="shared" si="0"/>
        <v>0</v>
      </c>
      <c r="AM17" s="80">
        <f>((0 + 'BRAWLERS OFICIAL'!AM17)-'BRAWLERS OFICIAL'!AM17)/($BN17/5)</f>
        <v>0</v>
      </c>
      <c r="AN17" s="80">
        <f>((0/1000 + 'BRAWLERS OFICIAL'!AN17)-'BRAWLERS OFICIAL'!AN17)</f>
        <v>0</v>
      </c>
      <c r="AO17" s="80">
        <f>((0 + 'BRAWLERS OFICIAL'!AO17)-'BRAWLERS OFICIAL'!AO17)</f>
        <v>0</v>
      </c>
      <c r="AP17" s="80">
        <f>IF( 0 = (1-1), (1-1), ((0 + 'BRAWLERS OFICIAL'!AP17)/1.5) )</f>
        <v>0</v>
      </c>
      <c r="AQ17" s="80">
        <f>IF( 0 = (1-1), (1-1), ((0 + 'BRAWLERS OFICIAL'!AQ17)/1.5) )</f>
        <v>0</v>
      </c>
      <c r="AR17" s="80">
        <f>IF( 0 = (1-1), (1-1), ((0 + 'BRAWLERS OFICIAL'!AR17)/2) )</f>
        <v>0</v>
      </c>
      <c r="AS17" s="80">
        <f>((0 + 'BRAWLERS OFICIAL'!AS17)-'BRAWLERS OFICIAL'!AS17)/($BN17/5)</f>
        <v>0</v>
      </c>
      <c r="AT17" s="80">
        <f>(((0)/4 + 'BRAWLERS OFICIAL'!AT17)-'BRAWLERS OFICIAL'!AT17)</f>
        <v>0</v>
      </c>
      <c r="AU17" s="80">
        <v>0</v>
      </c>
      <c r="AV17" s="79">
        <f>((( 0 )/3 + 'BRAWLERS OFICIAL'!AV17)-'BRAWLERS OFICIAL'!AV17)</f>
        <v>0</v>
      </c>
      <c r="AW17" s="79">
        <f>((( 0 )/2 + 'BRAWLERS OFICIAL'!AW17)-'BRAWLERS OFICIAL'!AW17)/($BN17/5)</f>
        <v>0</v>
      </c>
      <c r="AX17" s="79">
        <f>((( 0 )/2 + 'BRAWLERS OFICIAL'!AX17)-'BRAWLERS OFICIAL'!AX17)</f>
        <v>0</v>
      </c>
      <c r="AY17" s="79">
        <f>((( 0 )/3 + 'BRAWLERS OFICIAL'!AY17)-'BRAWLERS OFICIAL'!AY17)</f>
        <v>0</v>
      </c>
      <c r="AZ17" s="79">
        <f>((( 0 )/2 + 'BRAWLERS OFICIAL'!AZ17)-'BRAWLERS OFICIAL'!AZ17)/($BN17/5)</f>
        <v>0</v>
      </c>
      <c r="BA17" s="79">
        <f>((( 0 )/3 + 'BRAWLERS OFICIAL'!BA17)-'BRAWLERS OFICIAL'!BA17)</f>
        <v>0</v>
      </c>
      <c r="BB17" s="79">
        <f>((( 0 )/3 + 'BRAWLERS OFICIAL'!BB17)-'BRAWLERS OFICIAL'!BB17)</f>
        <v>0</v>
      </c>
      <c r="BC17" s="79">
        <f>((0 + 'BRAWLERS OFICIAL'!BC17)-'BRAWLERS OFICIAL'!BC17)/($BN17/5)</f>
        <v>0</v>
      </c>
      <c r="BD17" s="79">
        <f>((0 + 'BRAWLERS OFICIAL'!BD17)-'BRAWLERS OFICIAL'!BD17)/($BN17/5)</f>
        <v>0</v>
      </c>
      <c r="BE17" s="79">
        <f>((( 0 )/2 + 'BRAWLERS OFICIAL'!BE17)-'BRAWLERS OFICIAL'!BE17)</f>
        <v>0</v>
      </c>
      <c r="BF17" s="79">
        <f>((0 + 'BRAWLERS OFICIAL'!BF17)-'BRAWLERS OFICIAL'!BF17)/($BN17/5)</f>
        <v>0</v>
      </c>
      <c r="BG17" s="79">
        <f>((( 0 )/2 + 'BRAWLERS OFICIAL'!BG17)-'BRAWLERS OFICIAL'!BG17)</f>
        <v>0</v>
      </c>
      <c r="BH17" s="79">
        <f>((( 0 )/3 + 'BRAWLERS OFICIAL'!BH17)-'BRAWLERS OFICIAL'!BH17)</f>
        <v>0</v>
      </c>
      <c r="BI17" s="79">
        <f>((( 0 )/2 + 'BRAWLERS OFICIAL'!BI17)-'BRAWLERS OFICIAL'!BI17)</f>
        <v>0</v>
      </c>
      <c r="BJ17" s="79">
        <f>((0 + 'BRAWLERS OFICIAL'!BJ17)-'BRAWLERS OFICIAL'!BJ17)/($BN17/5)</f>
        <v>0</v>
      </c>
      <c r="BK17" s="79">
        <f>((0 + 'BRAWLERS OFICIAL'!BK17)-'BRAWLERS OFICIAL'!BK17)/($BN17/5)</f>
        <v>0</v>
      </c>
      <c r="BL17" s="79">
        <f>((0 + 'BRAWLERS OFICIAL'!BL17)-'BRAWLERS OFICIAL'!BL17)/($BN17/5)</f>
        <v>0</v>
      </c>
      <c r="BN17" s="79">
        <v>15</v>
      </c>
    </row>
    <row r="18" spans="2:66">
      <c r="B18" s="77" t="s">
        <v>411</v>
      </c>
      <c r="C18" s="67" t="s">
        <v>57</v>
      </c>
      <c r="D18" s="79">
        <f>((0 + 'BRAWLERS OFICIAL'!D18)-'BRAWLERS OFICIAL'!D18)/($BN18/5)</f>
        <v>0</v>
      </c>
      <c r="E18" s="79">
        <f>((0 + 'BRAWLERS OFICIAL'!E18)-'BRAWLERS OFICIAL'!E18)/($BN18/5)</f>
        <v>0</v>
      </c>
      <c r="F18" s="79">
        <f>((0 + 'BRAWLERS OFICIAL'!F18)-'BRAWLERS OFICIAL'!F18)/($BN18/5)</f>
        <v>0</v>
      </c>
      <c r="G18" s="79">
        <f>((0 + 'BRAWLERS OFICIAL'!G18)-'BRAWLERS OFICIAL'!G18)/($BN18/5)</f>
        <v>0</v>
      </c>
      <c r="H18" s="79">
        <f>((0.1 + 'BRAWLERS OFICIAL'!H18)-'BRAWLERS OFICIAL'!H18)/($BN18/5)</f>
        <v>3.5714285714285747E-2</v>
      </c>
      <c r="I18" s="79">
        <f>((0.1 + 'BRAWLERS OFICIAL'!I18)-'BRAWLERS OFICIAL'!I18)/($BN18/5)</f>
        <v>3.5714285714285747E-2</v>
      </c>
      <c r="J18" s="79">
        <f>((0.1 + 'BRAWLERS OFICIAL'!J18)-'BRAWLERS OFICIAL'!J18)/($BN18/5)</f>
        <v>3.5714285714285705E-2</v>
      </c>
      <c r="K18" s="79">
        <f>((0.1 + 'BRAWLERS OFICIAL'!K18)-'BRAWLERS OFICIAL'!K18)/($BN18/5)</f>
        <v>3.5714285714285705E-2</v>
      </c>
      <c r="L18" s="79">
        <f>((0.1 + 'BRAWLERS OFICIAL'!L18)-'BRAWLERS OFICIAL'!L18)/($BN18/5)</f>
        <v>3.5714285714285726E-2</v>
      </c>
      <c r="M18" s="79">
        <f>((0 + 'BRAWLERS OFICIAL'!M18)-'BRAWLERS OFICIAL'!M18)/($BN18/5)</f>
        <v>0</v>
      </c>
      <c r="N18" s="79">
        <f>((0 + 'BRAWLERS OFICIAL'!N18)-'BRAWLERS OFICIAL'!N18)/($BN18/5)</f>
        <v>0</v>
      </c>
      <c r="O18" s="79">
        <f>((0 + 'BRAWLERS OFICIAL'!O18)-'BRAWLERS OFICIAL'!O18)/($BN18/5)</f>
        <v>0</v>
      </c>
      <c r="P18" s="79">
        <f>((0 + 'BRAWLERS OFICIAL'!P18)-'BRAWLERS OFICIAL'!P18)/($BN18/5)</f>
        <v>0</v>
      </c>
      <c r="Q18" s="79">
        <f>((0 + 'BRAWLERS OFICIAL'!Q18)-'BRAWLERS OFICIAL'!Q18)/($BN18/5)</f>
        <v>0</v>
      </c>
      <c r="R18" s="79">
        <f>((0 + 'BRAWLERS OFICIAL'!R18)-'BRAWLERS OFICIAL'!R18)/($BN18/5)</f>
        <v>0</v>
      </c>
      <c r="S18" s="79">
        <f>((0 + 'BRAWLERS OFICIAL'!S18)-'BRAWLERS OFICIAL'!S18)/($BN18/5)</f>
        <v>0</v>
      </c>
      <c r="T18" s="79">
        <f>((0 + 'BRAWLERS OFICIAL'!T18)-'BRAWLERS OFICIAL'!T18)/($BN18/5)</f>
        <v>0</v>
      </c>
      <c r="U18" s="79">
        <v>0</v>
      </c>
      <c r="V18" s="121">
        <f>(( 0 + 'BRAWLERS OFICIAL'!V18 + AN18 + AV18/3.5 )-'BRAWLERS OFICIAL'!V18)/($BN18/5)</f>
        <v>0</v>
      </c>
      <c r="W18" s="80">
        <f>((0.2 + 'BRAWLERS OFICIAL'!W18)-'BRAWLERS OFICIAL'!W18)/($BN18/5)</f>
        <v>7.1428571428571494E-2</v>
      </c>
      <c r="X18" s="80">
        <f>(((0)/3 + 'BRAWLERS OFICIAL'!X18)-'BRAWLERS OFICIAL'!X18)</f>
        <v>0</v>
      </c>
      <c r="Y18" s="80">
        <f>((0 + 'BRAWLERS OFICIAL'!Y18)-'BRAWLERS OFICIAL'!Y18)/($BN18/5)</f>
        <v>0</v>
      </c>
      <c r="Z18" s="80">
        <f>((0 + 'BRAWLERS OFICIAL'!Z18)-'BRAWLERS OFICIAL'!Z18)/($BN18/5)</f>
        <v>0</v>
      </c>
      <c r="AA18" s="80">
        <f>(((0)/4 + 'BRAWLERS OFICIAL'!AA18)-'BRAWLERS OFICIAL'!AA18)/($BN18/5)</f>
        <v>0</v>
      </c>
      <c r="AB18" s="80">
        <f>((0 + 'BRAWLERS OFICIAL'!AB18)-'BRAWLERS OFICIAL'!AB18)/($BN18/5)</f>
        <v>0</v>
      </c>
      <c r="AC18" s="80">
        <f>((0 + 'BRAWLERS OFICIAL'!AC18)-'BRAWLERS OFICIAL'!AC18)/($BN18/5)</f>
        <v>0</v>
      </c>
      <c r="AD18" s="80">
        <f>((0 + 'BRAWLERS OFICIAL'!AD18)-'BRAWLERS OFICIAL'!AD18)/($BN18/5)</f>
        <v>0</v>
      </c>
      <c r="AE18" s="80">
        <f>((0 + 'BRAWLERS OFICIAL'!AE18)-'BRAWLERS OFICIAL'!AE18)</f>
        <v>0</v>
      </c>
      <c r="AF18" s="80">
        <f>((0 + 'BRAWLERS OFICIAL'!AF18)-'BRAWLERS OFICIAL'!AF18)</f>
        <v>0</v>
      </c>
      <c r="AG18" s="80">
        <f>((0 + 'BRAWLERS OFICIAL'!AG18)-'BRAWLERS OFICIAL'!AG18)</f>
        <v>0</v>
      </c>
      <c r="AH18" s="80">
        <f>((0 + 'BRAWLERS OFICIAL'!AH18)-'BRAWLERS OFICIAL'!AH18)/($BN18/5)</f>
        <v>0</v>
      </c>
      <c r="AI18" s="80">
        <f>((0 + 'BRAWLERS OFICIAL'!AI18)-'BRAWLERS OFICIAL'!AI18)/($BN18/5)</f>
        <v>0</v>
      </c>
      <c r="AJ18" s="80">
        <f>(((BH18/5+1)*AI18 + 'BRAWLERS OFICIAL'!AJ18)-'BRAWLERS OFICIAL'!AJ18)/($BN18/5)</f>
        <v>0</v>
      </c>
      <c r="AK18" s="80">
        <f>IF( 0 = (1-1), (1-1), ((0 + 'BRAWLERS OFICIAL'!AK18)/1.5)-'BRAWLERS OFICIAL'!AK18 )</f>
        <v>0</v>
      </c>
      <c r="AL18" s="80">
        <f t="shared" si="0"/>
        <v>0</v>
      </c>
      <c r="AM18" s="80">
        <f>((0 + 'BRAWLERS OFICIAL'!AM18)-'BRAWLERS OFICIAL'!AM18)/($BN18/5)</f>
        <v>0</v>
      </c>
      <c r="AN18" s="80">
        <f>((0/1000 + 'BRAWLERS OFICIAL'!AN18)-'BRAWLERS OFICIAL'!AN18)</f>
        <v>0</v>
      </c>
      <c r="AO18" s="80">
        <f>((0 + 'BRAWLERS OFICIAL'!AO18)-'BRAWLERS OFICIAL'!AO18)</f>
        <v>0</v>
      </c>
      <c r="AP18" s="80">
        <f>IF( 0 = (1-1), (1-1), ((0 + 'BRAWLERS OFICIAL'!AP18)/1.5) )</f>
        <v>0</v>
      </c>
      <c r="AQ18" s="80">
        <f>IF( 0 = (1-1), (1-1), ((0 + 'BRAWLERS OFICIAL'!AQ18)/1.5) )</f>
        <v>0</v>
      </c>
      <c r="AR18" s="80">
        <f>IF( 0 = (1-1), (1-1), ((0 + 'BRAWLERS OFICIAL'!AR18)/2) )</f>
        <v>0</v>
      </c>
      <c r="AS18" s="80">
        <f>((0 + 'BRAWLERS OFICIAL'!AS18)-'BRAWLERS OFICIAL'!AS18)/($BN18/5)</f>
        <v>0</v>
      </c>
      <c r="AT18" s="80">
        <f>(((0)/4 + 'BRAWLERS OFICIAL'!AT18)-'BRAWLERS OFICIAL'!AT18)</f>
        <v>0</v>
      </c>
      <c r="AU18" s="80">
        <v>0</v>
      </c>
      <c r="AV18" s="79">
        <f>((( 0 )/3 + 'BRAWLERS OFICIAL'!AV18)-'BRAWLERS OFICIAL'!AV18)</f>
        <v>0</v>
      </c>
      <c r="AW18" s="79">
        <f>((( 0 )/2 + 'BRAWLERS OFICIAL'!AW18)-'BRAWLERS OFICIAL'!AW18)/($BN18/5)</f>
        <v>0</v>
      </c>
      <c r="AX18" s="79">
        <f>((( 0 )/2 + 'BRAWLERS OFICIAL'!AX18)-'BRAWLERS OFICIAL'!AX18)</f>
        <v>0</v>
      </c>
      <c r="AY18" s="79">
        <f>((( 0 )/3 + 'BRAWLERS OFICIAL'!AY18)-'BRAWLERS OFICIAL'!AY18)</f>
        <v>0</v>
      </c>
      <c r="AZ18" s="79">
        <f>((( 0 )/2 + 'BRAWLERS OFICIAL'!AZ18)-'BRAWLERS OFICIAL'!AZ18)/($BN18/5)</f>
        <v>0</v>
      </c>
      <c r="BA18" s="79">
        <f>((( 0 )/3 + 'BRAWLERS OFICIAL'!BA18)-'BRAWLERS OFICIAL'!BA18)</f>
        <v>0</v>
      </c>
      <c r="BB18" s="79">
        <f>((( 0 )/3 + 'BRAWLERS OFICIAL'!BB18)-'BRAWLERS OFICIAL'!BB18)</f>
        <v>0</v>
      </c>
      <c r="BC18" s="79">
        <f>((0 + 'BRAWLERS OFICIAL'!BC18)-'BRAWLERS OFICIAL'!BC18)/($BN18/5)</f>
        <v>0</v>
      </c>
      <c r="BD18" s="79">
        <f>((0 + 'BRAWLERS OFICIAL'!BD18)-'BRAWLERS OFICIAL'!BD18)/($BN18/5)</f>
        <v>0</v>
      </c>
      <c r="BE18" s="79">
        <f>((( 0 )/2 + 'BRAWLERS OFICIAL'!BE18)-'BRAWLERS OFICIAL'!BE18)</f>
        <v>0</v>
      </c>
      <c r="BF18" s="79">
        <f>((0 + 'BRAWLERS OFICIAL'!BF18)-'BRAWLERS OFICIAL'!BF18)/($BN18/5)</f>
        <v>0</v>
      </c>
      <c r="BG18" s="79">
        <f>((( 0 )/2 + 'BRAWLERS OFICIAL'!BG18)-'BRAWLERS OFICIAL'!BG18)</f>
        <v>0</v>
      </c>
      <c r="BH18" s="79">
        <f>((( 7.5 + 5 + 10 )/3)-'BRAWLERS OFICIAL'!BH18)</f>
        <v>0.83333333333333304</v>
      </c>
      <c r="BI18" s="79">
        <f>((( 0 )/2 + 'BRAWLERS OFICIAL'!BI18)-'BRAWLERS OFICIAL'!BI18)</f>
        <v>0</v>
      </c>
      <c r="BJ18" s="79">
        <f>((0 + 'BRAWLERS OFICIAL'!BJ18)-'BRAWLERS OFICIAL'!BJ18)/($BN18/5)</f>
        <v>0</v>
      </c>
      <c r="BK18" s="79">
        <f>((0 + 'BRAWLERS OFICIAL'!BK18)-'BRAWLERS OFICIAL'!BK18)/($BN18/5)</f>
        <v>0</v>
      </c>
      <c r="BL18" s="79">
        <f>((0 + 'BRAWLERS OFICIAL'!BL18)-'BRAWLERS OFICIAL'!BL18)/($BN18/5)</f>
        <v>0</v>
      </c>
      <c r="BN18" s="79">
        <v>14</v>
      </c>
    </row>
    <row r="19" spans="2:66">
      <c r="B19" s="77" t="s">
        <v>412</v>
      </c>
      <c r="C19" s="67" t="s">
        <v>40</v>
      </c>
      <c r="D19" s="79">
        <f>((0 + 'BRAWLERS OFICIAL'!D19)-'BRAWLERS OFICIAL'!D19)/($BN19/5)</f>
        <v>0</v>
      </c>
      <c r="E19" s="79">
        <f>((0 + 'BRAWLERS OFICIAL'!E19)-'BRAWLERS OFICIAL'!E19)/($BN19/5)</f>
        <v>0</v>
      </c>
      <c r="F19" s="79">
        <f>((0 + 'BRAWLERS OFICIAL'!F19)-'BRAWLERS OFICIAL'!F19)/($BN19/5)</f>
        <v>0</v>
      </c>
      <c r="G19" s="79">
        <f>((0 + 'BRAWLERS OFICIAL'!G19)-'BRAWLERS OFICIAL'!G19)/($BN19/5)</f>
        <v>0</v>
      </c>
      <c r="H19" s="79">
        <f>((0.4 + 'BRAWLERS OFICIAL'!H19)-'BRAWLERS OFICIAL'!H19)/($BN19/5)</f>
        <v>0.11764705882352938</v>
      </c>
      <c r="I19" s="79">
        <f>((0.4 + 'BRAWLERS OFICIAL'!I19)-'BRAWLERS OFICIAL'!I19)/($BN19/5)</f>
        <v>0.11764705882352938</v>
      </c>
      <c r="J19" s="79">
        <f>((0 + 'BRAWLERS OFICIAL'!J19)-'BRAWLERS OFICIAL'!J19)/($BN19/5)</f>
        <v>0</v>
      </c>
      <c r="K19" s="79">
        <f>((0 + 'BRAWLERS OFICIAL'!K19)-'BRAWLERS OFICIAL'!K19)/($BN19/5)</f>
        <v>0</v>
      </c>
      <c r="L19" s="79">
        <f>((0 + 'BRAWLERS OFICIAL'!L19)-'BRAWLERS OFICIAL'!L19)/($BN19/5)</f>
        <v>0</v>
      </c>
      <c r="M19" s="79">
        <f>((0 + 'BRAWLERS OFICIAL'!M19)-'BRAWLERS OFICIAL'!M19)/($BN19/5)</f>
        <v>0</v>
      </c>
      <c r="N19" s="79">
        <f>((0 + 'BRAWLERS OFICIAL'!N19)-'BRAWLERS OFICIAL'!N19)/($BN19/5)</f>
        <v>0</v>
      </c>
      <c r="O19" s="79">
        <f>((0 + 'BRAWLERS OFICIAL'!O19)-'BRAWLERS OFICIAL'!O19)/($BN19/5)</f>
        <v>0</v>
      </c>
      <c r="P19" s="79">
        <f>((0 + 'BRAWLERS OFICIAL'!P19)-'BRAWLERS OFICIAL'!P19)/($BN19/5)</f>
        <v>0</v>
      </c>
      <c r="Q19" s="79">
        <f>((0 + 'BRAWLERS OFICIAL'!Q19)-'BRAWLERS OFICIAL'!Q19)/($BN19/5)</f>
        <v>0</v>
      </c>
      <c r="R19" s="79">
        <f>((0 + 'BRAWLERS OFICIAL'!R19)-'BRAWLERS OFICIAL'!R19)/($BN19/5)</f>
        <v>0</v>
      </c>
      <c r="S19" s="79">
        <f>((0 + 'BRAWLERS OFICIAL'!S19)-'BRAWLERS OFICIAL'!S19)/($BN19/5)</f>
        <v>0</v>
      </c>
      <c r="T19" s="79">
        <f>((0 + 'BRAWLERS OFICIAL'!T19)-'BRAWLERS OFICIAL'!T19)/($BN19/5)</f>
        <v>0</v>
      </c>
      <c r="U19" s="79">
        <f>(0 + 'BRAWLERS OFICIAL'!U19)-'BRAWLERS OFICIAL'!U19</f>
        <v>0</v>
      </c>
      <c r="V19" s="121">
        <f>(( 0 + 'BRAWLERS OFICIAL'!V19 + AN19 + AV19/3.5 )-'BRAWLERS OFICIAL'!V19)/($BN19/5)</f>
        <v>0</v>
      </c>
      <c r="W19" s="80">
        <f>((0 + 'BRAWLERS OFICIAL'!W19)-'BRAWLERS OFICIAL'!W19)/($BN19/5)</f>
        <v>0</v>
      </c>
      <c r="X19" s="80">
        <f>(((6.5 + 2 + 6)/3 + 'BRAWLERS OFICIAL'!X19)-'BRAWLERS OFICIAL'!X19)</f>
        <v>4.833333333333333</v>
      </c>
      <c r="Y19" s="80">
        <f>((0 + 'BRAWLERS OFICIAL'!Y19)-'BRAWLERS OFICIAL'!Y19)/($BN19/5)</f>
        <v>0</v>
      </c>
      <c r="Z19" s="80">
        <f>((0 + 'BRAWLERS OFICIAL'!Z19)-'BRAWLERS OFICIAL'!Z19)/($BN19/5)</f>
        <v>0</v>
      </c>
      <c r="AA19" s="80">
        <f>(((0)/4 + 'BRAWLERS OFICIAL'!AA19)-'BRAWLERS OFICIAL'!AA19)/($BN19/5)</f>
        <v>0</v>
      </c>
      <c r="AB19" s="80">
        <f>((0 + 'BRAWLERS OFICIAL'!AB19)-'BRAWLERS OFICIAL'!AB19)/($BN19/5)</f>
        <v>0</v>
      </c>
      <c r="AC19" s="80">
        <f>((0 + 'BRAWLERS OFICIAL'!AC19)-'BRAWLERS OFICIAL'!AC19)/($BN19/5)</f>
        <v>0</v>
      </c>
      <c r="AD19" s="80">
        <f>((0 + 'BRAWLERS OFICIAL'!AD19)-'BRAWLERS OFICIAL'!AD19)/($BN19/5)</f>
        <v>0</v>
      </c>
      <c r="AE19" s="80">
        <f>((0 + 'BRAWLERS OFICIAL'!AE19)-'BRAWLERS OFICIAL'!AE19)</f>
        <v>0</v>
      </c>
      <c r="AF19" s="80">
        <f>((0 + 'BRAWLERS OFICIAL'!AF19)-'BRAWLERS OFICIAL'!AF19)</f>
        <v>0</v>
      </c>
      <c r="AG19" s="80">
        <f>((0 + 'BRAWLERS OFICIAL'!AG19)-'BRAWLERS OFICIAL'!AG19)</f>
        <v>0</v>
      </c>
      <c r="AH19" s="80">
        <f>((0 + 'BRAWLERS OFICIAL'!AH19)-'BRAWLERS OFICIAL'!AH19)/($BN19/5)</f>
        <v>0</v>
      </c>
      <c r="AI19" s="80">
        <f>((1 + 'BRAWLERS OFICIAL'!AI19)-'BRAWLERS OFICIAL'!AI19)/($BN19/5)</f>
        <v>0.29411764705882354</v>
      </c>
      <c r="AJ19" s="80">
        <f>(((BH19/5+1)*AI19 + 'BRAWLERS OFICIAL'!AJ19)-'BRAWLERS OFICIAL'!AJ19)/($BN19/5)</f>
        <v>8.6505190311418692E-2</v>
      </c>
      <c r="AK19" s="80">
        <f>IF( 5 = (1-1), (1-1), ((5 + 'BRAWLERS OFICIAL'!AK19)/1.5)-'BRAWLERS OFICIAL'!AK19 )</f>
        <v>0.66666666666666607</v>
      </c>
      <c r="AL19" s="80">
        <f>IF( 1 = (1-1), (1-1)*'BRAWLERS OFICIAL'!AL19, ( 1 ) )</f>
        <v>1</v>
      </c>
      <c r="AM19" s="80">
        <f>((1 + 'BRAWLERS OFICIAL'!AM19)-'BRAWLERS OFICIAL'!AM19)/($BN19/5)</f>
        <v>0.29411764705882354</v>
      </c>
      <c r="AN19" s="80">
        <f>((0/1000 + 'BRAWLERS OFICIAL'!AN19)-'BRAWLERS OFICIAL'!AN19)</f>
        <v>0</v>
      </c>
      <c r="AO19" s="80">
        <f>((0 + 'BRAWLERS OFICIAL'!AO19)-'BRAWLERS OFICIAL'!AO19)</f>
        <v>0</v>
      </c>
      <c r="AP19" s="80">
        <f>IF( 0 = (1-1), (1-1), ((0 + 'BRAWLERS OFICIAL'!AP19)/1.5) )</f>
        <v>0</v>
      </c>
      <c r="AQ19" s="80">
        <f>IF( 0 = (1-1), (1-1), ((0 + 'BRAWLERS OFICIAL'!AQ19)/1.5) )</f>
        <v>0</v>
      </c>
      <c r="AR19" s="80">
        <f>IF( 0 = (1-1), (1-1), ((0 + 'BRAWLERS OFICIAL'!AR19)/2) )</f>
        <v>0</v>
      </c>
      <c r="AS19" s="80">
        <f>((0 + 'BRAWLERS OFICIAL'!AS19)-'BRAWLERS OFICIAL'!AS19)/($BN19/5)</f>
        <v>0</v>
      </c>
      <c r="AT19" s="80">
        <f>(((3 + 5 + 5 + 8)/4)-'BRAWLERS OFICIAL'!AT19)</f>
        <v>0.25</v>
      </c>
      <c r="AU19" s="80">
        <v>0</v>
      </c>
      <c r="AV19" s="79">
        <f>((( 0 )/3 + 'BRAWLERS OFICIAL'!AV19)-'BRAWLERS OFICIAL'!AV19)</f>
        <v>0</v>
      </c>
      <c r="AW19" s="79">
        <f>((( 0 )/2 + 'BRAWLERS OFICIAL'!AW19)-'BRAWLERS OFICIAL'!AW19)/($BN19/5)</f>
        <v>0</v>
      </c>
      <c r="AX19" s="79">
        <f>((( 0 )/2 + 'BRAWLERS OFICIAL'!AX19)-'BRAWLERS OFICIAL'!AX19)</f>
        <v>0</v>
      </c>
      <c r="AY19" s="79">
        <f>((( 0 )/3 + 'BRAWLERS OFICIAL'!AY19)-'BRAWLERS OFICIAL'!AY19)</f>
        <v>0</v>
      </c>
      <c r="AZ19" s="79">
        <f>((( 0 )/2 + 'BRAWLERS OFICIAL'!AZ19)-'BRAWLERS OFICIAL'!AZ19)/($BN19/5)</f>
        <v>0</v>
      </c>
      <c r="BA19" s="79">
        <f>((( 0 )/3 + 'BRAWLERS OFICIAL'!BA19)-'BRAWLERS OFICIAL'!BA19)</f>
        <v>0</v>
      </c>
      <c r="BB19" s="79">
        <f>((( 0 )/3 + 'BRAWLERS OFICIAL'!BB19)-'BRAWLERS OFICIAL'!BB19)</f>
        <v>0</v>
      </c>
      <c r="BC19" s="79">
        <f>((0 + 'BRAWLERS OFICIAL'!BC19)-'BRAWLERS OFICIAL'!BC19)/($BN19/5)</f>
        <v>0</v>
      </c>
      <c r="BD19" s="79">
        <f>((0 + 'BRAWLERS OFICIAL'!BD19)-'BRAWLERS OFICIAL'!BD19)/($BN19/5)</f>
        <v>0</v>
      </c>
      <c r="BE19" s="79">
        <f>((( 0 )/2 + 'BRAWLERS OFICIAL'!BE19)-'BRAWLERS OFICIAL'!BE19)</f>
        <v>0</v>
      </c>
      <c r="BF19" s="79">
        <f>((0 + 'BRAWLERS OFICIAL'!BF19)-'BRAWLERS OFICIAL'!BF19)/($BN19/5)</f>
        <v>0</v>
      </c>
      <c r="BG19" s="79">
        <f>((( 0 )/2 + 'BRAWLERS OFICIAL'!BG19)-'BRAWLERS OFICIAL'!BG19)</f>
        <v>0</v>
      </c>
      <c r="BH19" s="79">
        <f>((( 0 )/3 + 'BRAWLERS OFICIAL'!BH19)-'BRAWLERS OFICIAL'!BH19)</f>
        <v>0</v>
      </c>
      <c r="BI19" s="79">
        <f>((( 0 )/2 + 'BRAWLERS OFICIAL'!BI19)-'BRAWLERS OFICIAL'!BI19)</f>
        <v>0</v>
      </c>
      <c r="BJ19" s="79">
        <f>((0 + 'BRAWLERS OFICIAL'!BJ19)-'BRAWLERS OFICIAL'!BJ19)/($BN19/5)</f>
        <v>0</v>
      </c>
      <c r="BK19" s="79">
        <f>((0 + 'BRAWLERS OFICIAL'!BK19)-'BRAWLERS OFICIAL'!BK19)/($BN19/5)</f>
        <v>0</v>
      </c>
      <c r="BL19" s="79">
        <f>((0 + 'BRAWLERS OFICIAL'!BL19)-'BRAWLERS OFICIAL'!BL19)/($BN19/5)</f>
        <v>0</v>
      </c>
      <c r="BN19" s="79">
        <v>17</v>
      </c>
    </row>
    <row r="20" spans="2:66">
      <c r="B20" s="78" t="s">
        <v>413</v>
      </c>
      <c r="C20" s="82" t="s">
        <v>69</v>
      </c>
      <c r="D20" s="79">
        <f>((0 + 'BRAWLERS OFICIAL'!D20)-'BRAWLERS OFICIAL'!D20)/($BN20/5)</f>
        <v>0</v>
      </c>
      <c r="E20" s="79">
        <f>((0 + 'BRAWLERS OFICIAL'!E20)-'BRAWLERS OFICIAL'!E20)/($BN20/5)</f>
        <v>0</v>
      </c>
      <c r="F20" s="79">
        <f>((0 + 'BRAWLERS OFICIAL'!F20)-'BRAWLERS OFICIAL'!F20)/($BN20/5)</f>
        <v>0</v>
      </c>
      <c r="G20" s="79">
        <f>((0 + 'BRAWLERS OFICIAL'!G20)-'BRAWLERS OFICIAL'!G20)/($BN20/5)</f>
        <v>0</v>
      </c>
      <c r="H20" s="79">
        <f>((0 + 'BRAWLERS OFICIAL'!H20)-'BRAWLERS OFICIAL'!H20)/($BN20/5)</f>
        <v>0</v>
      </c>
      <c r="I20" s="79">
        <f>((0 + 'BRAWLERS OFICIAL'!I20)-'BRAWLERS OFICIAL'!I20)/($BN20/5)</f>
        <v>0</v>
      </c>
      <c r="J20" s="79">
        <f>((0 + 'BRAWLERS OFICIAL'!J20)-'BRAWLERS OFICIAL'!J20)/($BN20/5)</f>
        <v>0</v>
      </c>
      <c r="K20" s="79">
        <f>((0 + 'BRAWLERS OFICIAL'!K20)-'BRAWLERS OFICIAL'!K20)/($BN20/5)</f>
        <v>0</v>
      </c>
      <c r="L20" s="79">
        <f>((0 + 'BRAWLERS OFICIAL'!L20)-'BRAWLERS OFICIAL'!L20)/($BN20/5)</f>
        <v>0</v>
      </c>
      <c r="M20" s="79">
        <f>((0 + 'BRAWLERS OFICIAL'!M20)-'BRAWLERS OFICIAL'!M20)/($BN20/5)</f>
        <v>0</v>
      </c>
      <c r="N20" s="79">
        <f>((0 + 'BRAWLERS OFICIAL'!N20)-'BRAWLERS OFICIAL'!N20)/($BN20/5)</f>
        <v>0</v>
      </c>
      <c r="O20" s="79">
        <f>((0 + 'BRAWLERS OFICIAL'!O20)-'BRAWLERS OFICIAL'!O20)/($BN20/5)</f>
        <v>0</v>
      </c>
      <c r="P20" s="79">
        <f>((0 + 'BRAWLERS OFICIAL'!P20)-'BRAWLERS OFICIAL'!P20)/($BN20/5)</f>
        <v>0</v>
      </c>
      <c r="Q20" s="79">
        <f>((0 + 'BRAWLERS OFICIAL'!Q20)-'BRAWLERS OFICIAL'!Q20)/($BN20/5)</f>
        <v>0</v>
      </c>
      <c r="R20" s="79">
        <f>((0 + 'BRAWLERS OFICIAL'!R20)-'BRAWLERS OFICIAL'!R20)/($BN20/5)</f>
        <v>0</v>
      </c>
      <c r="S20" s="79">
        <f>((0 + 'BRAWLERS OFICIAL'!S20)-'BRAWLERS OFICIAL'!S20)/($BN20/5)</f>
        <v>0</v>
      </c>
      <c r="T20" s="79">
        <f>((0 + 'BRAWLERS OFICIAL'!T20)-'BRAWLERS OFICIAL'!T20)/($BN20/5)</f>
        <v>0</v>
      </c>
      <c r="U20" s="79">
        <f>(0 + 'BRAWLERS OFICIAL'!U20)-'BRAWLERS OFICIAL'!U20</f>
        <v>0</v>
      </c>
      <c r="V20" s="121">
        <f>(( 3000/1400 + 'BRAWLERS OFICIAL'!V20 + AN20 + AV20/3.5 )-'BRAWLERS OFICIAL'!V20)/($BN20/5)</f>
        <v>0.71428571428571408</v>
      </c>
      <c r="W20" s="80">
        <f>((0 + 'BRAWLERS OFICIAL'!W20)-'BRAWLERS OFICIAL'!W20)/($BN20/5)</f>
        <v>0</v>
      </c>
      <c r="X20" s="80">
        <f>(((8.5 + 4 + 7)/3)-'BRAWLERS OFICIAL'!X20)</f>
        <v>0.83333333333333304</v>
      </c>
      <c r="Y20" s="80">
        <f>((0 + 'BRAWLERS OFICIAL'!Y20)-'BRAWLERS OFICIAL'!Y20)/($BN20/5)</f>
        <v>0</v>
      </c>
      <c r="Z20" s="80">
        <f>((0 + 'BRAWLERS OFICIAL'!Z20)-'BRAWLERS OFICIAL'!Z20)/($BN20/5)</f>
        <v>0</v>
      </c>
      <c r="AA20" s="80">
        <f>(((0)/4 + 'BRAWLERS OFICIAL'!AA20)-'BRAWLERS OFICIAL'!AA20)/($BN20/5)</f>
        <v>0</v>
      </c>
      <c r="AB20" s="80">
        <f>((0 + 'BRAWLERS OFICIAL'!AB20)-'BRAWLERS OFICIAL'!AB20)/($BN20/5)</f>
        <v>0</v>
      </c>
      <c r="AC20" s="80">
        <f>((0 + 'BRAWLERS OFICIAL'!AC20)-'BRAWLERS OFICIAL'!AC20)/($BN20/5)</f>
        <v>0</v>
      </c>
      <c r="AD20" s="80">
        <f>((0 + 'BRAWLERS OFICIAL'!AD20)-'BRAWLERS OFICIAL'!AD20)/($BN20/5)</f>
        <v>0</v>
      </c>
      <c r="AE20" s="80">
        <f>((0 + 'BRAWLERS OFICIAL'!AE20)-'BRAWLERS OFICIAL'!AE20)</f>
        <v>0</v>
      </c>
      <c r="AF20" s="80">
        <f>((0 + 'BRAWLERS OFICIAL'!AF20)-'BRAWLERS OFICIAL'!AF20)</f>
        <v>0</v>
      </c>
      <c r="AG20" s="80">
        <f>((0 + 'BRAWLERS OFICIAL'!AG20)-'BRAWLERS OFICIAL'!AG20)</f>
        <v>0</v>
      </c>
      <c r="AH20" s="80">
        <f>((0 + 'BRAWLERS OFICIAL'!AH20)-'BRAWLERS OFICIAL'!AH20)/($BN20/5)</f>
        <v>0</v>
      </c>
      <c r="AI20" s="80">
        <f>((3 + 'BRAWLERS OFICIAL'!AI20)-'BRAWLERS OFICIAL'!AI20)/($BN20/5)</f>
        <v>1</v>
      </c>
      <c r="AJ20" s="80">
        <f>(((BH20/5+1)*AI20 + 'BRAWLERS OFICIAL'!AJ20)-'BRAWLERS OFICIAL'!AJ20)/($BN20/5)</f>
        <v>0.33333333333333331</v>
      </c>
      <c r="AK20" s="80">
        <f>IF( 0 = (1-1), (1-1), ((0 + 'BRAWLERS OFICIAL'!AK20)/1.5)-'BRAWLERS OFICIAL'!AK20 )</f>
        <v>0</v>
      </c>
      <c r="AL20" s="80">
        <f t="shared" si="0"/>
        <v>0</v>
      </c>
      <c r="AM20" s="80">
        <f>((0 + 'BRAWLERS OFICIAL'!AM20)-'BRAWLERS OFICIAL'!AM20)/($BN20/5)</f>
        <v>0</v>
      </c>
      <c r="AN20" s="80">
        <f>((0/1000 + 'BRAWLERS OFICIAL'!AN20)-'BRAWLERS OFICIAL'!AN20)</f>
        <v>0</v>
      </c>
      <c r="AO20" s="80">
        <f>((0 + 'BRAWLERS OFICIAL'!AO20)-'BRAWLERS OFICIAL'!AO20)</f>
        <v>0</v>
      </c>
      <c r="AP20" s="80">
        <f>IF( 0 = (1-1), (1-1), ((0 + 'BRAWLERS OFICIAL'!AP20)/1.5) )</f>
        <v>0</v>
      </c>
      <c r="AQ20" s="80">
        <f>IF( 0 = (1-1), (1-1), ((0 + 'BRAWLERS OFICIAL'!AQ20)/1.5) )</f>
        <v>0</v>
      </c>
      <c r="AR20" s="80">
        <f>IF( 0 = (1-1), (1-1), ((0 + 'BRAWLERS OFICIAL'!AR20)/2) )</f>
        <v>0</v>
      </c>
      <c r="AS20" s="80">
        <f>((0 + 'BRAWLERS OFICIAL'!AS20)-'BRAWLERS OFICIAL'!AS20)/($BN20/5)</f>
        <v>0</v>
      </c>
      <c r="AT20" s="80">
        <f>(((0)/4 + 'BRAWLERS OFICIAL'!AT20)-'BRAWLERS OFICIAL'!AT20)</f>
        <v>0</v>
      </c>
      <c r="AU20" s="80">
        <v>0</v>
      </c>
      <c r="AV20" s="79">
        <f>((( 0 )/3 + 'BRAWLERS OFICIAL'!AV20)-'BRAWLERS OFICIAL'!AV20)</f>
        <v>0</v>
      </c>
      <c r="AW20" s="79">
        <f>((( 0 )/2 + 'BRAWLERS OFICIAL'!AW20)-'BRAWLERS OFICIAL'!AW20)/($BN20/5)</f>
        <v>0</v>
      </c>
      <c r="AX20" s="79">
        <f>((( 0 )/2 + 'BRAWLERS OFICIAL'!AX20)-'BRAWLERS OFICIAL'!AX20)</f>
        <v>0</v>
      </c>
      <c r="AY20" s="79">
        <f>((( 0 )/3 + 'BRAWLERS OFICIAL'!AY20)-'BRAWLERS OFICIAL'!AY20)</f>
        <v>0</v>
      </c>
      <c r="AZ20" s="79">
        <f>((( 0 )/2 + 'BRAWLERS OFICIAL'!AZ20)-'BRAWLERS OFICIAL'!AZ20)/($BN20/5)</f>
        <v>0</v>
      </c>
      <c r="BA20" s="79">
        <f>((( 0 )/3 + 'BRAWLERS OFICIAL'!BA20)-'BRAWLERS OFICIAL'!BA20)</f>
        <v>0</v>
      </c>
      <c r="BB20" s="79">
        <f>((( 0 )/3 + 'BRAWLERS OFICIAL'!BB20)-'BRAWLERS OFICIAL'!BB20)</f>
        <v>0</v>
      </c>
      <c r="BC20" s="79">
        <f>((0 + 'BRAWLERS OFICIAL'!BC20)-'BRAWLERS OFICIAL'!BC20)/($BN20/5)</f>
        <v>0</v>
      </c>
      <c r="BD20" s="79">
        <f>((0 + 'BRAWLERS OFICIAL'!BD20)-'BRAWLERS OFICIAL'!BD20)/($BN20/5)</f>
        <v>0</v>
      </c>
      <c r="BE20" s="79">
        <f>((( 0 )/2 + 'BRAWLERS OFICIAL'!BE20)-'BRAWLERS OFICIAL'!BE20)</f>
        <v>0</v>
      </c>
      <c r="BF20" s="79">
        <f>((0 + 'BRAWLERS OFICIAL'!BF20)-'BRAWLERS OFICIAL'!BF20)/($BN20/5)</f>
        <v>0</v>
      </c>
      <c r="BG20" s="79">
        <f>((( 0 )/2 + 'BRAWLERS OFICIAL'!BG20)-'BRAWLERS OFICIAL'!BG20)</f>
        <v>0</v>
      </c>
      <c r="BH20" s="79">
        <f>((( 0 )/3 + 'BRAWLERS OFICIAL'!BH20)-'BRAWLERS OFICIAL'!BH20)</f>
        <v>0</v>
      </c>
      <c r="BI20" s="79">
        <f>((( 0 )/2 + 'BRAWLERS OFICIAL'!BI20)-'BRAWLERS OFICIAL'!BI20)</f>
        <v>0</v>
      </c>
      <c r="BJ20" s="79">
        <f>((0 + 'BRAWLERS OFICIAL'!BJ20)-'BRAWLERS OFICIAL'!BJ20)/($BN20/5)</f>
        <v>0</v>
      </c>
      <c r="BK20" s="79">
        <f>((0 + 'BRAWLERS OFICIAL'!BK20)-'BRAWLERS OFICIAL'!BK20)/($BN20/5)</f>
        <v>0</v>
      </c>
      <c r="BL20" s="79">
        <f>((0 + 'BRAWLERS OFICIAL'!BL20)-'BRAWLERS OFICIAL'!BL20)/($BN20/5)</f>
        <v>0</v>
      </c>
      <c r="BN20" s="79">
        <v>15</v>
      </c>
    </row>
    <row r="21" spans="2:66">
      <c r="C21" t="s">
        <v>390</v>
      </c>
    </row>
    <row r="22" spans="2:66">
      <c r="B22" t="s">
        <v>414</v>
      </c>
      <c r="C22" t="s">
        <v>415</v>
      </c>
    </row>
  </sheetData>
  <conditionalFormatting sqref="D5:G5 M5:U5 W3:AD20 AH3:BL20 D3:U4 D6:U20">
    <cfRule type="cellIs" dxfId="47" priority="23" operator="greaterThan">
      <formula>0</formula>
    </cfRule>
  </conditionalFormatting>
  <conditionalFormatting sqref="BN3:BN20">
    <cfRule type="cellIs" dxfId="46" priority="21" operator="greaterThan">
      <formula>0</formula>
    </cfRule>
  </conditionalFormatting>
  <conditionalFormatting sqref="H5:L5">
    <cfRule type="cellIs" dxfId="45" priority="20" operator="greaterThan">
      <formula>0</formula>
    </cfRule>
  </conditionalFormatting>
  <conditionalFormatting sqref="V3">
    <cfRule type="cellIs" dxfId="44" priority="19" operator="greaterThan">
      <formula>0</formula>
    </cfRule>
  </conditionalFormatting>
  <conditionalFormatting sqref="V4">
    <cfRule type="cellIs" dxfId="43" priority="18" operator="greaterThan">
      <formula>0</formula>
    </cfRule>
  </conditionalFormatting>
  <conditionalFormatting sqref="V5">
    <cfRule type="cellIs" dxfId="42" priority="17" operator="greaterThan">
      <formula>0</formula>
    </cfRule>
  </conditionalFormatting>
  <conditionalFormatting sqref="V6">
    <cfRule type="cellIs" dxfId="41" priority="16" operator="greaterThan">
      <formula>0</formula>
    </cfRule>
  </conditionalFormatting>
  <conditionalFormatting sqref="V7">
    <cfRule type="cellIs" dxfId="40" priority="15" operator="greaterThan">
      <formula>0</formula>
    </cfRule>
  </conditionalFormatting>
  <conditionalFormatting sqref="V8">
    <cfRule type="cellIs" dxfId="39" priority="14" operator="greaterThan">
      <formula>0</formula>
    </cfRule>
  </conditionalFormatting>
  <conditionalFormatting sqref="V9">
    <cfRule type="cellIs" dxfId="38" priority="13" operator="greaterThan">
      <formula>0</formula>
    </cfRule>
  </conditionalFormatting>
  <conditionalFormatting sqref="V10">
    <cfRule type="cellIs" dxfId="37" priority="12" operator="greaterThan">
      <formula>0</formula>
    </cfRule>
  </conditionalFormatting>
  <conditionalFormatting sqref="V11">
    <cfRule type="cellIs" dxfId="36" priority="11" operator="greaterThan">
      <formula>0</formula>
    </cfRule>
  </conditionalFormatting>
  <conditionalFormatting sqref="V12">
    <cfRule type="cellIs" dxfId="35" priority="10" operator="greaterThan">
      <formula>0</formula>
    </cfRule>
  </conditionalFormatting>
  <conditionalFormatting sqref="V13">
    <cfRule type="cellIs" dxfId="34" priority="9" operator="greaterThan">
      <formula>0</formula>
    </cfRule>
  </conditionalFormatting>
  <conditionalFormatting sqref="V14">
    <cfRule type="cellIs" dxfId="33" priority="8" operator="greaterThan">
      <formula>0</formula>
    </cfRule>
  </conditionalFormatting>
  <conditionalFormatting sqref="V15">
    <cfRule type="cellIs" dxfId="32" priority="7" operator="greaterThan">
      <formula>0</formula>
    </cfRule>
  </conditionalFormatting>
  <conditionalFormatting sqref="V16">
    <cfRule type="cellIs" dxfId="31" priority="6" operator="greaterThan">
      <formula>0</formula>
    </cfRule>
  </conditionalFormatting>
  <conditionalFormatting sqref="V17">
    <cfRule type="cellIs" dxfId="30" priority="5" operator="greaterThan">
      <formula>0</formula>
    </cfRule>
  </conditionalFormatting>
  <conditionalFormatting sqref="V18">
    <cfRule type="cellIs" dxfId="29" priority="4" operator="greaterThan">
      <formula>0</formula>
    </cfRule>
  </conditionalFormatting>
  <conditionalFormatting sqref="V19">
    <cfRule type="cellIs" dxfId="28" priority="3" operator="greaterThan">
      <formula>0</formula>
    </cfRule>
  </conditionalFormatting>
  <conditionalFormatting sqref="V20">
    <cfRule type="cellIs" dxfId="27" priority="2" operator="greaterThan">
      <formula>0</formula>
    </cfRule>
  </conditionalFormatting>
  <conditionalFormatting sqref="AE3:AG20">
    <cfRule type="cellIs" dxfId="26" priority="1" operator="greaterThan">
      <formula>0</formula>
    </cfRule>
  </conditionalFormatting>
  <dataValidations count="1">
    <dataValidation allowBlank="1" showInputMessage="1" showErrorMessage="1" sqref="B2:B20" xr:uid="{AAC06F12-F129-4870-A0F3-4F440123317C}"/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73E58-C56A-4D33-AD2D-ABCCE2BFCE34}">
  <dimension ref="A1:BN22"/>
  <sheetViews>
    <sheetView workbookViewId="0">
      <pane xSplit="3" topLeftCell="D1" activePane="topRight" state="frozen"/>
      <selection pane="topRight" activeCell="B3" sqref="B3"/>
    </sheetView>
  </sheetViews>
  <sheetFormatPr defaultRowHeight="15"/>
  <cols>
    <col min="1" max="1" width="9.140625" style="84"/>
    <col min="2" max="2" width="22.7109375" bestFit="1" customWidth="1"/>
  </cols>
  <sheetData>
    <row r="1" spans="1:66" s="84" customFormat="1">
      <c r="A1" s="83"/>
      <c r="X1" s="84" t="s">
        <v>394</v>
      </c>
      <c r="AE1" s="84" t="s">
        <v>394</v>
      </c>
      <c r="AF1" s="84" t="s">
        <v>394</v>
      </c>
      <c r="AG1" s="84" t="s">
        <v>394</v>
      </c>
      <c r="AK1" s="84" t="s">
        <v>394</v>
      </c>
      <c r="AL1" s="84" t="s">
        <v>394</v>
      </c>
      <c r="AN1" s="84" t="s">
        <v>394</v>
      </c>
      <c r="AO1" s="84" t="s">
        <v>394</v>
      </c>
      <c r="AP1" s="84" t="s">
        <v>394</v>
      </c>
      <c r="AQ1" s="84" t="s">
        <v>394</v>
      </c>
      <c r="AR1" s="84" t="s">
        <v>394</v>
      </c>
      <c r="AT1" s="84" t="s">
        <v>394</v>
      </c>
    </row>
    <row r="2" spans="1:66">
      <c r="B2" s="2" t="s">
        <v>395</v>
      </c>
      <c r="C2" s="2" t="s">
        <v>302</v>
      </c>
      <c r="D2" s="116" t="s">
        <v>303</v>
      </c>
      <c r="E2" s="116" t="s">
        <v>304</v>
      </c>
      <c r="F2" s="116" t="s">
        <v>305</v>
      </c>
      <c r="G2" s="116" t="s">
        <v>306</v>
      </c>
      <c r="H2" s="116" t="s">
        <v>307</v>
      </c>
      <c r="I2" s="116" t="s">
        <v>308</v>
      </c>
      <c r="J2" s="116" t="s">
        <v>309</v>
      </c>
      <c r="K2" s="116" t="s">
        <v>310</v>
      </c>
      <c r="L2" s="116" t="s">
        <v>311</v>
      </c>
      <c r="M2" s="116" t="s">
        <v>312</v>
      </c>
      <c r="N2" s="116" t="s">
        <v>313</v>
      </c>
      <c r="O2" s="116" t="s">
        <v>314</v>
      </c>
      <c r="P2" s="116" t="s">
        <v>315</v>
      </c>
      <c r="Q2" s="116" t="s">
        <v>316</v>
      </c>
      <c r="R2" s="116" t="s">
        <v>317</v>
      </c>
      <c r="S2" s="116" t="s">
        <v>318</v>
      </c>
      <c r="T2" s="116" t="s">
        <v>319</v>
      </c>
      <c r="U2" s="116" t="s">
        <v>320</v>
      </c>
      <c r="V2" s="2" t="s">
        <v>321</v>
      </c>
      <c r="W2" s="2" t="s">
        <v>322</v>
      </c>
      <c r="X2" s="2" t="s">
        <v>323</v>
      </c>
      <c r="Y2" s="2" t="s">
        <v>324</v>
      </c>
      <c r="Z2" s="2" t="s">
        <v>325</v>
      </c>
      <c r="AA2" s="2" t="s">
        <v>326</v>
      </c>
      <c r="AB2" s="2" t="s">
        <v>327</v>
      </c>
      <c r="AC2" s="2" t="s">
        <v>328</v>
      </c>
      <c r="AD2" s="2" t="s">
        <v>329</v>
      </c>
      <c r="AE2" s="2" t="s">
        <v>330</v>
      </c>
      <c r="AF2" s="2" t="s">
        <v>331</v>
      </c>
      <c r="AG2" s="116" t="s">
        <v>332</v>
      </c>
      <c r="AH2" s="116" t="s">
        <v>333</v>
      </c>
      <c r="AI2" s="116" t="s">
        <v>334</v>
      </c>
      <c r="AJ2" s="2" t="s">
        <v>335</v>
      </c>
      <c r="AK2" s="116" t="s">
        <v>336</v>
      </c>
      <c r="AL2" s="116" t="s">
        <v>337</v>
      </c>
      <c r="AM2" s="116" t="s">
        <v>338</v>
      </c>
      <c r="AN2" s="116" t="s">
        <v>339</v>
      </c>
      <c r="AO2" s="116" t="s">
        <v>340</v>
      </c>
      <c r="AP2" s="116" t="s">
        <v>341</v>
      </c>
      <c r="AQ2" s="116" t="s">
        <v>342</v>
      </c>
      <c r="AR2" s="116" t="s">
        <v>343</v>
      </c>
      <c r="AS2" s="116" t="s">
        <v>344</v>
      </c>
      <c r="AT2" s="116" t="s">
        <v>345</v>
      </c>
      <c r="AU2" s="116" t="s">
        <v>346</v>
      </c>
      <c r="AV2" s="2" t="s">
        <v>347</v>
      </c>
      <c r="AW2" s="2" t="s">
        <v>348</v>
      </c>
      <c r="AX2" s="116" t="s">
        <v>349</v>
      </c>
      <c r="AY2" s="2" t="s">
        <v>350</v>
      </c>
      <c r="AZ2" s="2" t="s">
        <v>351</v>
      </c>
      <c r="BA2" s="2" t="s">
        <v>352</v>
      </c>
      <c r="BB2" s="2" t="s">
        <v>353</v>
      </c>
      <c r="BC2" s="2" t="s">
        <v>354</v>
      </c>
      <c r="BD2" s="117" t="s">
        <v>355</v>
      </c>
      <c r="BE2" s="2" t="s">
        <v>356</v>
      </c>
      <c r="BF2" s="2" t="s">
        <v>357</v>
      </c>
      <c r="BG2" s="116" t="s">
        <v>358</v>
      </c>
      <c r="BH2" s="116" t="s">
        <v>359</v>
      </c>
      <c r="BI2" s="2" t="s">
        <v>360</v>
      </c>
      <c r="BJ2" s="2" t="s">
        <v>361</v>
      </c>
      <c r="BK2" s="116" t="s">
        <v>362</v>
      </c>
      <c r="BL2" s="2" t="s">
        <v>363</v>
      </c>
      <c r="BN2" s="2" t="s">
        <v>396</v>
      </c>
    </row>
    <row r="3" spans="1:66">
      <c r="B3" s="77" t="s">
        <v>416</v>
      </c>
      <c r="C3" s="67" t="s">
        <v>78</v>
      </c>
      <c r="D3" s="79">
        <f>((0 + 'BRAWLERS OFICIAL'!D3)-'BRAWLERS OFICIAL'!D3)/($BN3/5)</f>
        <v>0</v>
      </c>
      <c r="E3" s="79">
        <f>((0 + 'BRAWLERS OFICIAL'!E3)-'BRAWLERS OFICIAL'!E3)/($BN3/5)</f>
        <v>0</v>
      </c>
      <c r="F3" s="79">
        <f>((0 + 'BRAWLERS OFICIAL'!F3)-'BRAWLERS OFICIAL'!F3)/($BN3/5)</f>
        <v>0</v>
      </c>
      <c r="G3" s="79">
        <f>((0 + 'BRAWLERS OFICIAL'!G3)-'BRAWLERS OFICIAL'!G3)/($BN3/5)</f>
        <v>0</v>
      </c>
      <c r="H3" s="79">
        <f>((0 + 'BRAWLERS OFICIAL'!H3)-'BRAWLERS OFICIAL'!H3)/($BN3/5)</f>
        <v>0</v>
      </c>
      <c r="I3" s="79">
        <f>((0 + 'BRAWLERS OFICIAL'!I3)-'BRAWLERS OFICIAL'!I3)/($BN3/5)</f>
        <v>0</v>
      </c>
      <c r="J3" s="79">
        <f>((0 + 'BRAWLERS OFICIAL'!J3)-'BRAWLERS OFICIAL'!J3)/($BN3/5)</f>
        <v>0</v>
      </c>
      <c r="K3" s="79">
        <f>((0 + 'BRAWLERS OFICIAL'!K3)-'BRAWLERS OFICIAL'!K3)/($BN3/5)</f>
        <v>0</v>
      </c>
      <c r="L3" s="79">
        <f>((0 + 'BRAWLERS OFICIAL'!L3)-'BRAWLERS OFICIAL'!L3)/($BN3/5)</f>
        <v>0</v>
      </c>
      <c r="M3" s="79">
        <f>((0 + 'BRAWLERS OFICIAL'!M3)-'BRAWLERS OFICIAL'!M3)/($BN3/5)</f>
        <v>0</v>
      </c>
      <c r="N3" s="79">
        <f>((0 + 'BRAWLERS OFICIAL'!N3)-'BRAWLERS OFICIAL'!N3)/($BN3/5)</f>
        <v>0</v>
      </c>
      <c r="O3" s="79">
        <f>((0 + 'BRAWLERS OFICIAL'!O3)-'BRAWLERS OFICIAL'!O3)/($BN3/5)</f>
        <v>0</v>
      </c>
      <c r="P3" s="79">
        <f>((0 + 'BRAWLERS OFICIAL'!P3)-'BRAWLERS OFICIAL'!P3)/($BN3/5)</f>
        <v>0</v>
      </c>
      <c r="Q3" s="79">
        <f>((0 + 'BRAWLERS OFICIAL'!Q3)-'BRAWLERS OFICIAL'!Q3)/($BN3/5)</f>
        <v>0</v>
      </c>
      <c r="R3" s="79">
        <f>((0 + 'BRAWLERS OFICIAL'!R3)-'BRAWLERS OFICIAL'!R3)/($BN3/5)</f>
        <v>0</v>
      </c>
      <c r="S3" s="79">
        <f>((0 + 'BRAWLERS OFICIAL'!S3)-'BRAWLERS OFICIAL'!S3)/($BN3/5)</f>
        <v>0</v>
      </c>
      <c r="T3" s="79">
        <f>((0 + 'BRAWLERS OFICIAL'!T3)-'BRAWLERS OFICIAL'!T3)/($BN3/5)</f>
        <v>0</v>
      </c>
      <c r="U3" s="79">
        <f>(AVERAGE(200, 3500))-'BRAWLERS OFICIAL'!U3</f>
        <v>1850</v>
      </c>
      <c r="V3" s="121">
        <f>(( U3/1400 + 'BRAWLERS OFICIAL'!V3 + AN3 + AV3/3.5 )-'BRAWLERS OFICIAL'!V3)/($BN3/5)</f>
        <v>0.38865546218487401</v>
      </c>
      <c r="W3" s="80">
        <f>((0 + 'BRAWLERS OFICIAL'!W3)-'BRAWLERS OFICIAL'!W3)/($BN3/5)</f>
        <v>0</v>
      </c>
      <c r="X3" s="80">
        <f>(((0)/3 + 'BRAWLERS OFICIAL'!X3)-'BRAWLERS OFICIAL'!X3)</f>
        <v>0</v>
      </c>
      <c r="Y3" s="80">
        <f>((0 + 'BRAWLERS OFICIAL'!Y3)-'BRAWLERS OFICIAL'!Y3)/($BN3/5)</f>
        <v>0</v>
      </c>
      <c r="Z3" s="80">
        <f>((0 + 'BRAWLERS OFICIAL'!Z3)-'BRAWLERS OFICIAL'!Z3)/($BN3/5)</f>
        <v>0</v>
      </c>
      <c r="AA3" s="80">
        <f>(((0)/4 + 'BRAWLERS OFICIAL'!AA3)-'BRAWLERS OFICIAL'!AA3)/($BN3/5)</f>
        <v>0</v>
      </c>
      <c r="AB3" s="80">
        <f>((0 + 'BRAWLERS OFICIAL'!AB3)-'BRAWLERS OFICIAL'!AB3)/($BN3/5)</f>
        <v>0</v>
      </c>
      <c r="AC3" s="80">
        <f>((0 + 'BRAWLERS OFICIAL'!AC3)-'BRAWLERS OFICIAL'!AC3)/($BN3/5)</f>
        <v>0</v>
      </c>
      <c r="AD3" s="80">
        <f>((0 + 'BRAWLERS OFICIAL'!AD3)-'BRAWLERS OFICIAL'!AD3)/($BN3/5)</f>
        <v>0</v>
      </c>
      <c r="AE3" s="80">
        <f>((0 + 'BRAWLERS OFICIAL'!AE3)-'BRAWLERS OFICIAL'!AE3)</f>
        <v>0</v>
      </c>
      <c r="AF3" s="80">
        <f>((0 + 'BRAWLERS OFICIAL'!AF3)-'BRAWLERS OFICIAL'!AF3)</f>
        <v>0</v>
      </c>
      <c r="AG3" s="80">
        <f>((0 + 'BRAWLERS OFICIAL'!AG3)-'BRAWLERS OFICIAL'!AG3)</f>
        <v>0</v>
      </c>
      <c r="AH3" s="80">
        <f>((0 + 'BRAWLERS OFICIAL'!AH3)-'BRAWLERS OFICIAL'!AH3)/($BN3/5)</f>
        <v>0</v>
      </c>
      <c r="AI3" s="80">
        <f>((0 + 'BRAWLERS OFICIAL'!AI3)-'BRAWLERS OFICIAL'!AI3)/($BN3/5)</f>
        <v>0</v>
      </c>
      <c r="AJ3" s="80">
        <f>(((BH3/5+1)*AI3 + 'BRAWLERS OFICIAL'!AJ3)-'BRAWLERS OFICIAL'!AJ3)/($BN3/5)</f>
        <v>0</v>
      </c>
      <c r="AK3" s="80">
        <f>IF( 0 = (1-1), (1-1), ((0 + 'BRAWLERS OFICIAL'!AK3)/1.5)-'BRAWLERS OFICIAL'!AK3 )</f>
        <v>0</v>
      </c>
      <c r="AL3" s="80">
        <f>IF( 0 = (1-1), (1-1), ( 0 ) )</f>
        <v>0</v>
      </c>
      <c r="AM3" s="80">
        <f>((0 + 'BRAWLERS OFICIAL'!AM3)-'BRAWLERS OFICIAL'!AM3)/($BN3/5)</f>
        <v>0</v>
      </c>
      <c r="AN3" s="80">
        <f>((0/1000 + 'BRAWLERS OFICIAL'!AN3)-'BRAWLERS OFICIAL'!AN3)</f>
        <v>0</v>
      </c>
      <c r="AO3" s="80">
        <f>((0 + 'BRAWLERS OFICIAL'!AO3)-'BRAWLERS OFICIAL'!AO3)</f>
        <v>0</v>
      </c>
      <c r="AP3" s="80">
        <f>IF( 0 = (1-1), (1-1), ((0 + 'BRAWLERS OFICIAL'!AP3)/1.5) )</f>
        <v>0</v>
      </c>
      <c r="AQ3" s="80">
        <f>IF( 0 = (1-1), (1-1), ((0 + 'BRAWLERS OFICIAL'!AQ3)/1.5) )</f>
        <v>0</v>
      </c>
      <c r="AR3" s="80">
        <f>IF( 0 = (1-1), (1-1), ((0 + 'BRAWLERS OFICIAL'!AR3)/2) )</f>
        <v>0</v>
      </c>
      <c r="AS3" s="80">
        <f>((0 + 'BRAWLERS OFICIAL'!AS3)-'BRAWLERS OFICIAL'!AS3)/($BN3/5)</f>
        <v>0</v>
      </c>
      <c r="AT3" s="80">
        <f>(((0)/4 + 'BRAWLERS OFICIAL'!AT3)-'BRAWLERS OFICIAL'!AT3)</f>
        <v>0</v>
      </c>
      <c r="AU3" s="80">
        <v>2.5</v>
      </c>
      <c r="AV3" s="79">
        <f>((( 0 )/3 + 'BRAWLERS OFICIAL'!AV3)-'BRAWLERS OFICIAL'!AV3)</f>
        <v>0</v>
      </c>
      <c r="AW3" s="79">
        <f>((( 0 )/2 + 'BRAWLERS OFICIAL'!AW3)-'BRAWLERS OFICIAL'!AW3)/($BN3/5)</f>
        <v>0</v>
      </c>
      <c r="AX3" s="79">
        <f>((( 0 )/2 + 'BRAWLERS OFICIAL'!AX3)-'BRAWLERS OFICIAL'!AX3)</f>
        <v>0</v>
      </c>
      <c r="AY3" s="79">
        <f>((( 0 )/3 + 'BRAWLERS OFICIAL'!AY3)-'BRAWLERS OFICIAL'!AY3)</f>
        <v>0</v>
      </c>
      <c r="AZ3" s="79">
        <f>((( 0 )/2 + 'BRAWLERS OFICIAL'!AZ3)-'BRAWLERS OFICIAL'!AZ3)/($BN3/5)</f>
        <v>0</v>
      </c>
      <c r="BA3" s="79">
        <f>((( 0 )/3 + 'BRAWLERS OFICIAL'!BA3)-'BRAWLERS OFICIAL'!BA3)</f>
        <v>0</v>
      </c>
      <c r="BB3" s="79">
        <f>((( 0 )/3 + 'BRAWLERS OFICIAL'!BB3)-'BRAWLERS OFICIAL'!BB3)</f>
        <v>0</v>
      </c>
      <c r="BC3" s="79">
        <f>((0 + 'BRAWLERS OFICIAL'!BC3)-'BRAWLERS OFICIAL'!BC3)/($BN3/5)</f>
        <v>0</v>
      </c>
      <c r="BD3" s="79">
        <f>((0 + 'BRAWLERS OFICIAL'!BD3)-'BRAWLERS OFICIAL'!BD3)/($BN3/5)</f>
        <v>0</v>
      </c>
      <c r="BE3" s="79">
        <f>((( 0 )/2 + 'BRAWLERS OFICIAL'!BE3)-'BRAWLERS OFICIAL'!BE3)</f>
        <v>0</v>
      </c>
      <c r="BF3" s="79">
        <f>((0 + 'BRAWLERS OFICIAL'!BF3)-'BRAWLERS OFICIAL'!BF3)/($BN3/5)</f>
        <v>0</v>
      </c>
      <c r="BG3" s="79">
        <f>((( 0 )/2 + 'BRAWLERS OFICIAL'!BG3)-'BRAWLERS OFICIAL'!BG3)</f>
        <v>0</v>
      </c>
      <c r="BH3" s="79">
        <f>((( 0 )/3 + 'BRAWLERS OFICIAL'!BH3)-'BRAWLERS OFICIAL'!BH3)</f>
        <v>0</v>
      </c>
      <c r="BI3" s="79">
        <f>((( 0 )/2 + 'BRAWLERS OFICIAL'!BI3)-'BRAWLERS OFICIAL'!BI3)</f>
        <v>0</v>
      </c>
      <c r="BJ3" s="79">
        <f>((0 + 'BRAWLERS OFICIAL'!BJ3)-'BRAWLERS OFICIAL'!BJ3)/($BN3/5)</f>
        <v>0</v>
      </c>
      <c r="BK3" s="79">
        <f>((0 + 'BRAWLERS OFICIAL'!BK3)-'BRAWLERS OFICIAL'!BK3)/($BN3/5)</f>
        <v>0</v>
      </c>
      <c r="BL3" s="79">
        <f>((0 + 'BRAWLERS OFICIAL'!BL3)-'BRAWLERS OFICIAL'!BL3)/($BN3/5)</f>
        <v>0</v>
      </c>
      <c r="BN3" s="79">
        <v>17</v>
      </c>
    </row>
    <row r="4" spans="1:66">
      <c r="B4" s="77" t="s">
        <v>417</v>
      </c>
      <c r="C4" s="67" t="s">
        <v>10</v>
      </c>
      <c r="D4" s="79">
        <f>((0 + 'BRAWLERS OFICIAL'!D4)-'BRAWLERS OFICIAL'!D4)/($BN4/5)</f>
        <v>0</v>
      </c>
      <c r="E4" s="79">
        <f>((0 + 'BRAWLERS OFICIAL'!E4)-'BRAWLERS OFICIAL'!E4)/($BN4/5)</f>
        <v>0</v>
      </c>
      <c r="F4" s="79">
        <f>((0 + 'BRAWLERS OFICIAL'!F4)-'BRAWLERS OFICIAL'!F4)/($BN4/5)</f>
        <v>0</v>
      </c>
      <c r="G4" s="79">
        <f>((0 + 'BRAWLERS OFICIAL'!G4)-'BRAWLERS OFICIAL'!G4)/($BN4/5)</f>
        <v>0</v>
      </c>
      <c r="H4" s="79">
        <f>((0 + 'BRAWLERS OFICIAL'!H4)-'BRAWLERS OFICIAL'!H4)/($BN4/5)</f>
        <v>0</v>
      </c>
      <c r="I4" s="79">
        <f>((0 + 'BRAWLERS OFICIAL'!I4)-'BRAWLERS OFICIAL'!I4)/($BN4/5)</f>
        <v>0</v>
      </c>
      <c r="J4" s="79">
        <f>((0 + 'BRAWLERS OFICIAL'!J4)-'BRAWLERS OFICIAL'!J4)/($BN4/5)</f>
        <v>0</v>
      </c>
      <c r="K4" s="79">
        <f>((0 + 'BRAWLERS OFICIAL'!K4)-'BRAWLERS OFICIAL'!K4)/($BN4/5)</f>
        <v>0</v>
      </c>
      <c r="L4" s="79">
        <f>((0 + 'BRAWLERS OFICIAL'!L4)-'BRAWLERS OFICIAL'!L4)/($BN4/5)</f>
        <v>0</v>
      </c>
      <c r="M4" s="79">
        <f>((0 + 'BRAWLERS OFICIAL'!M4)-'BRAWLERS OFICIAL'!M4)/($BN4/5)</f>
        <v>0</v>
      </c>
      <c r="N4" s="79">
        <f>((0 + 'BRAWLERS OFICIAL'!N4)-'BRAWLERS OFICIAL'!N4)/($BN4/5)</f>
        <v>0</v>
      </c>
      <c r="O4" s="79">
        <f>((0 + 'BRAWLERS OFICIAL'!O4)-'BRAWLERS OFICIAL'!O4)/($BN4/5)</f>
        <v>0</v>
      </c>
      <c r="P4" s="79">
        <f>((0 + 'BRAWLERS OFICIAL'!P4)-'BRAWLERS OFICIAL'!P4)/($BN4/5)</f>
        <v>0</v>
      </c>
      <c r="Q4" s="79">
        <f>((0 + 'BRAWLERS OFICIAL'!Q4)-'BRAWLERS OFICIAL'!Q4)/($BN4/5)</f>
        <v>0</v>
      </c>
      <c r="R4" s="79">
        <f>((0 + 'BRAWLERS OFICIAL'!R4)-'BRAWLERS OFICIAL'!R4)/($BN4/5)</f>
        <v>0</v>
      </c>
      <c r="S4" s="79">
        <f>((0 + 'BRAWLERS OFICIAL'!S4)-'BRAWLERS OFICIAL'!S4)/($BN4/5)</f>
        <v>0</v>
      </c>
      <c r="T4" s="79">
        <f>((0 + 'BRAWLERS OFICIAL'!T4)-'BRAWLERS OFICIAL'!T4)/($BN4/5)</f>
        <v>0</v>
      </c>
      <c r="U4" s="79">
        <f>(0 + 'BRAWLERS OFICIAL'!U4)-'BRAWLERS OFICIAL'!U4</f>
        <v>0</v>
      </c>
      <c r="V4" s="121">
        <f>(( 0 + 'BRAWLERS OFICIAL'!V4 + AN4 + AV4/3.5 )-'BRAWLERS OFICIAL'!V4)/($BN4/5)</f>
        <v>0</v>
      </c>
      <c r="W4" s="80">
        <f>((0 + 'BRAWLERS OFICIAL'!W4)-'BRAWLERS OFICIAL'!W4)/($BN4/5)</f>
        <v>0</v>
      </c>
      <c r="X4" s="80">
        <f>(((0)/3 + 'BRAWLERS OFICIAL'!X4)-'BRAWLERS OFICIAL'!X4)</f>
        <v>0</v>
      </c>
      <c r="Y4" s="80">
        <f>((1 + 'BRAWLERS OFICIAL'!Y4)-'BRAWLERS OFICIAL'!Y4)/($BN4/5)</f>
        <v>0.27777777777777779</v>
      </c>
      <c r="Z4" s="80">
        <f>((2.5 + 'BRAWLERS OFICIAL'!Z4)-'BRAWLERS OFICIAL'!Z4)/($BN4/5)</f>
        <v>0.69444444444444442</v>
      </c>
      <c r="AA4" s="80">
        <f>(((0)/4 + 'BRAWLERS OFICIAL'!AA4)-'BRAWLERS OFICIAL'!AA4)/($BN4/5)</f>
        <v>0</v>
      </c>
      <c r="AB4" s="80">
        <f>((0 + 'BRAWLERS OFICIAL'!AB4)-'BRAWLERS OFICIAL'!AB4)/($BN4/5)</f>
        <v>0</v>
      </c>
      <c r="AC4" s="80">
        <f>((0 + 'BRAWLERS OFICIAL'!AC4)-'BRAWLERS OFICIAL'!AC4)/($BN4/5)</f>
        <v>0</v>
      </c>
      <c r="AD4" s="80">
        <f>((0 + 'BRAWLERS OFICIAL'!AD4)-'BRAWLERS OFICIAL'!AD4)/($BN4/5)</f>
        <v>0</v>
      </c>
      <c r="AE4" s="80">
        <f>((0 + 'BRAWLERS OFICIAL'!AE4)-'BRAWLERS OFICIAL'!AE4)</f>
        <v>0</v>
      </c>
      <c r="AF4" s="80">
        <f>((0 + 'BRAWLERS OFICIAL'!AF4)-'BRAWLERS OFICIAL'!AF4)</f>
        <v>0</v>
      </c>
      <c r="AG4" s="80">
        <f>((0 + 'BRAWLERS OFICIAL'!AG4)-'BRAWLERS OFICIAL'!AG4)</f>
        <v>0</v>
      </c>
      <c r="AH4" s="80">
        <f>((0 + 'BRAWLERS OFICIAL'!AH4)-'BRAWLERS OFICIAL'!AH4)/($BN4/5)</f>
        <v>0</v>
      </c>
      <c r="AI4" s="80">
        <f>((0 + 'BRAWLERS OFICIAL'!AI4)-'BRAWLERS OFICIAL'!AI4)/($BN4/5)</f>
        <v>0</v>
      </c>
      <c r="AJ4" s="80">
        <f>(((BH4/5+1)*AI4 + 'BRAWLERS OFICIAL'!AJ4)-'BRAWLERS OFICIAL'!AJ4)/($BN4/5)</f>
        <v>0</v>
      </c>
      <c r="AK4" s="80">
        <f>IF( 0 = (1-1), (1-1), ((0 + 'BRAWLERS OFICIAL'!AK4)/1.5)-'BRAWLERS OFICIAL'!AK4 )</f>
        <v>0</v>
      </c>
      <c r="AL4" s="80">
        <f t="shared" ref="AL4:AL20" si="0">IF( 0 = (1-1), (1-1), ( 0 ) )</f>
        <v>0</v>
      </c>
      <c r="AM4" s="80">
        <f>((0 + 'BRAWLERS OFICIAL'!AM4)-'BRAWLERS OFICIAL'!AM4)/($BN4/5)</f>
        <v>0</v>
      </c>
      <c r="AN4" s="80">
        <f>((0/1000 + 'BRAWLERS OFICIAL'!AN4)-'BRAWLERS OFICIAL'!AN4)</f>
        <v>0</v>
      </c>
      <c r="AO4" s="80">
        <f>((0 + 'BRAWLERS OFICIAL'!AO4)-'BRAWLERS OFICIAL'!AO4)</f>
        <v>0</v>
      </c>
      <c r="AP4" s="80">
        <f>IF( 0 = (1-1), (1-1), ((0 + 'BRAWLERS OFICIAL'!AP4)/1.5) )</f>
        <v>0</v>
      </c>
      <c r="AQ4" s="80">
        <f>IF( 0 = (1-1), (1-1), ((0 + 'BRAWLERS OFICIAL'!AQ4)/1.5) )</f>
        <v>0</v>
      </c>
      <c r="AR4" s="80">
        <f>IF( 0 = (1-1), (1-1), ((0 + 'BRAWLERS OFICIAL'!AR4)/2) )</f>
        <v>0</v>
      </c>
      <c r="AS4" s="80">
        <f>((0 + 'BRAWLERS OFICIAL'!AS4)-'BRAWLERS OFICIAL'!AS4)/($BN4/5)</f>
        <v>0</v>
      </c>
      <c r="AT4" s="80">
        <f>(((0)/4 + 'BRAWLERS OFICIAL'!AT4)-'BRAWLERS OFICIAL'!AT4)</f>
        <v>0</v>
      </c>
      <c r="AU4" s="80">
        <v>0</v>
      </c>
      <c r="AV4" s="79">
        <f>((( 0 )/3 + 'BRAWLERS OFICIAL'!AV4)-'BRAWLERS OFICIAL'!AV4)</f>
        <v>0</v>
      </c>
      <c r="AW4" s="79">
        <f>((( 0 )/2 + 'BRAWLERS OFICIAL'!AW4)-'BRAWLERS OFICIAL'!AW4)/($BN4/5)</f>
        <v>0</v>
      </c>
      <c r="AX4" s="79">
        <f>((( 0 )/2 + 'BRAWLERS OFICIAL'!AX4)-'BRAWLERS OFICIAL'!AX4)</f>
        <v>0</v>
      </c>
      <c r="AY4" s="79">
        <f>((( 0 )/3 + 'BRAWLERS OFICIAL'!AY4)-'BRAWLERS OFICIAL'!AY4)</f>
        <v>0</v>
      </c>
      <c r="AZ4" s="79">
        <f>((( 0 )/2 + 'BRAWLERS OFICIAL'!AZ4)-'BRAWLERS OFICIAL'!AZ4)/($BN4/5)</f>
        <v>0</v>
      </c>
      <c r="BA4" s="79">
        <f>((( 0 )/3 + 'BRAWLERS OFICIAL'!BA4)-'BRAWLERS OFICIAL'!BA4)</f>
        <v>0</v>
      </c>
      <c r="BB4" s="79">
        <f>((( 0 )/3 + 'BRAWLERS OFICIAL'!BB4)-'BRAWLERS OFICIAL'!BB4)</f>
        <v>0</v>
      </c>
      <c r="BC4" s="79">
        <f>((0 + 'BRAWLERS OFICIAL'!BC4)-'BRAWLERS OFICIAL'!BC4)/($BN4/5)</f>
        <v>0</v>
      </c>
      <c r="BD4" s="79">
        <f>((0 + 'BRAWLERS OFICIAL'!BD4)-'BRAWLERS OFICIAL'!BD4)/($BN4/5)</f>
        <v>0</v>
      </c>
      <c r="BE4" s="79">
        <f>((( 0 )/2 + 'BRAWLERS OFICIAL'!BE4)-'BRAWLERS OFICIAL'!BE4)</f>
        <v>0</v>
      </c>
      <c r="BF4" s="79">
        <f>((0 + 'BRAWLERS OFICIAL'!BF4)-'BRAWLERS OFICIAL'!BF4)/($BN4/5)</f>
        <v>0</v>
      </c>
      <c r="BG4" s="79">
        <f>((( 0 )/2 + 'BRAWLERS OFICIAL'!BG4)-'BRAWLERS OFICIAL'!BG4)</f>
        <v>0</v>
      </c>
      <c r="BH4" s="79">
        <f>((( 0 )/3 + 'BRAWLERS OFICIAL'!BH4)-'BRAWLERS OFICIAL'!BH4)</f>
        <v>0</v>
      </c>
      <c r="BI4" s="79">
        <f>((( 0 )/2 + 'BRAWLERS OFICIAL'!BI4)-'BRAWLERS OFICIAL'!BI4)</f>
        <v>0</v>
      </c>
      <c r="BJ4" s="79">
        <f>((0 + 'BRAWLERS OFICIAL'!BJ4)-'BRAWLERS OFICIAL'!BJ4)/($BN4/5)</f>
        <v>0</v>
      </c>
      <c r="BK4" s="79">
        <f>((0 + 'BRAWLERS OFICIAL'!BK4)-'BRAWLERS OFICIAL'!BK4)/($BN4/5)</f>
        <v>0</v>
      </c>
      <c r="BL4" s="79">
        <f>((0 + 'BRAWLERS OFICIAL'!BL4)-'BRAWLERS OFICIAL'!BL4)/($BN4/5)</f>
        <v>0</v>
      </c>
      <c r="BN4" s="79">
        <v>18</v>
      </c>
    </row>
    <row r="5" spans="1:66">
      <c r="B5" s="77" t="s">
        <v>418</v>
      </c>
      <c r="C5" s="81" t="s">
        <v>88</v>
      </c>
      <c r="D5" s="79">
        <f>((0 + 'BRAWLERS OFICIAL'!D5)-'BRAWLERS OFICIAL'!D5)/($BN5/5)</f>
        <v>0</v>
      </c>
      <c r="E5" s="79">
        <f>((0 + 'BRAWLERS OFICIAL'!E5)-'BRAWLERS OFICIAL'!E5)/($BN5/5)</f>
        <v>0</v>
      </c>
      <c r="F5" s="79">
        <f>((0 + 'BRAWLERS OFICIAL'!F5)-'BRAWLERS OFICIAL'!F5)/($BN5/5)</f>
        <v>0</v>
      </c>
      <c r="G5" s="79">
        <f>((0 + 'BRAWLERS OFICIAL'!G5)-'BRAWLERS OFICIAL'!G5)/($BN5/5)</f>
        <v>0</v>
      </c>
      <c r="H5" s="79">
        <f>((0 + 'BRAWLERS OFICIAL'!H5)-'BRAWLERS OFICIAL'!H5)/($BN5/5)</f>
        <v>0</v>
      </c>
      <c r="I5" s="79">
        <f>((0 + 'BRAWLERS OFICIAL'!I5)-'BRAWLERS OFICIAL'!I5)/($BN5/5)</f>
        <v>0</v>
      </c>
      <c r="J5" s="79">
        <f>((0 + 'BRAWLERS OFICIAL'!J5)-'BRAWLERS OFICIAL'!J5)/($BN5/5)</f>
        <v>0</v>
      </c>
      <c r="K5" s="79">
        <f>((0 + 'BRAWLERS OFICIAL'!K5)-'BRAWLERS OFICIAL'!K5)/($BN5/5)</f>
        <v>0</v>
      </c>
      <c r="L5" s="79">
        <f>((0 + 'BRAWLERS OFICIAL'!L5)-'BRAWLERS OFICIAL'!L5)/($BN5/5)</f>
        <v>0</v>
      </c>
      <c r="M5" s="79">
        <f>((0 + 'BRAWLERS OFICIAL'!M5)-'BRAWLERS OFICIAL'!M5)/($BN5/5)</f>
        <v>0</v>
      </c>
      <c r="N5" s="79">
        <f>((0 + 'BRAWLERS OFICIAL'!N5)-'BRAWLERS OFICIAL'!N5)/($BN5/5)</f>
        <v>0</v>
      </c>
      <c r="O5" s="79">
        <f>((0 + 'BRAWLERS OFICIAL'!O5)-'BRAWLERS OFICIAL'!O5)/($BN5/5)</f>
        <v>0</v>
      </c>
      <c r="P5" s="79">
        <f>((0 + 'BRAWLERS OFICIAL'!P5)-'BRAWLERS OFICIAL'!P5)/($BN5/5)</f>
        <v>0</v>
      </c>
      <c r="Q5" s="79">
        <f>((0 + 'BRAWLERS OFICIAL'!Q5)-'BRAWLERS OFICIAL'!Q5)/($BN5/5)</f>
        <v>0</v>
      </c>
      <c r="R5" s="79">
        <f>((0 + 'BRAWLERS OFICIAL'!R5)-'BRAWLERS OFICIAL'!R5)/($BN5/5)</f>
        <v>0</v>
      </c>
      <c r="S5" s="79">
        <f>((0 + 'BRAWLERS OFICIAL'!S5)-'BRAWLERS OFICIAL'!S5)/($BN5/5)</f>
        <v>0</v>
      </c>
      <c r="T5" s="79">
        <f>((0 + 'BRAWLERS OFICIAL'!T5)-'BRAWLERS OFICIAL'!T5)/($BN5/5)</f>
        <v>0</v>
      </c>
      <c r="U5" s="79">
        <f>(0 + 'BRAWLERS OFICIAL'!U5)-'BRAWLERS OFICIAL'!U5</f>
        <v>0</v>
      </c>
      <c r="V5" s="121">
        <f>(( 1920/1400 + 'BRAWLERS OFICIAL'!V5 + AN5 + AV5/3.5 )-'BRAWLERS OFICIAL'!V5)/($BN5/5)</f>
        <v>0.40336134453781503</v>
      </c>
      <c r="W5" s="80">
        <f>((0 + 'BRAWLERS OFICIAL'!W5)-'BRAWLERS OFICIAL'!W5)/($BN5/5)</f>
        <v>0</v>
      </c>
      <c r="X5" s="80">
        <f>(((0)/3 + 'BRAWLERS OFICIAL'!X5)-'BRAWLERS OFICIAL'!X5)</f>
        <v>0</v>
      </c>
      <c r="Y5" s="80">
        <f>((0 + 'BRAWLERS OFICIAL'!Y5)-'BRAWLERS OFICIAL'!Y5)/($BN5/5)</f>
        <v>0</v>
      </c>
      <c r="Z5" s="80">
        <f>((0 + 'BRAWLERS OFICIAL'!Z5)-'BRAWLERS OFICIAL'!Z5)/($BN5/5)</f>
        <v>0</v>
      </c>
      <c r="AA5" s="80">
        <f>(((0)/4 + 'BRAWLERS OFICIAL'!AA5)-'BRAWLERS OFICIAL'!AA5)/($BN5/5)</f>
        <v>0</v>
      </c>
      <c r="AB5" s="80">
        <f>((0 + 'BRAWLERS OFICIAL'!AB5)-'BRAWLERS OFICIAL'!AB5)/($BN5/5)</f>
        <v>0</v>
      </c>
      <c r="AC5" s="80">
        <f>((0 + 'BRAWLERS OFICIAL'!AC5)-'BRAWLERS OFICIAL'!AC5)/($BN5/5)</f>
        <v>0</v>
      </c>
      <c r="AD5" s="80">
        <f>((0 + 'BRAWLERS OFICIAL'!AD5)-'BRAWLERS OFICIAL'!AD5)/($BN5/5)</f>
        <v>0</v>
      </c>
      <c r="AE5" s="80">
        <f>((0 + 'BRAWLERS OFICIAL'!AE5)-'BRAWLERS OFICIAL'!AE5)</f>
        <v>0</v>
      </c>
      <c r="AF5" s="80">
        <f>((0 + 'BRAWLERS OFICIAL'!AF5)-'BRAWLERS OFICIAL'!AF5)</f>
        <v>0</v>
      </c>
      <c r="AG5" s="80">
        <f>((0 + 'BRAWLERS OFICIAL'!AG5)-'BRAWLERS OFICIAL'!AG5)</f>
        <v>0</v>
      </c>
      <c r="AH5" s="80">
        <f>((0 + 'BRAWLERS OFICIAL'!AH5)-'BRAWLERS OFICIAL'!AH5)/($BN5/5)</f>
        <v>0</v>
      </c>
      <c r="AI5" s="80">
        <f>((0 + 'BRAWLERS OFICIAL'!AI5)-'BRAWLERS OFICIAL'!AI5)/($BN5/5)</f>
        <v>0</v>
      </c>
      <c r="AJ5" s="80">
        <f>(((BH5/5+1)*AI5 + 'BRAWLERS OFICIAL'!AJ5)-'BRAWLERS OFICIAL'!AJ5)/($BN5/5)</f>
        <v>0</v>
      </c>
      <c r="AK5" s="80">
        <f>IF( 0 = (1-1), (1-1), ((0 + 'BRAWLERS OFICIAL'!AK5)/1.5)-'BRAWLERS OFICIAL'!AK5 )</f>
        <v>0</v>
      </c>
      <c r="AL5" s="80">
        <f t="shared" si="0"/>
        <v>0</v>
      </c>
      <c r="AM5" s="80">
        <f>((0 + 'BRAWLERS OFICIAL'!AM5)-'BRAWLERS OFICIAL'!AM5)/($BN5/5)</f>
        <v>0</v>
      </c>
      <c r="AN5" s="80">
        <f>((0/1000 + 'BRAWLERS OFICIAL'!AN5)-'BRAWLERS OFICIAL'!AN5)</f>
        <v>0</v>
      </c>
      <c r="AO5" s="80">
        <f>((0 + 'BRAWLERS OFICIAL'!AO5)-'BRAWLERS OFICIAL'!AO5)</f>
        <v>0</v>
      </c>
      <c r="AP5" s="80">
        <f>IF( 0 = (1-1), (1-1), ((0 + 'BRAWLERS OFICIAL'!AP5)/1.5) )</f>
        <v>0</v>
      </c>
      <c r="AQ5" s="80">
        <f>IF( 0 = (1-1), (1-1), ((0 + 'BRAWLERS OFICIAL'!AQ5)/1.5) )</f>
        <v>0</v>
      </c>
      <c r="AR5" s="80">
        <f>IF( 0 = (1-1), (1-1), ((0 + 'BRAWLERS OFICIAL'!AR5)/2) )</f>
        <v>0</v>
      </c>
      <c r="AS5" s="80">
        <f>((0 + 'BRAWLERS OFICIAL'!AS5)-'BRAWLERS OFICIAL'!AS5)/($BN5/5)</f>
        <v>0</v>
      </c>
      <c r="AT5" s="80">
        <f>(((0)/4 + 'BRAWLERS OFICIAL'!AT5)-'BRAWLERS OFICIAL'!AT5)</f>
        <v>0</v>
      </c>
      <c r="AU5" s="80">
        <v>2.5</v>
      </c>
      <c r="AV5" s="79">
        <f>((( 0 )/3 + 'BRAWLERS OFICIAL'!AV5)-'BRAWLERS OFICIAL'!AV5)</f>
        <v>0</v>
      </c>
      <c r="AW5" s="79">
        <f>((( 0 )/2 + 'BRAWLERS OFICIAL'!AW5)-'BRAWLERS OFICIAL'!AW5)/($BN5/5)</f>
        <v>0</v>
      </c>
      <c r="AX5" s="79">
        <f>((( 0 )/2 + 'BRAWLERS OFICIAL'!AX5)-'BRAWLERS OFICIAL'!AX5)</f>
        <v>0</v>
      </c>
      <c r="AY5" s="79">
        <f>((( 0 )/3 + 'BRAWLERS OFICIAL'!AY5)-'BRAWLERS OFICIAL'!AY5)</f>
        <v>0</v>
      </c>
      <c r="AZ5" s="79">
        <f>((( 0 )/2 + 'BRAWLERS OFICIAL'!AZ5)-'BRAWLERS OFICIAL'!AZ5)/($BN5/5)</f>
        <v>0</v>
      </c>
      <c r="BA5" s="79">
        <f>((( 0 )/3 + 'BRAWLERS OFICIAL'!BA5)-'BRAWLERS OFICIAL'!BA5)</f>
        <v>0</v>
      </c>
      <c r="BB5" s="79">
        <f>((( 0 )/3 + 'BRAWLERS OFICIAL'!BB5)-'BRAWLERS OFICIAL'!BB5)</f>
        <v>0</v>
      </c>
      <c r="BC5" s="79">
        <f>((0 + 'BRAWLERS OFICIAL'!BC5)-'BRAWLERS OFICIAL'!BC5)/($BN5/5)</f>
        <v>0</v>
      </c>
      <c r="BD5" s="79">
        <f>((0 + 'BRAWLERS OFICIAL'!BD5)-'BRAWLERS OFICIAL'!BD5)/($BN5/5)</f>
        <v>0</v>
      </c>
      <c r="BE5" s="79">
        <f>((( 0 )/2 + 'BRAWLERS OFICIAL'!BE5)-'BRAWLERS OFICIAL'!BE5)</f>
        <v>0</v>
      </c>
      <c r="BF5" s="79">
        <f>((0 + 'BRAWLERS OFICIAL'!BF5)-'BRAWLERS OFICIAL'!BF5)/($BN5/5)</f>
        <v>0</v>
      </c>
      <c r="BG5" s="79">
        <f>((( 0 )/2 + 'BRAWLERS OFICIAL'!BG5)-'BRAWLERS OFICIAL'!BG5)</f>
        <v>0</v>
      </c>
      <c r="BH5" s="79">
        <f>((( 0 )/3 + 'BRAWLERS OFICIAL'!BH5)-'BRAWLERS OFICIAL'!BH5)</f>
        <v>0</v>
      </c>
      <c r="BI5" s="79">
        <f>((( 0 )/2 + 'BRAWLERS OFICIAL'!BI5)-'BRAWLERS OFICIAL'!BI5)</f>
        <v>0</v>
      </c>
      <c r="BJ5" s="79">
        <f>((0 + 'BRAWLERS OFICIAL'!BJ5)-'BRAWLERS OFICIAL'!BJ5)/($BN5/5)</f>
        <v>0</v>
      </c>
      <c r="BK5" s="79">
        <f>((0 + 'BRAWLERS OFICIAL'!BK5)-'BRAWLERS OFICIAL'!BK5)/($BN5/5)</f>
        <v>0</v>
      </c>
      <c r="BL5" s="79">
        <f>((0 + 'BRAWLERS OFICIAL'!BL5)-'BRAWLERS OFICIAL'!BL5)/($BN5/5)</f>
        <v>0</v>
      </c>
      <c r="BN5" s="79">
        <v>17</v>
      </c>
    </row>
    <row r="6" spans="1:66">
      <c r="B6" s="77" t="s">
        <v>419</v>
      </c>
      <c r="C6" s="67" t="s">
        <v>96</v>
      </c>
      <c r="D6" s="79">
        <f>((0 + 'BRAWLERS OFICIAL'!D6)-'BRAWLERS OFICIAL'!D6)/($BN6/5)</f>
        <v>0</v>
      </c>
      <c r="E6" s="79">
        <f>((0 + 'BRAWLERS OFICIAL'!E6)-'BRAWLERS OFICIAL'!E6)/($BN6/5)</f>
        <v>0</v>
      </c>
      <c r="F6" s="79">
        <f>((0 + 'BRAWLERS OFICIAL'!F6)-'BRAWLERS OFICIAL'!F6)/($BN6/5)</f>
        <v>0</v>
      </c>
      <c r="G6" s="79">
        <f>((0 + 'BRAWLERS OFICIAL'!G6)-'BRAWLERS OFICIAL'!G6)/($BN6/5)</f>
        <v>0</v>
      </c>
      <c r="H6" s="79">
        <f>((0 + 'BRAWLERS OFICIAL'!H6)-'BRAWLERS OFICIAL'!H6)/($BN6/5)</f>
        <v>0</v>
      </c>
      <c r="I6" s="79">
        <f>((0 + 'BRAWLERS OFICIAL'!I6)-'BRAWLERS OFICIAL'!I6)/($BN6/5)</f>
        <v>0</v>
      </c>
      <c r="J6" s="79">
        <f>((0 + 'BRAWLERS OFICIAL'!J6)-'BRAWLERS OFICIAL'!J6)/($BN6/5)</f>
        <v>0</v>
      </c>
      <c r="K6" s="79">
        <f>((0 + 'BRAWLERS OFICIAL'!K6)-'BRAWLERS OFICIAL'!K6)/($BN6/5)</f>
        <v>0</v>
      </c>
      <c r="L6" s="79">
        <f>((0 + 'BRAWLERS OFICIAL'!L6)-'BRAWLERS OFICIAL'!L6)/($BN6/5)</f>
        <v>0</v>
      </c>
      <c r="M6" s="79">
        <f>((0 + 'BRAWLERS OFICIAL'!M6)-'BRAWLERS OFICIAL'!M6)/($BN6/5)</f>
        <v>0</v>
      </c>
      <c r="N6" s="79">
        <f>((0 + 'BRAWLERS OFICIAL'!N6)-'BRAWLERS OFICIAL'!N6)/($BN6/5)</f>
        <v>0</v>
      </c>
      <c r="O6" s="79">
        <f>((0 + 'BRAWLERS OFICIAL'!O6)-'BRAWLERS OFICIAL'!O6)/($BN6/5)</f>
        <v>0</v>
      </c>
      <c r="P6" s="79">
        <f>((0 + 'BRAWLERS OFICIAL'!P6)-'BRAWLERS OFICIAL'!P6)/($BN6/5)</f>
        <v>0</v>
      </c>
      <c r="Q6" s="79">
        <f>((0 + 'BRAWLERS OFICIAL'!Q6)-'BRAWLERS OFICIAL'!Q6)/($BN6/5)</f>
        <v>0</v>
      </c>
      <c r="R6" s="79">
        <f>((0 + 'BRAWLERS OFICIAL'!R6)-'BRAWLERS OFICIAL'!R6)/($BN6/5)</f>
        <v>0</v>
      </c>
      <c r="S6" s="79">
        <f>((0 + 'BRAWLERS OFICIAL'!S6)-'BRAWLERS OFICIAL'!S6)/($BN6/5)</f>
        <v>0</v>
      </c>
      <c r="T6" s="79">
        <f>((0 + 'BRAWLERS OFICIAL'!T6)-'BRAWLERS OFICIAL'!T6)/($BN6/5)</f>
        <v>0</v>
      </c>
      <c r="U6" s="79">
        <f>(1200/2 + 'BRAWLERS OFICIAL'!U6)-'BRAWLERS OFICIAL'!U6</f>
        <v>600</v>
      </c>
      <c r="V6" s="121">
        <f>(( 0 + 'BRAWLERS OFICIAL'!V6 + AN6 + AV6/3.5 )-'BRAWLERS OFICIAL'!V6)/($BN6/5)</f>
        <v>1.3035714285714286</v>
      </c>
      <c r="W6" s="80">
        <f>((0 + 'BRAWLERS OFICIAL'!W6)-'BRAWLERS OFICIAL'!W6)/($BN6/5)</f>
        <v>0</v>
      </c>
      <c r="X6" s="80">
        <f>(((6 + 3 + 3)/3)-'BRAWLERS OFICIAL'!X6)</f>
        <v>4</v>
      </c>
      <c r="Y6" s="80">
        <f>((9 + 'BRAWLERS OFICIAL'!Y6)-'BRAWLERS OFICIAL'!Y6)/($BN6/5)</f>
        <v>2.25</v>
      </c>
      <c r="Z6" s="80">
        <f>((0 + 'BRAWLERS OFICIAL'!Z6)-'BRAWLERS OFICIAL'!Z6)/($BN6/5)</f>
        <v>0</v>
      </c>
      <c r="AA6" s="80">
        <f>(((3 + 1 + 10 + 3)/4 + 'BRAWLERS OFICIAL'!AA6)-'BRAWLERS OFICIAL'!AA6)/($BN6/5)</f>
        <v>1.0625</v>
      </c>
      <c r="AB6" s="80">
        <f>((3 + 'BRAWLERS OFICIAL'!AB6)-'BRAWLERS OFICIAL'!AB6)/($BN6/5)</f>
        <v>0.75</v>
      </c>
      <c r="AC6" s="80">
        <f>((0 + 'BRAWLERS OFICIAL'!AC6)-'BRAWLERS OFICIAL'!AC6)/($BN6/5)</f>
        <v>0</v>
      </c>
      <c r="AD6" s="80">
        <f>((0 + 'BRAWLERS OFICIAL'!AD6)-'BRAWLERS OFICIAL'!AD6)/($BN6/5)</f>
        <v>0</v>
      </c>
      <c r="AE6" s="80">
        <f>((0 + 'BRAWLERS OFICIAL'!AE6)-'BRAWLERS OFICIAL'!AE6)</f>
        <v>0</v>
      </c>
      <c r="AF6" s="80">
        <f>((0 + 'BRAWLERS OFICIAL'!AF6)-'BRAWLERS OFICIAL'!AF6)</f>
        <v>0</v>
      </c>
      <c r="AG6" s="80">
        <f>((0 + 'BRAWLERS OFICIAL'!AG6)-'BRAWLERS OFICIAL'!AG6)</f>
        <v>0</v>
      </c>
      <c r="AH6" s="80">
        <f>((0 + 'BRAWLERS OFICIAL'!AH6)-'BRAWLERS OFICIAL'!AH6)/($BN6/5)</f>
        <v>0</v>
      </c>
      <c r="AI6" s="80">
        <f>((0 + 'BRAWLERS OFICIAL'!AI6)-'BRAWLERS OFICIAL'!AI6)/($BN6/5)</f>
        <v>0</v>
      </c>
      <c r="AJ6" s="80">
        <f>(((BH6/5+1)*AI6 + 'BRAWLERS OFICIAL'!AJ6)-'BRAWLERS OFICIAL'!AJ6)/($BN6/5)</f>
        <v>0</v>
      </c>
      <c r="AK6" s="80">
        <f>IF( 5 = (1-1), (1-1), ((5 + 'BRAWLERS OFICIAL'!AK6)/1.5)-'BRAWLERS OFICIAL'!AK6 )</f>
        <v>3.3333333333333335</v>
      </c>
      <c r="AL6" s="80">
        <f>IF( 1 = (1-1), (1-1), ( 1 ) )</f>
        <v>1</v>
      </c>
      <c r="AM6" s="80">
        <f>((0 + 'BRAWLERS OFICIAL'!AM6)-'BRAWLERS OFICIAL'!AM6)/($BN6/5)</f>
        <v>0</v>
      </c>
      <c r="AN6" s="80">
        <f>((3500/1000 + 'BRAWLERS OFICIAL'!AN6)-'BRAWLERS OFICIAL'!AN6)</f>
        <v>3.5</v>
      </c>
      <c r="AO6" s="80">
        <f>((3 + 'BRAWLERS OFICIAL'!AO6)-'BRAWLERS OFICIAL'!AO6)</f>
        <v>3</v>
      </c>
      <c r="AP6" s="80">
        <f>IF( 4 = (1-1), (1-1), ((4 + 'BRAWLERS OFICIAL'!AP6)/1.5) )</f>
        <v>2.6666666666666665</v>
      </c>
      <c r="AQ6" s="80">
        <f>IF( 0 = (1-1), (1-1), ((0 + 'BRAWLERS OFICIAL'!AQ6)/1.5) )</f>
        <v>0</v>
      </c>
      <c r="AR6" s="80">
        <f>IF( 5 = (1-1), (1-1), ((5 + 'BRAWLERS OFICIAL'!AR6)/2) )</f>
        <v>2.5</v>
      </c>
      <c r="AS6" s="80">
        <f>((0 + 'BRAWLERS OFICIAL'!AS6)-'BRAWLERS OFICIAL'!AS6)/($BN6/5)</f>
        <v>0</v>
      </c>
      <c r="AT6" s="80">
        <f>(((6 + 3 + 3 + 5)/4 + 'BRAWLERS OFICIAL'!AT6)-'BRAWLERS OFICIAL'!AT6)</f>
        <v>4.25</v>
      </c>
      <c r="AU6" s="80">
        <v>2.5</v>
      </c>
      <c r="AV6" s="79">
        <f>(((5 + 4 + 9)/3 + 'BRAWLERS OFICIAL'!AV6)-'BRAWLERS OFICIAL'!AV6)</f>
        <v>6</v>
      </c>
      <c r="AW6" s="79">
        <f>((( 0 )/2 + 'BRAWLERS OFICIAL'!AW6)-'BRAWLERS OFICIAL'!AW6)/($BN6/5)</f>
        <v>0</v>
      </c>
      <c r="AX6" s="79">
        <f>((( 0 )/2 + 'BRAWLERS OFICIAL'!AX6)-'BRAWLERS OFICIAL'!AX6)</f>
        <v>0</v>
      </c>
      <c r="AY6" s="79">
        <f>((( 0 )/3 + 'BRAWLERS OFICIAL'!AY6)-'BRAWLERS OFICIAL'!AY6)</f>
        <v>0</v>
      </c>
      <c r="AZ6" s="79">
        <f>((( 0 )/2 + 'BRAWLERS OFICIAL'!AZ6)-'BRAWLERS OFICIAL'!AZ6)/($BN6/5)</f>
        <v>0</v>
      </c>
      <c r="BA6" s="79">
        <f>((( 0 )/3 + 'BRAWLERS OFICIAL'!BA6)-'BRAWLERS OFICIAL'!BA6)</f>
        <v>0</v>
      </c>
      <c r="BB6" s="79">
        <f>((( 0 )/3 + 'BRAWLERS OFICIAL'!BB6)-'BRAWLERS OFICIAL'!BB6)</f>
        <v>0</v>
      </c>
      <c r="BC6" s="79">
        <f>((0 + 'BRAWLERS OFICIAL'!BC6)-'BRAWLERS OFICIAL'!BC6)/($BN6/5)</f>
        <v>0</v>
      </c>
      <c r="BD6" s="79">
        <f>((0 + 'BRAWLERS OFICIAL'!BD6)-'BRAWLERS OFICIAL'!BD6)/($BN6/5)</f>
        <v>0</v>
      </c>
      <c r="BE6" s="79">
        <f>((( 0 )/2 + 'BRAWLERS OFICIAL'!BE6)-'BRAWLERS OFICIAL'!BE6)</f>
        <v>0</v>
      </c>
      <c r="BF6" s="79">
        <f>((0 + 'BRAWLERS OFICIAL'!BF6)-'BRAWLERS OFICIAL'!BF6)/($BN6/5)</f>
        <v>0</v>
      </c>
      <c r="BG6" s="79">
        <f>((( 0 )/2 + 'BRAWLERS OFICIAL'!BG6)-'BRAWLERS OFICIAL'!BG6)</f>
        <v>0</v>
      </c>
      <c r="BH6" s="79">
        <f>((( 0 )/3 + 'BRAWLERS OFICIAL'!BH6)-'BRAWLERS OFICIAL'!BH6)</f>
        <v>0</v>
      </c>
      <c r="BI6" s="79">
        <f>((( 0 )/2 + 'BRAWLERS OFICIAL'!BI6)-'BRAWLERS OFICIAL'!BI6)</f>
        <v>0</v>
      </c>
      <c r="BJ6" s="79">
        <f>((3 + 'BRAWLERS OFICIAL'!BJ6)-'BRAWLERS OFICIAL'!BJ6)/($BN6/5)</f>
        <v>0.75</v>
      </c>
      <c r="BK6" s="79">
        <f>((0 + 'BRAWLERS OFICIAL'!BK6)-'BRAWLERS OFICIAL'!BK6)/($BN6/5)</f>
        <v>0</v>
      </c>
      <c r="BL6" s="79">
        <f>((0 + 'BRAWLERS OFICIAL'!BL6)-'BRAWLERS OFICIAL'!BL6)/($BN6/5)</f>
        <v>0</v>
      </c>
      <c r="BN6" s="79">
        <v>20</v>
      </c>
    </row>
    <row r="7" spans="1:66">
      <c r="B7" s="77" t="s">
        <v>420</v>
      </c>
      <c r="C7" s="67" t="s">
        <v>62</v>
      </c>
      <c r="D7" s="79">
        <f>((0 + 'BRAWLERS OFICIAL'!D7)-'BRAWLERS OFICIAL'!D7)/($BN7/5)</f>
        <v>0</v>
      </c>
      <c r="E7" s="79">
        <f>((0 + 'BRAWLERS OFICIAL'!E7)-'BRAWLERS OFICIAL'!E7)/($BN7/5)</f>
        <v>0</v>
      </c>
      <c r="F7" s="79">
        <f>((0 + 'BRAWLERS OFICIAL'!F7)-'BRAWLERS OFICIAL'!F7)/($BN7/5)</f>
        <v>0</v>
      </c>
      <c r="G7" s="79">
        <f>((0 + 'BRAWLERS OFICIAL'!G7)-'BRAWLERS OFICIAL'!G7)/($BN7/5)</f>
        <v>0</v>
      </c>
      <c r="H7" s="79">
        <f>((0 + 'BRAWLERS OFICIAL'!H7)-'BRAWLERS OFICIAL'!H7)/($BN7/5)</f>
        <v>0</v>
      </c>
      <c r="I7" s="79">
        <f>((0 + 'BRAWLERS OFICIAL'!I7)-'BRAWLERS OFICIAL'!I7)/($BN7/5)</f>
        <v>0</v>
      </c>
      <c r="J7" s="79">
        <f>((0 + 'BRAWLERS OFICIAL'!J7)-'BRAWLERS OFICIAL'!J7)/($BN7/5)</f>
        <v>0</v>
      </c>
      <c r="K7" s="79">
        <f>((0 + 'BRAWLERS OFICIAL'!K7)-'BRAWLERS OFICIAL'!K7)/($BN7/5)</f>
        <v>0</v>
      </c>
      <c r="L7" s="79">
        <f>((0 + 'BRAWLERS OFICIAL'!L7)-'BRAWLERS OFICIAL'!L7)/($BN7/5)</f>
        <v>0</v>
      </c>
      <c r="M7" s="79">
        <f>((0 + 'BRAWLERS OFICIAL'!M7)-'BRAWLERS OFICIAL'!M7)/($BN7/5)</f>
        <v>0</v>
      </c>
      <c r="N7" s="79">
        <f>((0 + 'BRAWLERS OFICIAL'!N7)-'BRAWLERS OFICIAL'!N7)/($BN7/5)</f>
        <v>0</v>
      </c>
      <c r="O7" s="79">
        <f>((0 + 'BRAWLERS OFICIAL'!O7)-'BRAWLERS OFICIAL'!O7)/($BN7/5)</f>
        <v>0</v>
      </c>
      <c r="P7" s="79">
        <f>((0 + 'BRAWLERS OFICIAL'!P7)-'BRAWLERS OFICIAL'!P7)/($BN7/5)</f>
        <v>0</v>
      </c>
      <c r="Q7" s="79">
        <f>((0 + 'BRAWLERS OFICIAL'!Q7)-'BRAWLERS OFICIAL'!Q7)/($BN7/5)</f>
        <v>0</v>
      </c>
      <c r="R7" s="79">
        <f>((0 + 'BRAWLERS OFICIAL'!R7)-'BRAWLERS OFICIAL'!R7)/($BN7/5)</f>
        <v>0</v>
      </c>
      <c r="S7" s="79">
        <f>((0 + 'BRAWLERS OFICIAL'!S7)-'BRAWLERS OFICIAL'!S7)/($BN7/5)</f>
        <v>0</v>
      </c>
      <c r="T7" s="79">
        <f>((0 + 'BRAWLERS OFICIAL'!T7)-'BRAWLERS OFICIAL'!T7)/($BN7/5)</f>
        <v>0</v>
      </c>
      <c r="U7" s="79">
        <f>(0 + 'BRAWLERS OFICIAL'!U7)-'BRAWLERS OFICIAL'!U7</f>
        <v>0</v>
      </c>
      <c r="V7" s="121">
        <f>(( 0 + 'BRAWLERS OFICIAL'!V7 + AN7 + AV7/3.5 )-'BRAWLERS OFICIAL'!V7)/($BN7/5)</f>
        <v>0.75</v>
      </c>
      <c r="W7" s="80">
        <f>((0 + 'BRAWLERS OFICIAL'!W7)-'BRAWLERS OFICIAL'!W7)/($BN7/5)</f>
        <v>0</v>
      </c>
      <c r="X7" s="80">
        <f>(((7.5 + 8 + 5)/3)-'BRAWLERS OFICIAL'!X7)</f>
        <v>0.83333333333333304</v>
      </c>
      <c r="Y7" s="80">
        <f>((0 + 'BRAWLERS OFICIAL'!Y7)-'BRAWLERS OFICIAL'!Y7)/($BN7/5)</f>
        <v>0</v>
      </c>
      <c r="Z7" s="80">
        <f>((0 + 'BRAWLERS OFICIAL'!Z7)-'BRAWLERS OFICIAL'!Z7)/($BN7/5)</f>
        <v>0</v>
      </c>
      <c r="AA7" s="80">
        <f>(((6 + 7 + 5 + 7)/4 + 'BRAWLERS OFICIAL'!AA7)-'BRAWLERS OFICIAL'!AA7)/($BN7/5)</f>
        <v>1.5625</v>
      </c>
      <c r="AB7" s="80">
        <f>((0 + 'BRAWLERS OFICIAL'!AB7)-'BRAWLERS OFICIAL'!AB7)/($BN7/5)</f>
        <v>0</v>
      </c>
      <c r="AC7" s="80">
        <f>((0 + 'BRAWLERS OFICIAL'!AC7)-'BRAWLERS OFICIAL'!AC7)/($BN7/5)</f>
        <v>0</v>
      </c>
      <c r="AD7" s="80">
        <f>((0 + 'BRAWLERS OFICIAL'!AD7)-'BRAWLERS OFICIAL'!AD7)/($BN7/5)</f>
        <v>0</v>
      </c>
      <c r="AE7" s="80">
        <f>((0 + 'BRAWLERS OFICIAL'!AE7)-'BRAWLERS OFICIAL'!AE7)</f>
        <v>0</v>
      </c>
      <c r="AF7" s="80">
        <f>((0 + 'BRAWLERS OFICIAL'!AF7)-'BRAWLERS OFICIAL'!AF7)</f>
        <v>0</v>
      </c>
      <c r="AG7" s="80">
        <f>((0 + 'BRAWLERS OFICIAL'!AG7)-'BRAWLERS OFICIAL'!AG7)</f>
        <v>0</v>
      </c>
      <c r="AH7" s="80">
        <f>((0 + 'BRAWLERS OFICIAL'!AH7)-'BRAWLERS OFICIAL'!AH7)/($BN7/5)</f>
        <v>0</v>
      </c>
      <c r="AI7" s="80">
        <f>((4 + 'BRAWLERS OFICIAL'!AI7)-'BRAWLERS OFICIAL'!AI7)/($BN7/5)</f>
        <v>1</v>
      </c>
      <c r="AJ7" s="80">
        <f>(((BH7/5+1)*AI7 + 'BRAWLERS OFICIAL'!AJ7)-'BRAWLERS OFICIAL'!AJ7)/($BN7/5)</f>
        <v>0.25</v>
      </c>
      <c r="AK7" s="80">
        <f>IF( 5 = (1-1), (1-1), ((5 + 'BRAWLERS OFICIAL'!AK7)/1.5)-'BRAWLERS OFICIAL'!AK7 )</f>
        <v>3.3333333333333335</v>
      </c>
      <c r="AL7" s="80">
        <f>IF( 1 = (1-1), (1-1), ( 1 ) )</f>
        <v>1</v>
      </c>
      <c r="AM7" s="80">
        <f>((1 + 'BRAWLERS OFICIAL'!AM7)-'BRAWLERS OFICIAL'!AM7)/($BN7/5)</f>
        <v>0.25</v>
      </c>
      <c r="AN7" s="80">
        <f>((3000/1000 + 'BRAWLERS OFICIAL'!AN7)-'BRAWLERS OFICIAL'!AN7)</f>
        <v>3</v>
      </c>
      <c r="AO7" s="80">
        <f>((0 + 'BRAWLERS OFICIAL'!AO7)-'BRAWLERS OFICIAL'!AO7)</f>
        <v>0</v>
      </c>
      <c r="AP7" s="80">
        <f>IF( 0 = (1-1), (1-1), ((0 + 'BRAWLERS OFICIAL'!AP7)/1.5) )</f>
        <v>0</v>
      </c>
      <c r="AQ7" s="80">
        <f>IF( 0 = (1-1), (1-1), ((0 + 'BRAWLERS OFICIAL'!AQ7)/1.5) )</f>
        <v>0</v>
      </c>
      <c r="AR7" s="80">
        <f>IF( 7.5 = (1-1), (1-1), ((7.5 + 'BRAWLERS OFICIAL'!AR7)/2) )</f>
        <v>3.75</v>
      </c>
      <c r="AS7" s="80">
        <f>((0 + 'BRAWLERS OFICIAL'!AS7)-'BRAWLERS OFICIAL'!AS7)/($BN7/5)</f>
        <v>0</v>
      </c>
      <c r="AT7" s="80">
        <f>(((0)/4 + 'BRAWLERS OFICIAL'!AT7)-'BRAWLERS OFICIAL'!AT7)</f>
        <v>0</v>
      </c>
      <c r="AU7" s="80">
        <v>0</v>
      </c>
      <c r="AV7" s="79">
        <f>((( 0 )/3 + 'BRAWLERS OFICIAL'!AV7)-'BRAWLERS OFICIAL'!AV7)</f>
        <v>0</v>
      </c>
      <c r="AW7" s="79">
        <f>((( 0 )/2 + 'BRAWLERS OFICIAL'!AW7)-'BRAWLERS OFICIAL'!AW7)/($BN7/5)</f>
        <v>0</v>
      </c>
      <c r="AX7" s="79">
        <f>((( 0 )/2 + 'BRAWLERS OFICIAL'!AX7)-'BRAWLERS OFICIAL'!AX7)</f>
        <v>0</v>
      </c>
      <c r="AY7" s="79">
        <f>((( 0 )/3 + 'BRAWLERS OFICIAL'!AY7)-'BRAWLERS OFICIAL'!AY7)</f>
        <v>0</v>
      </c>
      <c r="AZ7" s="79">
        <f>((( 0 )/2 + 'BRAWLERS OFICIAL'!AZ7)-'BRAWLERS OFICIAL'!AZ7)/($BN7/5)</f>
        <v>0</v>
      </c>
      <c r="BA7" s="79">
        <f>((( 5 + 5 + 5 )/3 + 'BRAWLERS OFICIAL'!BA7)-'BRAWLERS OFICIAL'!BA7)</f>
        <v>5</v>
      </c>
      <c r="BB7" s="79">
        <f>((( 5 + 5 + 5 )/3 + 'BRAWLERS OFICIAL'!BB7)-'BRAWLERS OFICIAL'!BB7)</f>
        <v>5</v>
      </c>
      <c r="BC7" s="79">
        <f>((0 + 'BRAWLERS OFICIAL'!BC7)-'BRAWLERS OFICIAL'!BC7)/($BN7/5)</f>
        <v>0</v>
      </c>
      <c r="BD7" s="79">
        <f>((0 + 'BRAWLERS OFICIAL'!BD7)-'BRAWLERS OFICIAL'!BD7)/($BN7/5)</f>
        <v>0</v>
      </c>
      <c r="BE7" s="79">
        <f>((( 0 )/2 + 'BRAWLERS OFICIAL'!BE7)-'BRAWLERS OFICIAL'!BE7)</f>
        <v>0</v>
      </c>
      <c r="BF7" s="79">
        <f>((0 + 'BRAWLERS OFICIAL'!BF7)-'BRAWLERS OFICIAL'!BF7)/($BN7/5)</f>
        <v>0</v>
      </c>
      <c r="BG7" s="79">
        <f>((( 0 )/2 + 'BRAWLERS OFICIAL'!BG7)-'BRAWLERS OFICIAL'!BG7)</f>
        <v>0</v>
      </c>
      <c r="BH7" s="79">
        <f>((( 0 )/3 + 'BRAWLERS OFICIAL'!BH7)-'BRAWLERS OFICIAL'!BH7)</f>
        <v>0</v>
      </c>
      <c r="BI7" s="79">
        <f>((( 0 )/2 + 'BRAWLERS OFICIAL'!BI7)-'BRAWLERS OFICIAL'!BI7)</f>
        <v>0</v>
      </c>
      <c r="BJ7" s="79">
        <f>((0 + 'BRAWLERS OFICIAL'!BJ7)-'BRAWLERS OFICIAL'!BJ7)/($BN7/5)</f>
        <v>0</v>
      </c>
      <c r="BK7" s="79">
        <f>((0 + 'BRAWLERS OFICIAL'!BK7)-'BRAWLERS OFICIAL'!BK7)/($BN7/5)</f>
        <v>0</v>
      </c>
      <c r="BL7" s="79">
        <f>((0 + 'BRAWLERS OFICIAL'!BL7)-'BRAWLERS OFICIAL'!BL7)/($BN7/5)</f>
        <v>0</v>
      </c>
      <c r="BN7" s="79">
        <v>20</v>
      </c>
    </row>
    <row r="8" spans="1:66">
      <c r="B8" s="77" t="s">
        <v>421</v>
      </c>
      <c r="C8" s="67" t="s">
        <v>44</v>
      </c>
      <c r="D8" s="79">
        <f>((0 + 'BRAWLERS OFICIAL'!D8)-'BRAWLERS OFICIAL'!D8)/($BN8/5)</f>
        <v>0</v>
      </c>
      <c r="E8" s="79">
        <f>((0 + 'BRAWLERS OFICIAL'!E8)-'BRAWLERS OFICIAL'!E8)/($BN8/5)</f>
        <v>0</v>
      </c>
      <c r="F8" s="79">
        <f>((0 + 'BRAWLERS OFICIAL'!F8)-'BRAWLERS OFICIAL'!F8)/($BN8/5)</f>
        <v>0</v>
      </c>
      <c r="G8" s="79">
        <f>((0 + 'BRAWLERS OFICIAL'!G8)-'BRAWLERS OFICIAL'!G8)/($BN8/5)</f>
        <v>0</v>
      </c>
      <c r="H8" s="79">
        <f>((0 + 'BRAWLERS OFICIAL'!H8)-'BRAWLERS OFICIAL'!H8)/($BN8/5)</f>
        <v>0</v>
      </c>
      <c r="I8" s="79">
        <f>((0 + 'BRAWLERS OFICIAL'!I8)-'BRAWLERS OFICIAL'!I8)/($BN8/5)</f>
        <v>0</v>
      </c>
      <c r="J8" s="79">
        <f>((0 + 'BRAWLERS OFICIAL'!J8)-'BRAWLERS OFICIAL'!J8)/($BN8/5)</f>
        <v>0</v>
      </c>
      <c r="K8" s="79">
        <f>((0 + 'BRAWLERS OFICIAL'!K8)-'BRAWLERS OFICIAL'!K8)/($BN8/5)</f>
        <v>0</v>
      </c>
      <c r="L8" s="79">
        <f>((0 + 'BRAWLERS OFICIAL'!L8)-'BRAWLERS OFICIAL'!L8)/($BN8/5)</f>
        <v>0</v>
      </c>
      <c r="M8" s="79">
        <f>((0 + 'BRAWLERS OFICIAL'!M8)-'BRAWLERS OFICIAL'!M8)/($BN8/5)</f>
        <v>0</v>
      </c>
      <c r="N8" s="79">
        <f>((0 + 'BRAWLERS OFICIAL'!N8)-'BRAWLERS OFICIAL'!N8)/($BN8/5)</f>
        <v>0</v>
      </c>
      <c r="O8" s="79">
        <f>((0 + 'BRAWLERS OFICIAL'!O8)-'BRAWLERS OFICIAL'!O8)/($BN8/5)</f>
        <v>0</v>
      </c>
      <c r="P8" s="79">
        <f>((0 + 'BRAWLERS OFICIAL'!P8)-'BRAWLERS OFICIAL'!P8)/($BN8/5)</f>
        <v>0</v>
      </c>
      <c r="Q8" s="79">
        <f>((0 + 'BRAWLERS OFICIAL'!Q8)-'BRAWLERS OFICIAL'!Q8)/($BN8/5)</f>
        <v>0</v>
      </c>
      <c r="R8" s="79">
        <f>((0 + 'BRAWLERS OFICIAL'!R8)-'BRAWLERS OFICIAL'!R8)/($BN8/5)</f>
        <v>0</v>
      </c>
      <c r="S8" s="79">
        <f>((0 + 'BRAWLERS OFICIAL'!S8)-'BRAWLERS OFICIAL'!S8)/($BN8/5)</f>
        <v>0</v>
      </c>
      <c r="T8" s="79">
        <f>((0 + 'BRAWLERS OFICIAL'!T8)-'BRAWLERS OFICIAL'!T8)/($BN8/5)</f>
        <v>0</v>
      </c>
      <c r="U8" s="79">
        <f>(0 + 'BRAWLERS OFICIAL'!U8)-'BRAWLERS OFICIAL'!U8</f>
        <v>0</v>
      </c>
      <c r="V8" s="121">
        <f>(( 0 + 'BRAWLERS OFICIAL'!V8 + AN8 + AV8/3.5 )-'BRAWLERS OFICIAL'!V8)/($BN8/5)</f>
        <v>0</v>
      </c>
      <c r="W8" s="80">
        <f>((0 + 'BRAWLERS OFICIAL'!W8)-'BRAWLERS OFICIAL'!W8)/($BN8/5)</f>
        <v>0</v>
      </c>
      <c r="X8" s="80">
        <f>(((7.5 + 7 + 4)/3)-'BRAWLERS OFICIAL'!X8)</f>
        <v>0.83333333333333393</v>
      </c>
      <c r="Y8" s="80">
        <f>((0 + 'BRAWLERS OFICIAL'!Y8)-'BRAWLERS OFICIAL'!Y8)/($BN8/5)</f>
        <v>0</v>
      </c>
      <c r="Z8" s="80">
        <f>((0 + 'BRAWLERS OFICIAL'!Z8)-'BRAWLERS OFICIAL'!Z8)/($BN8/5)</f>
        <v>0</v>
      </c>
      <c r="AA8" s="80">
        <f>(((9 + 2 + 6 + 1)/4 + 'BRAWLERS OFICIAL'!AA8)-'BRAWLERS OFICIAL'!AA8)/($BN8/5)</f>
        <v>1.0714285714285714</v>
      </c>
      <c r="AB8" s="80">
        <f>((1 + 'BRAWLERS OFICIAL'!AB8)-'BRAWLERS OFICIAL'!AB8)/($BN8/5)</f>
        <v>0.23809523809523808</v>
      </c>
      <c r="AC8" s="80">
        <f>((0 + 'BRAWLERS OFICIAL'!AC8)-'BRAWLERS OFICIAL'!AC8)/($BN8/5)</f>
        <v>0</v>
      </c>
      <c r="AD8" s="80">
        <f>((0 + 'BRAWLERS OFICIAL'!AD8)-'BRAWLERS OFICIAL'!AD8)/($BN8/5)</f>
        <v>0</v>
      </c>
      <c r="AE8" s="80">
        <f>((0 + 'BRAWLERS OFICIAL'!AE8)-'BRAWLERS OFICIAL'!AE8)</f>
        <v>0</v>
      </c>
      <c r="AF8" s="80">
        <f>((0 + 'BRAWLERS OFICIAL'!AF8)-'BRAWLERS OFICIAL'!AF8)</f>
        <v>0</v>
      </c>
      <c r="AG8" s="80">
        <f>((0 + 'BRAWLERS OFICIAL'!AG8)-'BRAWLERS OFICIAL'!AG8)</f>
        <v>0</v>
      </c>
      <c r="AH8" s="80">
        <f>((0 + 'BRAWLERS OFICIAL'!AH8)-'BRAWLERS OFICIAL'!AH8)/($BN8/5)</f>
        <v>0</v>
      </c>
      <c r="AI8" s="80">
        <f>((0 + 'BRAWLERS OFICIAL'!AI8)-'BRAWLERS OFICIAL'!AI8)/($BN8/5)</f>
        <v>0</v>
      </c>
      <c r="AJ8" s="80">
        <f>(((BH8/5+1)*AI8 + 'BRAWLERS OFICIAL'!AJ8)-'BRAWLERS OFICIAL'!AJ8)/($BN8/5)</f>
        <v>0</v>
      </c>
      <c r="AK8" s="80">
        <f>IF( 0 = (1-1), (1-1), ((0 + 'BRAWLERS OFICIAL'!AK8)/1.5)-'BRAWLERS OFICIAL'!AK8 )</f>
        <v>0</v>
      </c>
      <c r="AL8" s="80">
        <f t="shared" si="0"/>
        <v>0</v>
      </c>
      <c r="AM8" s="80">
        <f>((0 + 'BRAWLERS OFICIAL'!AM8)-'BRAWLERS OFICIAL'!AM8)/($BN8/5)</f>
        <v>0</v>
      </c>
      <c r="AN8" s="80">
        <f>((0/1000 + 'BRAWLERS OFICIAL'!AN8)-'BRAWLERS OFICIAL'!AN8)</f>
        <v>0</v>
      </c>
      <c r="AO8" s="80">
        <f>((0 + 'BRAWLERS OFICIAL'!AO8)-'BRAWLERS OFICIAL'!AO8)</f>
        <v>0</v>
      </c>
      <c r="AP8" s="80">
        <f>IF( 0 = (1-1), (1-1), ((0 + 'BRAWLERS OFICIAL'!AP8)/1.5) )</f>
        <v>0</v>
      </c>
      <c r="AQ8" s="80">
        <f>IF( 0 = (1-1), (1-1), ((0 + 'BRAWLERS OFICIAL'!AQ8)/1.5) )</f>
        <v>0</v>
      </c>
      <c r="AR8" s="80">
        <f>IF( 0 = (1-1), (1-1), ((0 + 'BRAWLERS OFICIAL'!AR8)/2) )</f>
        <v>0</v>
      </c>
      <c r="AS8" s="80">
        <f>((0 + 'BRAWLERS OFICIAL'!AS8)-'BRAWLERS OFICIAL'!AS8)/($BN8/5)</f>
        <v>0</v>
      </c>
      <c r="AT8" s="80">
        <f>(((0)/4 + 'BRAWLERS OFICIAL'!AT8)-'BRAWLERS OFICIAL'!AT8)</f>
        <v>0</v>
      </c>
      <c r="AU8" s="80">
        <v>0</v>
      </c>
      <c r="AV8" s="79">
        <f>((( 0 )/3 + 'BRAWLERS OFICIAL'!AV8)-'BRAWLERS OFICIAL'!AV8)</f>
        <v>0</v>
      </c>
      <c r="AW8" s="79">
        <f>((( 0 )/2 + 'BRAWLERS OFICIAL'!AW8)-'BRAWLERS OFICIAL'!AW8)/($BN8/5)</f>
        <v>0</v>
      </c>
      <c r="AX8" s="79">
        <f>((( 0 )/2 + 'BRAWLERS OFICIAL'!AX8)-'BRAWLERS OFICIAL'!AX8)</f>
        <v>0</v>
      </c>
      <c r="AY8" s="79">
        <f>((( 0 )/3 + 'BRAWLERS OFICIAL'!AY8)-'BRAWLERS OFICIAL'!AY8)</f>
        <v>0</v>
      </c>
      <c r="AZ8" s="79">
        <f>((( 0 )/2 + 'BRAWLERS OFICIAL'!AZ8)-'BRAWLERS OFICIAL'!AZ8)/($BN8/5)</f>
        <v>0</v>
      </c>
      <c r="BA8" s="79">
        <f>((( 0 )/3 + 'BRAWLERS OFICIAL'!BA8)-'BRAWLERS OFICIAL'!BA8)</f>
        <v>0</v>
      </c>
      <c r="BB8" s="79">
        <f>((( 0 )/3 + 'BRAWLERS OFICIAL'!BB8)-'BRAWLERS OFICIAL'!BB8)</f>
        <v>0</v>
      </c>
      <c r="BC8" s="79">
        <f>((0 + 'BRAWLERS OFICIAL'!BC8)-'BRAWLERS OFICIAL'!BC8)/($BN8/5)</f>
        <v>0</v>
      </c>
      <c r="BD8" s="79">
        <f>((0 + 'BRAWLERS OFICIAL'!BD8)-'BRAWLERS OFICIAL'!BD8)/($BN8/5)</f>
        <v>0</v>
      </c>
      <c r="BE8" s="79">
        <f>((( 0 )/2 + 'BRAWLERS OFICIAL'!BE8)-'BRAWLERS OFICIAL'!BE8)</f>
        <v>0</v>
      </c>
      <c r="BF8" s="79">
        <f>((0 + 'BRAWLERS OFICIAL'!BF8)-'BRAWLERS OFICIAL'!BF8)/($BN8/5)</f>
        <v>0</v>
      </c>
      <c r="BG8" s="79">
        <f>((( 0 )/2 + 'BRAWLERS OFICIAL'!BG8)-'BRAWLERS OFICIAL'!BG8)</f>
        <v>0</v>
      </c>
      <c r="BH8" s="79">
        <f>((( 0 )/3 + 'BRAWLERS OFICIAL'!BH8)-'BRAWLERS OFICIAL'!BH8)</f>
        <v>0</v>
      </c>
      <c r="BI8" s="79">
        <f>((( 0 )/2 + 'BRAWLERS OFICIAL'!BI8)-'BRAWLERS OFICIAL'!BI8)</f>
        <v>0</v>
      </c>
      <c r="BJ8" s="79">
        <f>((0 + 'BRAWLERS OFICIAL'!BJ8)-'BRAWLERS OFICIAL'!BJ8)/($BN8/5)</f>
        <v>0</v>
      </c>
      <c r="BK8" s="79">
        <f>((0 + 'BRAWLERS OFICIAL'!BK8)-'BRAWLERS OFICIAL'!BK8)/($BN8/5)</f>
        <v>0</v>
      </c>
      <c r="BL8" s="79">
        <f>((0 + 'BRAWLERS OFICIAL'!BL8)-'BRAWLERS OFICIAL'!BL8)/($BN8/5)</f>
        <v>0</v>
      </c>
      <c r="BN8" s="79">
        <v>21</v>
      </c>
    </row>
    <row r="9" spans="1:66">
      <c r="B9" s="77" t="s">
        <v>422</v>
      </c>
      <c r="C9" s="81" t="s">
        <v>95</v>
      </c>
      <c r="D9" s="79">
        <f>((0 + 'BRAWLERS OFICIAL'!D9)-'BRAWLERS OFICIAL'!D9)/($BN9/5)</f>
        <v>0</v>
      </c>
      <c r="E9" s="79">
        <f>((0 + 'BRAWLERS OFICIAL'!E9)-'BRAWLERS OFICIAL'!E9)/($BN9/5)</f>
        <v>0</v>
      </c>
      <c r="F9" s="79">
        <f>((0 + 'BRAWLERS OFICIAL'!F9)-'BRAWLERS OFICIAL'!F9)/($BN9/5)</f>
        <v>0</v>
      </c>
      <c r="G9" s="79">
        <f>((0 + 'BRAWLERS OFICIAL'!G9)-'BRAWLERS OFICIAL'!G9)/($BN9/5)</f>
        <v>0</v>
      </c>
      <c r="H9" s="79">
        <f>((0 + 'BRAWLERS OFICIAL'!H9)-'BRAWLERS OFICIAL'!H9)/($BN9/5)</f>
        <v>0</v>
      </c>
      <c r="I9" s="79">
        <f>((0 + 'BRAWLERS OFICIAL'!I9)-'BRAWLERS OFICIAL'!I9)/($BN9/5)</f>
        <v>0</v>
      </c>
      <c r="J9" s="79">
        <f>((5)-'BRAWLERS OFICIAL'!J9)/($BN9/5)</f>
        <v>0.55555555555555558</v>
      </c>
      <c r="K9" s="79">
        <f>((2.5)-'BRAWLERS OFICIAL'!K9)/($BN9/5)</f>
        <v>0.27777777777777779</v>
      </c>
      <c r="L9" s="79">
        <f>((2)-'BRAWLERS OFICIAL'!L9)/($BN9/5)</f>
        <v>0.55555555555555558</v>
      </c>
      <c r="M9" s="79">
        <f>((0 + 'BRAWLERS OFICIAL'!M9)-'BRAWLERS OFICIAL'!M9)/($BN9/5)</f>
        <v>0</v>
      </c>
      <c r="N9" s="79">
        <f>((0 + 'BRAWLERS OFICIAL'!N9)-'BRAWLERS OFICIAL'!N9)/($BN9/5)</f>
        <v>0</v>
      </c>
      <c r="O9" s="79">
        <f>((0 + 'BRAWLERS OFICIAL'!O9)-'BRAWLERS OFICIAL'!O9)/($BN9/5)</f>
        <v>0</v>
      </c>
      <c r="P9" s="79">
        <f>((0 + 'BRAWLERS OFICIAL'!P9)-'BRAWLERS OFICIAL'!P9)/($BN9/5)</f>
        <v>0</v>
      </c>
      <c r="Q9" s="79">
        <f>((0 + 'BRAWLERS OFICIAL'!Q9)-'BRAWLERS OFICIAL'!Q9)/($BN9/5)</f>
        <v>0</v>
      </c>
      <c r="R9" s="79">
        <f>((0 + 'BRAWLERS OFICIAL'!R9)-'BRAWLERS OFICIAL'!R9)/($BN9/5)</f>
        <v>0</v>
      </c>
      <c r="S9" s="79">
        <f>((0 + 'BRAWLERS OFICIAL'!S9)-'BRAWLERS OFICIAL'!S9)/($BN9/5)</f>
        <v>0</v>
      </c>
      <c r="T9" s="79">
        <f>((0 + 'BRAWLERS OFICIAL'!T9)-'BRAWLERS OFICIAL'!T9)/($BN9/5)</f>
        <v>0</v>
      </c>
      <c r="U9" s="79">
        <f>(0 + 'BRAWLERS OFICIAL'!U9)-'BRAWLERS OFICIAL'!U9</f>
        <v>0</v>
      </c>
      <c r="V9" s="121">
        <f>(( 0 + 'BRAWLERS OFICIAL'!V9 + AN9 + AV9/3.5 )-'BRAWLERS OFICIAL'!V9)/($BN9/5)</f>
        <v>0</v>
      </c>
      <c r="W9" s="80">
        <f>((2 + 'BRAWLERS OFICIAL'!W9)-'BRAWLERS OFICIAL'!W9)/($BN9/5)</f>
        <v>0.55555555555555558</v>
      </c>
      <c r="X9" s="80">
        <f>(((0)/3 + 'BRAWLERS OFICIAL'!X9)-'BRAWLERS OFICIAL'!X9)</f>
        <v>0</v>
      </c>
      <c r="Y9" s="80">
        <f>((0 + 'BRAWLERS OFICIAL'!Y9)-'BRAWLERS OFICIAL'!Y9)/($BN9/5)</f>
        <v>0</v>
      </c>
      <c r="Z9" s="80">
        <f>((0 + 'BRAWLERS OFICIAL'!Z9)-'BRAWLERS OFICIAL'!Z9)/($BN9/5)</f>
        <v>0</v>
      </c>
      <c r="AA9" s="80">
        <f>(((0)/4 + 'BRAWLERS OFICIAL'!AA9)-'BRAWLERS OFICIAL'!AA9)/($BN9/5)</f>
        <v>0</v>
      </c>
      <c r="AB9" s="80">
        <f>((0 + 'BRAWLERS OFICIAL'!AB9)-'BRAWLERS OFICIAL'!AB9)/($BN9/5)</f>
        <v>0</v>
      </c>
      <c r="AC9" s="80">
        <f>((0 + 'BRAWLERS OFICIAL'!AC9)-'BRAWLERS OFICIAL'!AC9)/($BN9/5)</f>
        <v>0</v>
      </c>
      <c r="AD9" s="80">
        <f>((0 + 'BRAWLERS OFICIAL'!AD9)-'BRAWLERS OFICIAL'!AD9)/($BN9/5)</f>
        <v>0</v>
      </c>
      <c r="AE9" s="80">
        <f>((0 + 'BRAWLERS OFICIAL'!AE9)-'BRAWLERS OFICIAL'!AE9)</f>
        <v>0</v>
      </c>
      <c r="AF9" s="80">
        <f>((0 + 'BRAWLERS OFICIAL'!AF9)-'BRAWLERS OFICIAL'!AF9)</f>
        <v>0</v>
      </c>
      <c r="AG9" s="80">
        <f>((0 + 'BRAWLERS OFICIAL'!AG9)-'BRAWLERS OFICIAL'!AG9)</f>
        <v>0</v>
      </c>
      <c r="AH9" s="80">
        <f>((0 + 'BRAWLERS OFICIAL'!AH9)-'BRAWLERS OFICIAL'!AH9)/($BN9/5)</f>
        <v>0</v>
      </c>
      <c r="AI9" s="80">
        <f>((0 + 'BRAWLERS OFICIAL'!AI9)-'BRAWLERS OFICIAL'!AI9)/($BN9/5)</f>
        <v>0</v>
      </c>
      <c r="AJ9" s="80">
        <f>(((BH9/5+1)*AI9 + 'BRAWLERS OFICIAL'!AJ9)-'BRAWLERS OFICIAL'!AJ9)/($BN9/5)</f>
        <v>0</v>
      </c>
      <c r="AK9" s="80">
        <f>IF( 0 = (1-1), (1-1), ((0 + 'BRAWLERS OFICIAL'!AK9)/1.5)-'BRAWLERS OFICIAL'!AK9 )</f>
        <v>0</v>
      </c>
      <c r="AL9" s="80">
        <f t="shared" si="0"/>
        <v>0</v>
      </c>
      <c r="AM9" s="80">
        <f>((0 + 'BRAWLERS OFICIAL'!AM9)-'BRAWLERS OFICIAL'!AM9)/($BN9/5)</f>
        <v>0</v>
      </c>
      <c r="AN9" s="80">
        <f>((0/1000 + 'BRAWLERS OFICIAL'!AN9)-'BRAWLERS OFICIAL'!AN9)</f>
        <v>0</v>
      </c>
      <c r="AO9" s="80">
        <f>((0 + 'BRAWLERS OFICIAL'!AO9)-'BRAWLERS OFICIAL'!AO9)</f>
        <v>0</v>
      </c>
      <c r="AP9" s="80">
        <f>IF( 0 = (1-1), (1-1), ((0 + 'BRAWLERS OFICIAL'!AP9)/1.5) )</f>
        <v>0</v>
      </c>
      <c r="AQ9" s="80">
        <f>IF( 0 = (1-1), (1-1), ((0 + 'BRAWLERS OFICIAL'!AQ9)/1.5) )</f>
        <v>0</v>
      </c>
      <c r="AR9" s="80">
        <f>IF( 0 = (1-1), (1-1), ((0 + 'BRAWLERS OFICIAL'!AR9)/2) )</f>
        <v>0</v>
      </c>
      <c r="AS9" s="80">
        <f>((0 + 'BRAWLERS OFICIAL'!AS9)-'BRAWLERS OFICIAL'!AS9)/($BN9/5)</f>
        <v>0</v>
      </c>
      <c r="AT9" s="80">
        <f>(((0)/4 + 'BRAWLERS OFICIAL'!AT9)-'BRAWLERS OFICIAL'!AT9)</f>
        <v>0</v>
      </c>
      <c r="AU9" s="80">
        <v>0</v>
      </c>
      <c r="AV9" s="79">
        <f>((( 0 )/3 + 'BRAWLERS OFICIAL'!AV9)-'BRAWLERS OFICIAL'!AV9)</f>
        <v>0</v>
      </c>
      <c r="AW9" s="79">
        <f>((( 0 )/2 + 'BRAWLERS OFICIAL'!AW9)-'BRAWLERS OFICIAL'!AW9)/($BN9/5)</f>
        <v>0</v>
      </c>
      <c r="AX9" s="79">
        <f>((( 0 )/2 + 'BRAWLERS OFICIAL'!AX9)-'BRAWLERS OFICIAL'!AX9)</f>
        <v>0</v>
      </c>
      <c r="AY9" s="79">
        <f>((( 0 )/3 + 'BRAWLERS OFICIAL'!AY9)-'BRAWLERS OFICIAL'!AY9)</f>
        <v>0</v>
      </c>
      <c r="AZ9" s="79">
        <f>((( 0 )/2 + 'BRAWLERS OFICIAL'!AZ9)-'BRAWLERS OFICIAL'!AZ9)/($BN9/5)</f>
        <v>0</v>
      </c>
      <c r="BA9" s="79">
        <f>((( 0 )/3 + 'BRAWLERS OFICIAL'!BA9)-'BRAWLERS OFICIAL'!BA9)</f>
        <v>0</v>
      </c>
      <c r="BB9" s="79">
        <f>((( 0 )/3 + 'BRAWLERS OFICIAL'!BB9)-'BRAWLERS OFICIAL'!BB9)</f>
        <v>0</v>
      </c>
      <c r="BC9" s="79">
        <f>((0 + 'BRAWLERS OFICIAL'!BC9)-'BRAWLERS OFICIAL'!BC9)/($BN9/5)</f>
        <v>0</v>
      </c>
      <c r="BD9" s="79">
        <f>((0 + 'BRAWLERS OFICIAL'!BD9)-'BRAWLERS OFICIAL'!BD9)/($BN9/5)</f>
        <v>0</v>
      </c>
      <c r="BE9" s="79">
        <f>((( 0 )/2 + 'BRAWLERS OFICIAL'!BE9)-'BRAWLERS OFICIAL'!BE9)</f>
        <v>0</v>
      </c>
      <c r="BF9" s="79">
        <f>((0 + 'BRAWLERS OFICIAL'!BF9)-'BRAWLERS OFICIAL'!BF9)/($BN9/5)</f>
        <v>0</v>
      </c>
      <c r="BG9" s="79">
        <f>((( 0 )/2 + 'BRAWLERS OFICIAL'!BG9)-'BRAWLERS OFICIAL'!BG9)</f>
        <v>0</v>
      </c>
      <c r="BH9" s="79">
        <f>((( 5.5 + 5 + 3 )/3 + 'BRAWLERS OFICIAL'!BH9)-'BRAWLERS OFICIAL'!BH9)</f>
        <v>4.5</v>
      </c>
      <c r="BI9" s="79">
        <f>((( 0 )/2 + 'BRAWLERS OFICIAL'!BI9)-'BRAWLERS OFICIAL'!BI9)</f>
        <v>0</v>
      </c>
      <c r="BJ9" s="79">
        <f>((0 + 'BRAWLERS OFICIAL'!BJ9)-'BRAWLERS OFICIAL'!BJ9)/($BN9/5)</f>
        <v>0</v>
      </c>
      <c r="BK9" s="79">
        <f>((0 + 'BRAWLERS OFICIAL'!BK9)-'BRAWLERS OFICIAL'!BK9)/($BN9/5)</f>
        <v>0</v>
      </c>
      <c r="BL9" s="79">
        <f>((0 + 'BRAWLERS OFICIAL'!BL9)-'BRAWLERS OFICIAL'!BL9)/($BN9/5)</f>
        <v>0</v>
      </c>
      <c r="BN9" s="79">
        <v>18</v>
      </c>
    </row>
    <row r="10" spans="1:66">
      <c r="B10" s="77" t="s">
        <v>423</v>
      </c>
      <c r="C10" s="81" t="s">
        <v>87</v>
      </c>
      <c r="D10" s="79">
        <f>((0 + 'BRAWLERS OFICIAL'!D10)-'BRAWLERS OFICIAL'!D10)/($BN10/5)</f>
        <v>0</v>
      </c>
      <c r="E10" s="79">
        <f>((0 + 'BRAWLERS OFICIAL'!E10)-'BRAWLERS OFICIAL'!E10)/($BN10/5)</f>
        <v>0</v>
      </c>
      <c r="F10" s="79">
        <f>((0 + 'BRAWLERS OFICIAL'!F10)-'BRAWLERS OFICIAL'!F10)/($BN10/5)</f>
        <v>0</v>
      </c>
      <c r="G10" s="79">
        <f>((0 + 'BRAWLERS OFICIAL'!G10)-'BRAWLERS OFICIAL'!G10)/($BN10/5)</f>
        <v>0</v>
      </c>
      <c r="H10" s="79">
        <f>((0 + 'BRAWLERS OFICIAL'!H10)-'BRAWLERS OFICIAL'!H10)/($BN10/5)</f>
        <v>0</v>
      </c>
      <c r="I10" s="79">
        <f>((0 + 'BRAWLERS OFICIAL'!I10)-'BRAWLERS OFICIAL'!I10)/($BN10/5)</f>
        <v>0</v>
      </c>
      <c r="J10" s="79">
        <f>((0 + 'BRAWLERS OFICIAL'!J10)-'BRAWLERS OFICIAL'!J10)/($BN10/5)</f>
        <v>0</v>
      </c>
      <c r="K10" s="79">
        <f>((0 + 'BRAWLERS OFICIAL'!K10)-'BRAWLERS OFICIAL'!K10)/($BN10/5)</f>
        <v>0</v>
      </c>
      <c r="L10" s="79">
        <f>((0 + 'BRAWLERS OFICIAL'!L10)-'BRAWLERS OFICIAL'!L10)/($BN10/5)</f>
        <v>0</v>
      </c>
      <c r="M10" s="79">
        <f>((0 + 'BRAWLERS OFICIAL'!M10)-'BRAWLERS OFICIAL'!M10)/($BN10/5)</f>
        <v>0</v>
      </c>
      <c r="N10" s="79">
        <f>((0 + 'BRAWLERS OFICIAL'!N10)-'BRAWLERS OFICIAL'!N10)/($BN10/5)</f>
        <v>0</v>
      </c>
      <c r="O10" s="79">
        <f>((0 + 'BRAWLERS OFICIAL'!O10)-'BRAWLERS OFICIAL'!O10)/($BN10/5)</f>
        <v>0</v>
      </c>
      <c r="P10" s="79">
        <f>((0 + 'BRAWLERS OFICIAL'!P10)-'BRAWLERS OFICIAL'!P10)/($BN10/5)</f>
        <v>0</v>
      </c>
      <c r="Q10" s="79">
        <f>((0 + 'BRAWLERS OFICIAL'!Q10)-'BRAWLERS OFICIAL'!Q10)/($BN10/5)</f>
        <v>0</v>
      </c>
      <c r="R10" s="79">
        <f>((0 + 'BRAWLERS OFICIAL'!R10)-'BRAWLERS OFICIAL'!R10)/($BN10/5)</f>
        <v>0</v>
      </c>
      <c r="S10" s="79">
        <f>((0 + 'BRAWLERS OFICIAL'!S10)-'BRAWLERS OFICIAL'!S10)/($BN10/5)</f>
        <v>0</v>
      </c>
      <c r="T10" s="79">
        <f>((0 + 'BRAWLERS OFICIAL'!T10)-'BRAWLERS OFICIAL'!T10)/($BN10/5)</f>
        <v>0</v>
      </c>
      <c r="U10" s="79">
        <f>(0 + 'BRAWLERS OFICIAL'!U10)-'BRAWLERS OFICIAL'!U10</f>
        <v>0</v>
      </c>
      <c r="V10" s="121">
        <f>(( 0 + 'BRAWLERS OFICIAL'!V10 + AN10 + AV10/3.5 )-'BRAWLERS OFICIAL'!V10)/($BN10/5)</f>
        <v>0</v>
      </c>
      <c r="W10" s="80">
        <f>((0 + 'BRAWLERS OFICIAL'!W10)-'BRAWLERS OFICIAL'!W10)/($BN10/5)</f>
        <v>0</v>
      </c>
      <c r="X10" s="80">
        <f>(((0)/3 + 'BRAWLERS OFICIAL'!X10)-'BRAWLERS OFICIAL'!X10)</f>
        <v>0</v>
      </c>
      <c r="Y10" s="80">
        <f>((0 + 'BRAWLERS OFICIAL'!Y10)-'BRAWLERS OFICIAL'!Y10)/($BN10/5)</f>
        <v>0</v>
      </c>
      <c r="Z10" s="80">
        <f>((0 + 'BRAWLERS OFICIAL'!Z10)-'BRAWLERS OFICIAL'!Z10)/($BN10/5)</f>
        <v>0</v>
      </c>
      <c r="AA10" s="80">
        <f>(((0)/4 + 'BRAWLERS OFICIAL'!AA10)-'BRAWLERS OFICIAL'!AA10)/($BN10/5)</f>
        <v>0</v>
      </c>
      <c r="AB10" s="80">
        <f>((0 + 'BRAWLERS OFICIAL'!AB10)-'BRAWLERS OFICIAL'!AB10)/($BN10/5)</f>
        <v>0</v>
      </c>
      <c r="AC10" s="80">
        <f>((0 + 'BRAWLERS OFICIAL'!AC10)-'BRAWLERS OFICIAL'!AC10)/($BN10/5)</f>
        <v>0</v>
      </c>
      <c r="AD10" s="80">
        <f>((0 + 'BRAWLERS OFICIAL'!AD10)-'BRAWLERS OFICIAL'!AD10)/($BN10/5)</f>
        <v>0</v>
      </c>
      <c r="AE10" s="80">
        <f>((0 + 'BRAWLERS OFICIAL'!AE10)-'BRAWLERS OFICIAL'!AE10)</f>
        <v>0</v>
      </c>
      <c r="AF10" s="80">
        <f>((0 + 'BRAWLERS OFICIAL'!AF10)-'BRAWLERS OFICIAL'!AF10)</f>
        <v>0</v>
      </c>
      <c r="AG10" s="80">
        <f>((0 + 'BRAWLERS OFICIAL'!AG10)-'BRAWLERS OFICIAL'!AG10)</f>
        <v>0</v>
      </c>
      <c r="AH10" s="80">
        <f>((0 + 'BRAWLERS OFICIAL'!AH10)-'BRAWLERS OFICIAL'!AH10)/($BN10/5)</f>
        <v>0</v>
      </c>
      <c r="AI10" s="80">
        <f>((0 + 'BRAWLERS OFICIAL'!AI10)-'BRAWLERS OFICIAL'!AI10)/($BN10/5)</f>
        <v>0</v>
      </c>
      <c r="AJ10" s="80">
        <f>(((BH10/5+1)*AI10 + 'BRAWLERS OFICIAL'!AJ10)-'BRAWLERS OFICIAL'!AJ10)/($BN10/5)</f>
        <v>0</v>
      </c>
      <c r="AK10" s="80">
        <f>IF( 0 = (1-1), (1-1), ((0 + 'BRAWLERS OFICIAL'!AK10)/1.5)-'BRAWLERS OFICIAL'!AK10 )</f>
        <v>0</v>
      </c>
      <c r="AL10" s="80">
        <f t="shared" si="0"/>
        <v>0</v>
      </c>
      <c r="AM10" s="80">
        <f>((0 + 'BRAWLERS OFICIAL'!AM10)-'BRAWLERS OFICIAL'!AM10)/($BN10/5)</f>
        <v>0</v>
      </c>
      <c r="AN10" s="80">
        <f>((0/1000 + 'BRAWLERS OFICIAL'!AN10)-'BRAWLERS OFICIAL'!AN10)</f>
        <v>0</v>
      </c>
      <c r="AO10" s="80">
        <f>((0 + 'BRAWLERS OFICIAL'!AO10)-'BRAWLERS OFICIAL'!AO10)</f>
        <v>0</v>
      </c>
      <c r="AP10" s="80">
        <f>IF( 0 = (1-1), (1-1), ((0 + 'BRAWLERS OFICIAL'!AP10)/1.5) )</f>
        <v>0</v>
      </c>
      <c r="AQ10" s="80">
        <f>IF( 0 = (1-1), (1-1), ((0 + 'BRAWLERS OFICIAL'!AQ10)/1.5) )</f>
        <v>0</v>
      </c>
      <c r="AR10" s="80">
        <f>IF( 0 = (1-1), (1-1), ((0 + 'BRAWLERS OFICIAL'!AR10)/2) )</f>
        <v>0</v>
      </c>
      <c r="AS10" s="80">
        <f>((0 + 'BRAWLERS OFICIAL'!AS10)-'BRAWLERS OFICIAL'!AS10)/($BN10/5)</f>
        <v>0</v>
      </c>
      <c r="AT10" s="80">
        <f>(((0)/4 + 'BRAWLERS OFICIAL'!AT10)-'BRAWLERS OFICIAL'!AT10)</f>
        <v>0</v>
      </c>
      <c r="AU10" s="80">
        <v>0</v>
      </c>
      <c r="AV10" s="79">
        <f>((( 0 )/3 + 'BRAWLERS OFICIAL'!AV10)-'BRAWLERS OFICIAL'!AV10)</f>
        <v>0</v>
      </c>
      <c r="AW10" s="79">
        <f>((( 0 )/2 + 'BRAWLERS OFICIAL'!AW10)-'BRAWLERS OFICIAL'!AW10)/($BN10/5)</f>
        <v>0</v>
      </c>
      <c r="AX10" s="79">
        <f>((( 0 )/2 + 'BRAWLERS OFICIAL'!AX10)-'BRAWLERS OFICIAL'!AX10)</f>
        <v>0</v>
      </c>
      <c r="AY10" s="79">
        <f>((( 0 )/3 + 'BRAWLERS OFICIAL'!AY10)-'BRAWLERS OFICIAL'!AY10)</f>
        <v>0</v>
      </c>
      <c r="AZ10" s="79">
        <f>((( 0 )/2 + 'BRAWLERS OFICIAL'!AZ10)-'BRAWLERS OFICIAL'!AZ10)/($BN10/5)</f>
        <v>0</v>
      </c>
      <c r="BA10" s="79">
        <f>((( 0 )/3 + 'BRAWLERS OFICIAL'!BA10)-'BRAWLERS OFICIAL'!BA10)</f>
        <v>0</v>
      </c>
      <c r="BB10" s="79">
        <f>((( 0 )/3 + 'BRAWLERS OFICIAL'!BB10)-'BRAWLERS OFICIAL'!BB10)</f>
        <v>0</v>
      </c>
      <c r="BC10" s="79">
        <f>((0 + 'BRAWLERS OFICIAL'!BC10)-'BRAWLERS OFICIAL'!BC10)/($BN10/5)</f>
        <v>0</v>
      </c>
      <c r="BD10" s="79">
        <f>((0 + 'BRAWLERS OFICIAL'!BD10)-'BRAWLERS OFICIAL'!BD10)/($BN10/5)</f>
        <v>0</v>
      </c>
      <c r="BE10" s="79">
        <f>((( 10 + 5.5 )/2 + 'BRAWLERS OFICIAL'!BE10)-'BRAWLERS OFICIAL'!BE10)</f>
        <v>7.75</v>
      </c>
      <c r="BF10" s="79">
        <f>((0 + 'BRAWLERS OFICIAL'!BF10)-'BRAWLERS OFICIAL'!BF10)/($BN10/5)</f>
        <v>0</v>
      </c>
      <c r="BG10" s="79">
        <f>((( 10 + 5.5 )/2 + 'BRAWLERS OFICIAL'!BG10)-'BRAWLERS OFICIAL'!BG10)</f>
        <v>7.75</v>
      </c>
      <c r="BH10" s="79">
        <f>((( 0 )/3 + 'BRAWLERS OFICIAL'!BH10)-'BRAWLERS OFICIAL'!BH10)</f>
        <v>0</v>
      </c>
      <c r="BI10" s="79">
        <f>((( 10 + 5.5 )/2 + 'BRAWLERS OFICIAL'!BI10)-'BRAWLERS OFICIAL'!BI10)</f>
        <v>7.75</v>
      </c>
      <c r="BJ10" s="79">
        <f>((0 + 'BRAWLERS OFICIAL'!BJ10)-'BRAWLERS OFICIAL'!BJ10)/($BN10/5)</f>
        <v>0</v>
      </c>
      <c r="BK10" s="79">
        <f>((0 + 'BRAWLERS OFICIAL'!BK10)-'BRAWLERS OFICIAL'!BK10)/($BN10/5)</f>
        <v>0</v>
      </c>
      <c r="BL10" s="79">
        <f>((0 + 'BRAWLERS OFICIAL'!BL10)-'BRAWLERS OFICIAL'!BL10)/($BN10/5)</f>
        <v>0</v>
      </c>
      <c r="BN10" s="79">
        <v>18</v>
      </c>
    </row>
    <row r="11" spans="1:66">
      <c r="B11" s="77" t="s">
        <v>424</v>
      </c>
      <c r="C11" s="67" t="s">
        <v>15</v>
      </c>
      <c r="D11" s="79">
        <f>((0 + 'BRAWLERS OFICIAL'!D11)-'BRAWLERS OFICIAL'!D11)/($BN11/5)</f>
        <v>0</v>
      </c>
      <c r="E11" s="79">
        <f>((0 + 'BRAWLERS OFICIAL'!E11)-'BRAWLERS OFICIAL'!E11)/($BN11/5)</f>
        <v>0</v>
      </c>
      <c r="F11" s="79">
        <f>((0 + 'BRAWLERS OFICIAL'!F11)-'BRAWLERS OFICIAL'!F11)/($BN11/5)</f>
        <v>0</v>
      </c>
      <c r="G11" s="79">
        <f>((0 + 'BRAWLERS OFICIAL'!G11)-'BRAWLERS OFICIAL'!G11)/($BN11/5)</f>
        <v>0</v>
      </c>
      <c r="H11" s="79">
        <f>((2*'BRAWLERS OFICIAL'!H11)-'BRAWLERS OFICIAL'!H11)/($BN11/5)</f>
        <v>2.5</v>
      </c>
      <c r="I11" s="79">
        <f>((0 + 'BRAWLERS OFICIAL'!I11)-'BRAWLERS OFICIAL'!I11)/($BN11/5)</f>
        <v>0</v>
      </c>
      <c r="J11" s="79">
        <f>((0 + 'BRAWLERS OFICIAL'!J11)-'BRAWLERS OFICIAL'!J11)/($BN11/5)</f>
        <v>0</v>
      </c>
      <c r="K11" s="79">
        <f>((0 + 'BRAWLERS OFICIAL'!K11)-'BRAWLERS OFICIAL'!K11)/($BN11/5)</f>
        <v>0</v>
      </c>
      <c r="L11" s="79">
        <f>((0 + 'BRAWLERS OFICIAL'!L11)-'BRAWLERS OFICIAL'!L11)/($BN11/5)</f>
        <v>0</v>
      </c>
      <c r="M11" s="79">
        <f>((0 + 'BRAWLERS OFICIAL'!M11)-'BRAWLERS OFICIAL'!M11)/($BN11/5)</f>
        <v>0</v>
      </c>
      <c r="N11" s="79">
        <f>((0 + 'BRAWLERS OFICIAL'!N11)-'BRAWLERS OFICIAL'!N11)/($BN11/5)</f>
        <v>0</v>
      </c>
      <c r="O11" s="79">
        <f>((0 + 'BRAWLERS OFICIAL'!O11)-'BRAWLERS OFICIAL'!O11)/($BN11/5)</f>
        <v>0</v>
      </c>
      <c r="P11" s="79">
        <f>((0 + 'BRAWLERS OFICIAL'!P11)-'BRAWLERS OFICIAL'!P11)/($BN11/5)</f>
        <v>0</v>
      </c>
      <c r="Q11" s="79">
        <f>((0 + 'BRAWLERS OFICIAL'!Q11)-'BRAWLERS OFICIAL'!Q11)/($BN11/5)</f>
        <v>0</v>
      </c>
      <c r="R11" s="79">
        <f>((0 + 'BRAWLERS OFICIAL'!R11)-'BRAWLERS OFICIAL'!R11)/($BN11/5)</f>
        <v>0</v>
      </c>
      <c r="S11" s="79">
        <f>((0 + 'BRAWLERS OFICIAL'!S11)-'BRAWLERS OFICIAL'!S11)/($BN11/5)</f>
        <v>0</v>
      </c>
      <c r="T11" s="79">
        <f>((0 + 'BRAWLERS OFICIAL'!T11)-'BRAWLERS OFICIAL'!T11)/($BN11/5)</f>
        <v>0</v>
      </c>
      <c r="U11" s="79">
        <v>0</v>
      </c>
      <c r="V11" s="121">
        <f>(( 0 + 'BRAWLERS OFICIAL'!V11 + AN11 + AV11/3.5 )-'BRAWLERS OFICIAL'!V11)/($BN11/5)</f>
        <v>1.0119047619047616</v>
      </c>
      <c r="W11" s="80">
        <f>((0 + 'BRAWLERS OFICIAL'!W11)-'BRAWLERS OFICIAL'!W11)/($BN11/5)</f>
        <v>0</v>
      </c>
      <c r="X11" s="80">
        <f>(((0)/3 + 'BRAWLERS OFICIAL'!X11)-'BRAWLERS OFICIAL'!X11)</f>
        <v>0</v>
      </c>
      <c r="Y11" s="80">
        <f>((0 + 'BRAWLERS OFICIAL'!Y11)-'BRAWLERS OFICIAL'!Y11)/($BN11/5)</f>
        <v>0</v>
      </c>
      <c r="Z11" s="80">
        <f>((0 + 'BRAWLERS OFICIAL'!Z11)-'BRAWLERS OFICIAL'!Z11)/($BN11/5)</f>
        <v>0</v>
      </c>
      <c r="AA11" s="80">
        <f>(((6 + 1 + 12 + 5)/4)-'BRAWLERS OFICIAL'!AA11)/($BN11/5)</f>
        <v>0.625</v>
      </c>
      <c r="AB11" s="80">
        <f>((0 + 'BRAWLERS OFICIAL'!AB11)-'BRAWLERS OFICIAL'!AB11)/($BN11/5)</f>
        <v>0</v>
      </c>
      <c r="AC11" s="80">
        <f>((0 + 'BRAWLERS OFICIAL'!AC11)-'BRAWLERS OFICIAL'!AC11)/($BN11/5)</f>
        <v>0</v>
      </c>
      <c r="AD11" s="80">
        <f>((0 + 'BRAWLERS OFICIAL'!AD11)-'BRAWLERS OFICIAL'!AD11)/($BN11/5)</f>
        <v>0</v>
      </c>
      <c r="AE11" s="80">
        <f>((0 + 'BRAWLERS OFICIAL'!AE11)-'BRAWLERS OFICIAL'!AE11)</f>
        <v>0</v>
      </c>
      <c r="AF11" s="80">
        <f>((0 + 'BRAWLERS OFICIAL'!AF11)-'BRAWLERS OFICIAL'!AF11)</f>
        <v>0</v>
      </c>
      <c r="AG11" s="80">
        <f>((0 + 'BRAWLERS OFICIAL'!AG11)-'BRAWLERS OFICIAL'!AG11)</f>
        <v>0</v>
      </c>
      <c r="AH11" s="80">
        <f>((0 + 'BRAWLERS OFICIAL'!AH11)-'BRAWLERS OFICIAL'!AH11)/($BN11/5)</f>
        <v>0</v>
      </c>
      <c r="AI11" s="80">
        <f>((0 + 'BRAWLERS OFICIAL'!AI11)-'BRAWLERS OFICIAL'!AI11)/($BN11/5)</f>
        <v>0</v>
      </c>
      <c r="AJ11" s="80">
        <f>(((BH11/5+1)*AI11 + 'BRAWLERS OFICIAL'!AJ11)-'BRAWLERS OFICIAL'!AJ11)/($BN11/5)</f>
        <v>0</v>
      </c>
      <c r="AK11" s="80">
        <f>IF( 0 = (1-1), (1-1), ((0 + 'BRAWLERS OFICIAL'!AK11)/1.5)-'BRAWLERS OFICIAL'!AK11 )</f>
        <v>0</v>
      </c>
      <c r="AL11" s="80">
        <f t="shared" si="0"/>
        <v>0</v>
      </c>
      <c r="AM11" s="80">
        <f>((0 + 'BRAWLERS OFICIAL'!AM11)-'BRAWLERS OFICIAL'!AM11)/($BN11/5)</f>
        <v>0</v>
      </c>
      <c r="AN11" s="80">
        <f>((0/1000 + 'BRAWLERS OFICIAL'!AN11)-'BRAWLERS OFICIAL'!AN11)</f>
        <v>0</v>
      </c>
      <c r="AO11" s="80">
        <f>((0 + 'BRAWLERS OFICIAL'!AO11)-'BRAWLERS OFICIAL'!AO11)</f>
        <v>0</v>
      </c>
      <c r="AP11" s="80">
        <f>IF( 0 = (1-1), (1-1), ((0 + 'BRAWLERS OFICIAL'!AP11)/1.5) )</f>
        <v>0</v>
      </c>
      <c r="AQ11" s="80">
        <f>IF( 0 = (1-1), (1-1), ((0 + 'BRAWLERS OFICIAL'!AQ11)/1.5) )</f>
        <v>0</v>
      </c>
      <c r="AR11" s="80">
        <f>IF( 0 = (1-1), (1-1), ((0 + 'BRAWLERS OFICIAL'!AR11)/2) )</f>
        <v>0</v>
      </c>
      <c r="AS11" s="80">
        <f>((0 + 'BRAWLERS OFICIAL'!AS11)-'BRAWLERS OFICIAL'!AS11)/($BN11/5)</f>
        <v>0</v>
      </c>
      <c r="AT11" s="80">
        <f>(((0)/4 + 'BRAWLERS OFICIAL'!AT11)-'BRAWLERS OFICIAL'!AT11)</f>
        <v>0</v>
      </c>
      <c r="AU11" s="80">
        <v>0</v>
      </c>
      <c r="AV11" s="79">
        <f>((( 6.5 + 16 + 3 )/3 + 'BRAWLERS OFICIAL'!AV11)-'BRAWLERS OFICIAL'!AV11)</f>
        <v>8.5</v>
      </c>
      <c r="AW11" s="79">
        <f>((( 0 )/2 + 'BRAWLERS OFICIAL'!AW11)-'BRAWLERS OFICIAL'!AW11)/($BN11/5)</f>
        <v>0</v>
      </c>
      <c r="AX11" s="79">
        <f>((( 0 )/2 + 'BRAWLERS OFICIAL'!AX11)-'BRAWLERS OFICIAL'!AX11)</f>
        <v>0</v>
      </c>
      <c r="AY11" s="79">
        <f>((( 0 )/3 + 'BRAWLERS OFICIAL'!AY11)-'BRAWLERS OFICIAL'!AY11)</f>
        <v>0</v>
      </c>
      <c r="AZ11" s="79">
        <f>((( 0 )/2 + 'BRAWLERS OFICIAL'!AZ11)-'BRAWLERS OFICIAL'!AZ11)/($BN11/5)</f>
        <v>0</v>
      </c>
      <c r="BA11" s="79">
        <f>((( 0 )/3 + 'BRAWLERS OFICIAL'!BA11)-'BRAWLERS OFICIAL'!BA11)</f>
        <v>0</v>
      </c>
      <c r="BB11" s="79">
        <f>((( 0 )/3 + 'BRAWLERS OFICIAL'!BB11)-'BRAWLERS OFICIAL'!BB11)</f>
        <v>0</v>
      </c>
      <c r="BC11" s="79">
        <f>((0 + 'BRAWLERS OFICIAL'!BC11)-'BRAWLERS OFICIAL'!BC11)/($BN11/5)</f>
        <v>0</v>
      </c>
      <c r="BD11" s="79">
        <f>((0 + 'BRAWLERS OFICIAL'!BD11)-'BRAWLERS OFICIAL'!BD11)/($BN11/5)</f>
        <v>0</v>
      </c>
      <c r="BE11" s="79">
        <f>((( 0 )/2 + 'BRAWLERS OFICIAL'!BE11)-'BRAWLERS OFICIAL'!BE11)</f>
        <v>0</v>
      </c>
      <c r="BF11" s="79">
        <f>((0 + 'BRAWLERS OFICIAL'!BF11)-'BRAWLERS OFICIAL'!BF11)/($BN11/5)</f>
        <v>0</v>
      </c>
      <c r="BG11" s="79">
        <f>((( 0 )/2 + 'BRAWLERS OFICIAL'!BG11)-'BRAWLERS OFICIAL'!BG11)</f>
        <v>0</v>
      </c>
      <c r="BH11" s="79">
        <f>((( 0 )/3 + 'BRAWLERS OFICIAL'!BH11)-'BRAWLERS OFICIAL'!BH11)</f>
        <v>0</v>
      </c>
      <c r="BI11" s="79">
        <f>((( 0 )/2 + 'BRAWLERS OFICIAL'!BI11)-'BRAWLERS OFICIAL'!BI11)</f>
        <v>0</v>
      </c>
      <c r="BJ11" s="79">
        <f>((0 + 'BRAWLERS OFICIAL'!BJ11)-'BRAWLERS OFICIAL'!BJ11)/($BN11/5)</f>
        <v>0</v>
      </c>
      <c r="BK11" s="79">
        <f>((0 + 'BRAWLERS OFICIAL'!BK11)-'BRAWLERS OFICIAL'!BK11)/($BN11/5)</f>
        <v>0</v>
      </c>
      <c r="BL11" s="79">
        <f>((0 + 'BRAWLERS OFICIAL'!BL11)-'BRAWLERS OFICIAL'!BL11)/($BN11/5)</f>
        <v>0</v>
      </c>
      <c r="BN11" s="79">
        <v>12</v>
      </c>
    </row>
    <row r="12" spans="1:66">
      <c r="B12" s="77" t="s">
        <v>425</v>
      </c>
      <c r="C12" s="81" t="s">
        <v>43</v>
      </c>
      <c r="D12" s="79">
        <f>((0 + 'BRAWLERS OFICIAL'!D12)-'BRAWLERS OFICIAL'!D12)/($BN12/5)</f>
        <v>0</v>
      </c>
      <c r="E12" s="79">
        <f>((0 + 'BRAWLERS OFICIAL'!E12)-'BRAWLERS OFICIAL'!E12)/($BN12/5)</f>
        <v>0</v>
      </c>
      <c r="F12" s="79">
        <f>((0 + 'BRAWLERS OFICIAL'!F12)-'BRAWLERS OFICIAL'!F12)/($BN12/5)</f>
        <v>0</v>
      </c>
      <c r="G12" s="79">
        <f>((0 + 'BRAWLERS OFICIAL'!G12)-'BRAWLERS OFICIAL'!G12)/($BN12/5)</f>
        <v>0</v>
      </c>
      <c r="H12" s="79">
        <f>((0 + 'BRAWLERS OFICIAL'!H12)-'BRAWLERS OFICIAL'!H12)/($BN12/5)</f>
        <v>0</v>
      </c>
      <c r="I12" s="79">
        <f>((0 + 'BRAWLERS OFICIAL'!I12)-'BRAWLERS OFICIAL'!I12)/($BN12/5)</f>
        <v>0</v>
      </c>
      <c r="J12" s="79">
        <f>((0 + 'BRAWLERS OFICIAL'!J12)-'BRAWLERS OFICIAL'!J12)/($BN12/5)</f>
        <v>0</v>
      </c>
      <c r="K12" s="79">
        <f>((0 + 'BRAWLERS OFICIAL'!K12)-'BRAWLERS OFICIAL'!K12)/($BN12/5)</f>
        <v>0</v>
      </c>
      <c r="L12" s="79">
        <f>((0 + 'BRAWLERS OFICIAL'!L12)-'BRAWLERS OFICIAL'!L12)/($BN12/5)</f>
        <v>0</v>
      </c>
      <c r="M12" s="79">
        <f>((0 + 'BRAWLERS OFICIAL'!M12)-'BRAWLERS OFICIAL'!M12)/($BN12/5)</f>
        <v>0</v>
      </c>
      <c r="N12" s="79">
        <f>((0 + 'BRAWLERS OFICIAL'!N12)-'BRAWLERS OFICIAL'!N12)/($BN12/5)</f>
        <v>0</v>
      </c>
      <c r="O12" s="79">
        <f>((0 + 'BRAWLERS OFICIAL'!O12)-'BRAWLERS OFICIAL'!O12)/($BN12/5)</f>
        <v>0</v>
      </c>
      <c r="P12" s="79">
        <f>((0 + 'BRAWLERS OFICIAL'!P12)-'BRAWLERS OFICIAL'!P12)/($BN12/5)</f>
        <v>0</v>
      </c>
      <c r="Q12" s="79">
        <f>((0 + 'BRAWLERS OFICIAL'!Q12)-'BRAWLERS OFICIAL'!Q12)/($BN12/5)</f>
        <v>0</v>
      </c>
      <c r="R12" s="79">
        <f>((0 + 'BRAWLERS OFICIAL'!R12)-'BRAWLERS OFICIAL'!R12)/($BN12/5)</f>
        <v>0</v>
      </c>
      <c r="S12" s="79">
        <f>((0 + 'BRAWLERS OFICIAL'!S12)-'BRAWLERS OFICIAL'!S12)/($BN12/5)</f>
        <v>0</v>
      </c>
      <c r="T12" s="79">
        <f>((0 + 'BRAWLERS OFICIAL'!T12)-'BRAWLERS OFICIAL'!T12)/($BN12/5)</f>
        <v>0</v>
      </c>
      <c r="U12" s="79">
        <f>(0 + 'BRAWLERS OFICIAL'!U12)-'BRAWLERS OFICIAL'!U12</f>
        <v>0</v>
      </c>
      <c r="V12" s="121">
        <f>(( 0 + 'BRAWLERS OFICIAL'!V12 + AN12 + AV12/3.5 )-'BRAWLERS OFICIAL'!V12)/($BN12/5)</f>
        <v>0</v>
      </c>
      <c r="W12" s="80">
        <f>((2 + 'BRAWLERS OFICIAL'!W12)-'BRAWLERS OFICIAL'!W12)/($BN12/5)</f>
        <v>0.5</v>
      </c>
      <c r="X12" s="80">
        <f>(((0)/3 + 'BRAWLERS OFICIAL'!X12)-'BRAWLERS OFICIAL'!X12)</f>
        <v>0</v>
      </c>
      <c r="Y12" s="80">
        <f>((0 + 'BRAWLERS OFICIAL'!Y12)-'BRAWLERS OFICIAL'!Y12)/($BN12/5)</f>
        <v>0</v>
      </c>
      <c r="Z12" s="80">
        <f>((0 + 'BRAWLERS OFICIAL'!Z12)-'BRAWLERS OFICIAL'!Z12)/($BN12/5)</f>
        <v>0</v>
      </c>
      <c r="AA12" s="80">
        <f>(((0)/4 + 'BRAWLERS OFICIAL'!AA12)-'BRAWLERS OFICIAL'!AA12)/($BN12/5)</f>
        <v>0</v>
      </c>
      <c r="AB12" s="80">
        <f>((7 + 'BRAWLERS OFICIAL'!AB12)-'BRAWLERS OFICIAL'!AB12)/($BN12/5)</f>
        <v>1.75</v>
      </c>
      <c r="AC12" s="80">
        <f>((0 + 'BRAWLERS OFICIAL'!AC12)-'BRAWLERS OFICIAL'!AC12)/($BN12/5)</f>
        <v>0</v>
      </c>
      <c r="AD12" s="80">
        <f>((0 + 'BRAWLERS OFICIAL'!AD12)-'BRAWLERS OFICIAL'!AD12)/($BN12/5)</f>
        <v>0</v>
      </c>
      <c r="AE12" s="80">
        <f>((0 + 'BRAWLERS OFICIAL'!AE12)-'BRAWLERS OFICIAL'!AE12)</f>
        <v>0</v>
      </c>
      <c r="AF12" s="80">
        <f>((0 + 'BRAWLERS OFICIAL'!AF12)-'BRAWLERS OFICIAL'!AF12)</f>
        <v>0</v>
      </c>
      <c r="AG12" s="80">
        <f>((0 + 'BRAWLERS OFICIAL'!AG12)-'BRAWLERS OFICIAL'!AG12)</f>
        <v>0</v>
      </c>
      <c r="AH12" s="80">
        <f>((0 + 'BRAWLERS OFICIAL'!AH12)-'BRAWLERS OFICIAL'!AH12)/($BN12/5)</f>
        <v>0</v>
      </c>
      <c r="AI12" s="80">
        <f>((0 + 'BRAWLERS OFICIAL'!AI12)-'BRAWLERS OFICIAL'!AI12)/($BN12/5)</f>
        <v>0</v>
      </c>
      <c r="AJ12" s="80">
        <f>(((BH12/5+1)*AI12 + 'BRAWLERS OFICIAL'!AJ12)-'BRAWLERS OFICIAL'!AJ12)/($BN12/5)</f>
        <v>0</v>
      </c>
      <c r="AK12" s="80">
        <f>IF( 0 = (1-1), (1-1), ((0 + 'BRAWLERS OFICIAL'!AK12)/1.5)-'BRAWLERS OFICIAL'!AK12 )</f>
        <v>0</v>
      </c>
      <c r="AL12" s="80">
        <f t="shared" si="0"/>
        <v>0</v>
      </c>
      <c r="AM12" s="80">
        <f>((0 + 'BRAWLERS OFICIAL'!AM12)-'BRAWLERS OFICIAL'!AM12)/($BN12/5)</f>
        <v>0</v>
      </c>
      <c r="AN12" s="80">
        <f>((0/1000 + 'BRAWLERS OFICIAL'!AN12)-'BRAWLERS OFICIAL'!AN12)</f>
        <v>0</v>
      </c>
      <c r="AO12" s="80">
        <f>((0 + 'BRAWLERS OFICIAL'!AO12)-'BRAWLERS OFICIAL'!AO12)</f>
        <v>0</v>
      </c>
      <c r="AP12" s="80">
        <f>IF( 0 = (1-1), (1-1), ((0 + 'BRAWLERS OFICIAL'!AP12)/1.5) )</f>
        <v>0</v>
      </c>
      <c r="AQ12" s="80">
        <f>IF( 0 = (1-1), (1-1), ((0 + 'BRAWLERS OFICIAL'!AQ12)/1.5) )</f>
        <v>0</v>
      </c>
      <c r="AR12" s="80">
        <f>IF( 0 = (1-1), (1-1), ((0 + 'BRAWLERS OFICIAL'!AR12)/2) )</f>
        <v>0</v>
      </c>
      <c r="AS12" s="80">
        <f>((0 + 'BRAWLERS OFICIAL'!AS12)-'BRAWLERS OFICIAL'!AS12)/($BN12/5)</f>
        <v>0</v>
      </c>
      <c r="AT12" s="80">
        <f>(((0)/4 + 'BRAWLERS OFICIAL'!AT12)-'BRAWLERS OFICIAL'!AT12)</f>
        <v>0</v>
      </c>
      <c r="AU12" s="80">
        <v>0</v>
      </c>
      <c r="AV12" s="79">
        <f>((( 0 )/3 + 'BRAWLERS OFICIAL'!AV12)-'BRAWLERS OFICIAL'!AV12)</f>
        <v>0</v>
      </c>
      <c r="AW12" s="79">
        <f>((( 0 )/2 + 'BRAWLERS OFICIAL'!AW12)-'BRAWLERS OFICIAL'!AW12)/($BN12/5)</f>
        <v>0</v>
      </c>
      <c r="AX12" s="79">
        <f>((( 0 )/2 + 'BRAWLERS OFICIAL'!AX12)-'BRAWLERS OFICIAL'!AX12)</f>
        <v>0</v>
      </c>
      <c r="AY12" s="79">
        <f>((( 0 )/3 + 'BRAWLERS OFICIAL'!AY12)-'BRAWLERS OFICIAL'!AY12)</f>
        <v>0</v>
      </c>
      <c r="AZ12" s="79">
        <f>((( 0 )/2 + 'BRAWLERS OFICIAL'!AZ12)-'BRAWLERS OFICIAL'!AZ12)/($BN12/5)</f>
        <v>0</v>
      </c>
      <c r="BA12" s="79">
        <f>((( 0 )/3 + 'BRAWLERS OFICIAL'!BA12)-'BRAWLERS OFICIAL'!BA12)</f>
        <v>0</v>
      </c>
      <c r="BB12" s="79">
        <f>((( 0 )/3 + 'BRAWLERS OFICIAL'!BB12)-'BRAWLERS OFICIAL'!BB12)</f>
        <v>0</v>
      </c>
      <c r="BC12" s="79">
        <f>((0 + 'BRAWLERS OFICIAL'!BC12)-'BRAWLERS OFICIAL'!BC12)/($BN12/5)</f>
        <v>0</v>
      </c>
      <c r="BD12" s="79">
        <f>((0 + 'BRAWLERS OFICIAL'!BD12)-'BRAWLERS OFICIAL'!BD12)/($BN12/5)</f>
        <v>0</v>
      </c>
      <c r="BE12" s="79">
        <f>((( 0 )/2 + 'BRAWLERS OFICIAL'!BE12)-'BRAWLERS OFICIAL'!BE12)</f>
        <v>0</v>
      </c>
      <c r="BF12" s="79">
        <f>(( 2 + 'BRAWLERS OFICIAL'!BF12)-'BRAWLERS OFICIAL'!BF12)/($BN12/5)</f>
        <v>0.5</v>
      </c>
      <c r="BG12" s="79">
        <f>((( 0 )/2 + 'BRAWLERS OFICIAL'!BG12)-'BRAWLERS OFICIAL'!BG12)</f>
        <v>0</v>
      </c>
      <c r="BH12" s="79">
        <f>((( 5 + 5 + 4 )/3 + 'BRAWLERS OFICIAL'!BH12)-'BRAWLERS OFICIAL'!BH12)</f>
        <v>4.666666666666667</v>
      </c>
      <c r="BI12" s="79">
        <f>((( 0 )/2 + 'BRAWLERS OFICIAL'!BI12)-'BRAWLERS OFICIAL'!BI12)</f>
        <v>0</v>
      </c>
      <c r="BJ12" s="79">
        <f>((6 + 'BRAWLERS OFICIAL'!BJ12)-'BRAWLERS OFICIAL'!BJ12)/($BN12/5)</f>
        <v>1.5</v>
      </c>
      <c r="BK12" s="79">
        <f>((0 + 'BRAWLERS OFICIAL'!BK12)-'BRAWLERS OFICIAL'!BK12)/($BN12/5)</f>
        <v>0</v>
      </c>
      <c r="BL12" s="79">
        <f>((0 + 'BRAWLERS OFICIAL'!BL12)-'BRAWLERS OFICIAL'!BL12)/($BN12/5)</f>
        <v>0</v>
      </c>
      <c r="BN12" s="79">
        <v>20</v>
      </c>
    </row>
    <row r="13" spans="1:66">
      <c r="B13" s="77" t="s">
        <v>426</v>
      </c>
      <c r="C13" s="67" t="s">
        <v>93</v>
      </c>
      <c r="D13" s="79">
        <f>((0 + 'BRAWLERS OFICIAL'!D13)-'BRAWLERS OFICIAL'!D13)/($BN13/5)</f>
        <v>0</v>
      </c>
      <c r="E13" s="79">
        <f>((0 + 'BRAWLERS OFICIAL'!E13)-'BRAWLERS OFICIAL'!E13)/($BN13/5)</f>
        <v>0</v>
      </c>
      <c r="F13" s="79">
        <f>((0 + 'BRAWLERS OFICIAL'!F13)-'BRAWLERS OFICIAL'!F13)/($BN13/5)</f>
        <v>0</v>
      </c>
      <c r="G13" s="79">
        <f>((0 + 'BRAWLERS OFICIAL'!G13)-'BRAWLERS OFICIAL'!G13)/($BN13/5)</f>
        <v>0</v>
      </c>
      <c r="H13" s="79">
        <f>((0 + 'BRAWLERS OFICIAL'!H13)-'BRAWLERS OFICIAL'!H13)/($BN13/5)</f>
        <v>0</v>
      </c>
      <c r="I13" s="79">
        <f>((0 + 'BRAWLERS OFICIAL'!I13)-'BRAWLERS OFICIAL'!I13)/($BN13/5)</f>
        <v>0</v>
      </c>
      <c r="J13" s="79">
        <f>((0 + 'BRAWLERS OFICIAL'!J13)-'BRAWLERS OFICIAL'!J13)/($BN13/5)</f>
        <v>0</v>
      </c>
      <c r="K13" s="79">
        <f>((0 + 'BRAWLERS OFICIAL'!K13)-'BRAWLERS OFICIAL'!K13)/($BN13/5)</f>
        <v>0</v>
      </c>
      <c r="L13" s="79">
        <f>((0 + 'BRAWLERS OFICIAL'!L13)-'BRAWLERS OFICIAL'!L13)/($BN13/5)</f>
        <v>0</v>
      </c>
      <c r="M13" s="79">
        <f>((0 + 'BRAWLERS OFICIAL'!M13)-'BRAWLERS OFICIAL'!M13)/($BN13/5)</f>
        <v>0</v>
      </c>
      <c r="N13" s="79">
        <f>((0 + 'BRAWLERS OFICIAL'!N13)-'BRAWLERS OFICIAL'!N13)/($BN13/5)</f>
        <v>0</v>
      </c>
      <c r="O13" s="79">
        <f>((0 + 'BRAWLERS OFICIAL'!O13)-'BRAWLERS OFICIAL'!O13)/($BN13/5)</f>
        <v>0</v>
      </c>
      <c r="P13" s="79">
        <f>((0 + 'BRAWLERS OFICIAL'!P13)-'BRAWLERS OFICIAL'!P13)/($BN13/5)</f>
        <v>0</v>
      </c>
      <c r="Q13" s="79">
        <f>((0 + 'BRAWLERS OFICIAL'!Q13)-'BRAWLERS OFICIAL'!Q13)/($BN13/5)</f>
        <v>0</v>
      </c>
      <c r="R13" s="79">
        <f>((0 + 'BRAWLERS OFICIAL'!R13)-'BRAWLERS OFICIAL'!R13)/($BN13/5)</f>
        <v>0</v>
      </c>
      <c r="S13" s="79">
        <f>((0 + 'BRAWLERS OFICIAL'!S13)-'BRAWLERS OFICIAL'!S13)/($BN13/5)</f>
        <v>0</v>
      </c>
      <c r="T13" s="79">
        <f>((0 + 'BRAWLERS OFICIAL'!T13)-'BRAWLERS OFICIAL'!T13)/($BN13/5)</f>
        <v>0</v>
      </c>
      <c r="U13" s="79">
        <f>(0 + 'BRAWLERS OFICIAL'!U13)-'BRAWLERS OFICIAL'!U13</f>
        <v>0</v>
      </c>
      <c r="V13" s="121">
        <f>(( 0 + 'BRAWLERS OFICIAL'!V13 + AN13 + AV13/3.5 )-'BRAWLERS OFICIAL'!V13)/($BN13/5)</f>
        <v>0</v>
      </c>
      <c r="W13" s="80">
        <f>((0 + 'BRAWLERS OFICIAL'!W13)-'BRAWLERS OFICIAL'!W13)/($BN13/5)</f>
        <v>0</v>
      </c>
      <c r="X13" s="80">
        <f>(((0)/3 + 'BRAWLERS OFICIAL'!X13)-'BRAWLERS OFICIAL'!X13)</f>
        <v>0</v>
      </c>
      <c r="Y13" s="80">
        <f>((0 + 'BRAWLERS OFICIAL'!Y13)-'BRAWLERS OFICIAL'!Y13)/($BN13/5)</f>
        <v>0</v>
      </c>
      <c r="Z13" s="80">
        <f>((0 + 'BRAWLERS OFICIAL'!Z13)-'BRAWLERS OFICIAL'!Z13)/($BN13/5)</f>
        <v>0</v>
      </c>
      <c r="AA13" s="80">
        <f>(((0)/4 + 'BRAWLERS OFICIAL'!AA13)-'BRAWLERS OFICIAL'!AA13)/($BN13/5)</f>
        <v>0</v>
      </c>
      <c r="AB13" s="80">
        <f>((0 + 'BRAWLERS OFICIAL'!AB13)-'BRAWLERS OFICIAL'!AB13)/($BN13/5)</f>
        <v>0</v>
      </c>
      <c r="AC13" s="80">
        <f>((0 + 'BRAWLERS OFICIAL'!AC13)-'BRAWLERS OFICIAL'!AC13)/($BN13/5)</f>
        <v>0</v>
      </c>
      <c r="AD13" s="80">
        <f>((0 + 'BRAWLERS OFICIAL'!AD13)-'BRAWLERS OFICIAL'!AD13)/($BN13/5)</f>
        <v>0</v>
      </c>
      <c r="AE13" s="80">
        <f>((0 + 'BRAWLERS OFICIAL'!AE13)-'BRAWLERS OFICIAL'!AE13)</f>
        <v>0</v>
      </c>
      <c r="AF13" s="80">
        <f>((0 + 'BRAWLERS OFICIAL'!AF13)-'BRAWLERS OFICIAL'!AF13)</f>
        <v>0</v>
      </c>
      <c r="AG13" s="80">
        <f>((0 + 'BRAWLERS OFICIAL'!AG13)-'BRAWLERS OFICIAL'!AG13)</f>
        <v>0</v>
      </c>
      <c r="AH13" s="80">
        <f>((0 + 'BRAWLERS OFICIAL'!AH13)-'BRAWLERS OFICIAL'!AH13)/($BN13/5)</f>
        <v>0</v>
      </c>
      <c r="AI13" s="80">
        <f>((0 + 'BRAWLERS OFICIAL'!AI13)-'BRAWLERS OFICIAL'!AI13)/($BN13/5)</f>
        <v>0</v>
      </c>
      <c r="AJ13" s="80">
        <f>(((BH13/5+1)*AI13 + 'BRAWLERS OFICIAL'!AJ13)-'BRAWLERS OFICIAL'!AJ13)/($BN13/5)</f>
        <v>0</v>
      </c>
      <c r="AK13" s="80">
        <f>IF( 0 = (1-1), (1-1), ((0 + 'BRAWLERS OFICIAL'!AK13)/1.5)-'BRAWLERS OFICIAL'!AK13 )</f>
        <v>0</v>
      </c>
      <c r="AL13" s="80">
        <f t="shared" si="0"/>
        <v>0</v>
      </c>
      <c r="AM13" s="80">
        <f>((0 + 'BRAWLERS OFICIAL'!AM13)-'BRAWLERS OFICIAL'!AM13)/($BN13/5)</f>
        <v>0</v>
      </c>
      <c r="AN13" s="80">
        <f>((0/1000 + 'BRAWLERS OFICIAL'!AN13)-'BRAWLERS OFICIAL'!AN13)</f>
        <v>0</v>
      </c>
      <c r="AO13" s="80">
        <f>((0 + 'BRAWLERS OFICIAL'!AO13)-'BRAWLERS OFICIAL'!AO13)</f>
        <v>0</v>
      </c>
      <c r="AP13" s="80">
        <f>IF( 0 = (1-1), (1-1), ((0 + 'BRAWLERS OFICIAL'!AP13)/1.5) )</f>
        <v>0</v>
      </c>
      <c r="AQ13" s="80">
        <f>IF( 0 = (1-1), (1-1), ((0 + 'BRAWLERS OFICIAL'!AQ13)/1.5) )</f>
        <v>0</v>
      </c>
      <c r="AR13" s="80">
        <f>IF( 0 = (1-1), (1-1), ((0 + 'BRAWLERS OFICIAL'!AR13)/2) )</f>
        <v>0</v>
      </c>
      <c r="AS13" s="80">
        <f>((0 + 'BRAWLERS OFICIAL'!AS13)-'BRAWLERS OFICIAL'!AS13)/($BN13/5)</f>
        <v>0</v>
      </c>
      <c r="AT13" s="80">
        <f>(((0)/4 + 'BRAWLERS OFICIAL'!AT13)-'BRAWLERS OFICIAL'!AT13)</f>
        <v>0</v>
      </c>
      <c r="AU13" s="80">
        <v>0</v>
      </c>
      <c r="AV13" s="79">
        <f>((( 0 )/3 + 'BRAWLERS OFICIAL'!AV13)-'BRAWLERS OFICIAL'!AV13)</f>
        <v>0</v>
      </c>
      <c r="AW13" s="79">
        <f>((( 0 )/2 + 'BRAWLERS OFICIAL'!AW13)-'BRAWLERS OFICIAL'!AW13)/($BN13/5)</f>
        <v>0</v>
      </c>
      <c r="AX13" s="79">
        <f>((( 0 )/2 + 'BRAWLERS OFICIAL'!AX13)-'BRAWLERS OFICIAL'!AX13)</f>
        <v>0</v>
      </c>
      <c r="AY13" s="79">
        <f>((( 0 )/3 + 'BRAWLERS OFICIAL'!AY13)-'BRAWLERS OFICIAL'!AY13)</f>
        <v>0</v>
      </c>
      <c r="AZ13" s="79">
        <f>((( 0 )/2 + 'BRAWLERS OFICIAL'!AZ13)-'BRAWLERS OFICIAL'!AZ13)/($BN13/5)</f>
        <v>0</v>
      </c>
      <c r="BA13" s="79">
        <f>((( 0 )/3 + 'BRAWLERS OFICIAL'!BA13)-'BRAWLERS OFICIAL'!BA13)</f>
        <v>0</v>
      </c>
      <c r="BB13" s="79">
        <f>((( 0 )/3 + 'BRAWLERS OFICIAL'!BB13)-'BRAWLERS OFICIAL'!BB13)</f>
        <v>0</v>
      </c>
      <c r="BC13" s="79">
        <f>((0 + 'BRAWLERS OFICIAL'!BC13)-'BRAWLERS OFICIAL'!BC13)/($BN13/5)</f>
        <v>0</v>
      </c>
      <c r="BD13" s="79">
        <f>((0 + 'BRAWLERS OFICIAL'!BD13)-'BRAWLERS OFICIAL'!BD13)/($BN13/5)</f>
        <v>0</v>
      </c>
      <c r="BE13" s="79">
        <f>((( 0 )/2 + 'BRAWLERS OFICIAL'!BE13)-'BRAWLERS OFICIAL'!BE13)</f>
        <v>0</v>
      </c>
      <c r="BF13" s="79">
        <f>((4 + 'BRAWLERS OFICIAL'!BF13)-'BRAWLERS OFICIAL'!BF13)/($BN13/5)</f>
        <v>1.1111111111111112</v>
      </c>
      <c r="BG13" s="79">
        <f>((( 0 )/2 + 'BRAWLERS OFICIAL'!BG13)-'BRAWLERS OFICIAL'!BG13)</f>
        <v>0</v>
      </c>
      <c r="BH13" s="79">
        <f>((( 0 )/3 + 'BRAWLERS OFICIAL'!BH13)-'BRAWLERS OFICIAL'!BH13)</f>
        <v>0</v>
      </c>
      <c r="BI13" s="79">
        <f>((( 0 )/2 + 'BRAWLERS OFICIAL'!BI13)-'BRAWLERS OFICIAL'!BI13)</f>
        <v>0</v>
      </c>
      <c r="BJ13" s="79">
        <f>((3 + 'BRAWLERS OFICIAL'!BJ13)-'BRAWLERS OFICIAL'!BJ13)/($BN13/5)</f>
        <v>0.83333333333333326</v>
      </c>
      <c r="BK13" s="79">
        <f>((0 + 'BRAWLERS OFICIAL'!BK13)-'BRAWLERS OFICIAL'!BK13)/($BN13/5)</f>
        <v>0</v>
      </c>
      <c r="BL13" s="79">
        <f>((0 + 'BRAWLERS OFICIAL'!BL13)-'BRAWLERS OFICIAL'!BL13)/($BN13/5)</f>
        <v>0</v>
      </c>
      <c r="BN13" s="79">
        <v>18</v>
      </c>
    </row>
    <row r="14" spans="1:66">
      <c r="B14" s="77" t="s">
        <v>427</v>
      </c>
      <c r="C14" s="81" t="s">
        <v>53</v>
      </c>
      <c r="D14" s="79">
        <f>((0 + 'BRAWLERS OFICIAL'!D14)-'BRAWLERS OFICIAL'!D14)/($BN14/5)</f>
        <v>0</v>
      </c>
      <c r="E14" s="79">
        <f>((0 + 'BRAWLERS OFICIAL'!E14)-'BRAWLERS OFICIAL'!E14)/($BN14/5)</f>
        <v>0</v>
      </c>
      <c r="F14" s="79">
        <f>((0 + 'BRAWLERS OFICIAL'!F14)-'BRAWLERS OFICIAL'!F14)/($BN14/5)</f>
        <v>0</v>
      </c>
      <c r="G14" s="79">
        <f>((0 + 'BRAWLERS OFICIAL'!G14)-'BRAWLERS OFICIAL'!G14)/($BN14/5)</f>
        <v>0</v>
      </c>
      <c r="H14" s="79">
        <f>((0 + 'BRAWLERS OFICIAL'!H14)-'BRAWLERS OFICIAL'!H14)/($BN14/5)</f>
        <v>0</v>
      </c>
      <c r="I14" s="79">
        <f>((0 + 'BRAWLERS OFICIAL'!I14)-'BRAWLERS OFICIAL'!I14)/($BN14/5)</f>
        <v>0</v>
      </c>
      <c r="J14" s="79">
        <f>((0 + 'BRAWLERS OFICIAL'!J14)-'BRAWLERS OFICIAL'!J14)/($BN14/5)</f>
        <v>0</v>
      </c>
      <c r="K14" s="79">
        <f>((0 + 'BRAWLERS OFICIAL'!K14)-'BRAWLERS OFICIAL'!K14)/($BN14/5)</f>
        <v>0</v>
      </c>
      <c r="L14" s="79">
        <f>((0 + 'BRAWLERS OFICIAL'!L14)-'BRAWLERS OFICIAL'!L14)/($BN14/5)</f>
        <v>0</v>
      </c>
      <c r="M14" s="79">
        <f>((0 + 'BRAWLERS OFICIAL'!M14)-'BRAWLERS OFICIAL'!M14)/($BN14/5)</f>
        <v>0</v>
      </c>
      <c r="N14" s="79">
        <f>((0 + 'BRAWLERS OFICIAL'!N14)-'BRAWLERS OFICIAL'!N14)/($BN14/5)</f>
        <v>0</v>
      </c>
      <c r="O14" s="79">
        <f>((0 + 'BRAWLERS OFICIAL'!O14)-'BRAWLERS OFICIAL'!O14)/($BN14/5)</f>
        <v>0</v>
      </c>
      <c r="P14" s="79">
        <f>((0 + 'BRAWLERS OFICIAL'!P14)-'BRAWLERS OFICIAL'!P14)/($BN14/5)</f>
        <v>0</v>
      </c>
      <c r="Q14" s="79">
        <f>((0 + 'BRAWLERS OFICIAL'!Q14)-'BRAWLERS OFICIAL'!Q14)/($BN14/5)</f>
        <v>0</v>
      </c>
      <c r="R14" s="79">
        <f>((0 + 'BRAWLERS OFICIAL'!R14)-'BRAWLERS OFICIAL'!R14)/($BN14/5)</f>
        <v>0</v>
      </c>
      <c r="S14" s="79">
        <f>((0 + 'BRAWLERS OFICIAL'!S14)-'BRAWLERS OFICIAL'!S14)/($BN14/5)</f>
        <v>0</v>
      </c>
      <c r="T14" s="79">
        <f>((0 + 'BRAWLERS OFICIAL'!T14)-'BRAWLERS OFICIAL'!T14)/($BN14/5)</f>
        <v>0</v>
      </c>
      <c r="U14" s="79">
        <f>(0 + 'BRAWLERS OFICIAL'!U14)-'BRAWLERS OFICIAL'!U14</f>
        <v>0</v>
      </c>
      <c r="V14" s="121">
        <f>(( 0 + 'BRAWLERS OFICIAL'!V14 + AN14 + AV14/3.5 )-'BRAWLERS OFICIAL'!V14)/($BN14/5)</f>
        <v>0</v>
      </c>
      <c r="W14" s="80">
        <f>((0 + 'BRAWLERS OFICIAL'!W14)-'BRAWLERS OFICIAL'!W14)/($BN14/5)</f>
        <v>0</v>
      </c>
      <c r="X14" s="80">
        <f>(((0)/3 + 'BRAWLERS OFICIAL'!X14)-'BRAWLERS OFICIAL'!X14)</f>
        <v>0</v>
      </c>
      <c r="Y14" s="80">
        <f>((0 + 'BRAWLERS OFICIAL'!Y14)-'BRAWLERS OFICIAL'!Y14)/($BN14/5)</f>
        <v>0</v>
      </c>
      <c r="Z14" s="80">
        <f>((0 + 'BRAWLERS OFICIAL'!Z14)-'BRAWLERS OFICIAL'!Z14)/($BN14/5)</f>
        <v>0</v>
      </c>
      <c r="AA14" s="80">
        <f>(((0)/4 + 'BRAWLERS OFICIAL'!AA14)-'BRAWLERS OFICIAL'!AA14)/($BN14/5)</f>
        <v>0</v>
      </c>
      <c r="AB14" s="80">
        <f>((0 + 'BRAWLERS OFICIAL'!AB14)-'BRAWLERS OFICIAL'!AB14)/($BN14/5)</f>
        <v>0</v>
      </c>
      <c r="AC14" s="80">
        <f>((0 + 'BRAWLERS OFICIAL'!AC14)-'BRAWLERS OFICIAL'!AC14)/($BN14/5)</f>
        <v>0</v>
      </c>
      <c r="AD14" s="80">
        <f>((0 + 'BRAWLERS OFICIAL'!AD14)-'BRAWLERS OFICIAL'!AD14)/($BN14/5)</f>
        <v>0</v>
      </c>
      <c r="AE14" s="80">
        <f>((0 + 'BRAWLERS OFICIAL'!AE14)-'BRAWLERS OFICIAL'!AE14)</f>
        <v>0</v>
      </c>
      <c r="AF14" s="80">
        <f>((0 + 'BRAWLERS OFICIAL'!AF14)-'BRAWLERS OFICIAL'!AF14)</f>
        <v>0</v>
      </c>
      <c r="AG14" s="80">
        <f>((2 + 'BRAWLERS OFICIAL'!AG14)-'BRAWLERS OFICIAL'!AG14)</f>
        <v>2</v>
      </c>
      <c r="AH14" s="80">
        <f>((0 + 'BRAWLERS OFICIAL'!AH14)-'BRAWLERS OFICIAL'!AH14)/($BN14/5)</f>
        <v>0</v>
      </c>
      <c r="AI14" s="80">
        <f>((0 + 'BRAWLERS OFICIAL'!AI14)-'BRAWLERS OFICIAL'!AI14)/($BN14/5)</f>
        <v>0</v>
      </c>
      <c r="AJ14" s="80">
        <f>(((BH14/5+1)*AI14 + 'BRAWLERS OFICIAL'!AJ14)-'BRAWLERS OFICIAL'!AJ14)/($BN14/5)</f>
        <v>0</v>
      </c>
      <c r="AK14" s="80">
        <f>IF( 0 = (1-1), (1-1), ((0 + 'BRAWLERS OFICIAL'!AK14)/1.5)-'BRAWLERS OFICIAL'!AK14 )</f>
        <v>0</v>
      </c>
      <c r="AL14" s="80">
        <f t="shared" si="0"/>
        <v>0</v>
      </c>
      <c r="AM14" s="80">
        <f>((0 + 'BRAWLERS OFICIAL'!AM14)-'BRAWLERS OFICIAL'!AM14)/($BN14/5)</f>
        <v>0</v>
      </c>
      <c r="AN14" s="80">
        <f>((0/1000 + 'BRAWLERS OFICIAL'!AN14)-'BRAWLERS OFICIAL'!AN14)</f>
        <v>0</v>
      </c>
      <c r="AO14" s="80">
        <f>((0 + 'BRAWLERS OFICIAL'!AO14)-'BRAWLERS OFICIAL'!AO14)</f>
        <v>0</v>
      </c>
      <c r="AP14" s="80">
        <f>IF( 0 = (1-1), (1-1), ((0 + 'BRAWLERS OFICIAL'!AP14)/1.5) )</f>
        <v>0</v>
      </c>
      <c r="AQ14" s="80">
        <f>IF( 0 = (1-1), (1-1), ((0 + 'BRAWLERS OFICIAL'!AQ14)/1.5) )</f>
        <v>0</v>
      </c>
      <c r="AR14" s="80">
        <f>IF( 0 = (1-1), (1-1), ((0 + 'BRAWLERS OFICIAL'!AR14)/2) )</f>
        <v>0</v>
      </c>
      <c r="AS14" s="80">
        <f>((0 + 'BRAWLERS OFICIAL'!AS14)-'BRAWLERS OFICIAL'!AS14)/($BN14/5)</f>
        <v>0</v>
      </c>
      <c r="AT14" s="80">
        <f>(((0)/4 + 'BRAWLERS OFICIAL'!AT14)-'BRAWLERS OFICIAL'!AT14)</f>
        <v>0</v>
      </c>
      <c r="AU14" s="80">
        <v>2.5</v>
      </c>
      <c r="AV14" s="79">
        <f>((( 0 )/3 + 'BRAWLERS OFICIAL'!AV14)-'BRAWLERS OFICIAL'!AV14)</f>
        <v>0</v>
      </c>
      <c r="AW14" s="79">
        <f>((( 0 )/2 + 'BRAWLERS OFICIAL'!AW14)-'BRAWLERS OFICIAL'!AW14)/($BN14/5)</f>
        <v>0</v>
      </c>
      <c r="AX14" s="79">
        <f>((( 0 )/2 + 'BRAWLERS OFICIAL'!AX14)-'BRAWLERS OFICIAL'!AX14)</f>
        <v>0</v>
      </c>
      <c r="AY14" s="79">
        <f>((( 0 )/3 + 'BRAWLERS OFICIAL'!AY14)-'BRAWLERS OFICIAL'!AY14)</f>
        <v>0</v>
      </c>
      <c r="AZ14" s="79">
        <f>((( 0 )/2 + 'BRAWLERS OFICIAL'!AZ14)-'BRAWLERS OFICIAL'!AZ14)/($BN14/5)</f>
        <v>0</v>
      </c>
      <c r="BA14" s="79">
        <f>((( 0 )/3 + 'BRAWLERS OFICIAL'!BA14)-'BRAWLERS OFICIAL'!BA14)</f>
        <v>0</v>
      </c>
      <c r="BB14" s="79">
        <f>((( 0 )/3 + 'BRAWLERS OFICIAL'!BB14)-'BRAWLERS OFICIAL'!BB14)</f>
        <v>0</v>
      </c>
      <c r="BC14" s="79">
        <f>((0 + 'BRAWLERS OFICIAL'!BC14)-'BRAWLERS OFICIAL'!BC14)/($BN14/5)</f>
        <v>0</v>
      </c>
      <c r="BD14" s="79">
        <f>((0 + 'BRAWLERS OFICIAL'!BD14)-'BRAWLERS OFICIAL'!BD14)/($BN14/5)</f>
        <v>0</v>
      </c>
      <c r="BE14" s="79">
        <f>((( 0 )/2 + 'BRAWLERS OFICIAL'!BE14)-'BRAWLERS OFICIAL'!BE14)</f>
        <v>0</v>
      </c>
      <c r="BF14" s="79">
        <f>((0 + 'BRAWLERS OFICIAL'!BF14)-'BRAWLERS OFICIAL'!BF14)/($BN14/5)</f>
        <v>0</v>
      </c>
      <c r="BG14" s="79">
        <f>((( 0 )/2 + 'BRAWLERS OFICIAL'!BG14)-'BRAWLERS OFICIAL'!BG14)</f>
        <v>0</v>
      </c>
      <c r="BH14" s="79">
        <f>((( 0 )/3 + 'BRAWLERS OFICIAL'!BH14)-'BRAWLERS OFICIAL'!BH14)</f>
        <v>0</v>
      </c>
      <c r="BI14" s="79">
        <f>((( 0 )/2 + 'BRAWLERS OFICIAL'!BI14)-'BRAWLERS OFICIAL'!BI14)</f>
        <v>0</v>
      </c>
      <c r="BJ14" s="79">
        <f>((0 + 'BRAWLERS OFICIAL'!BJ14)-'BRAWLERS OFICIAL'!BJ14)/($BN14/5)</f>
        <v>0</v>
      </c>
      <c r="BK14" s="79">
        <f>((0 + 'BRAWLERS OFICIAL'!BK14)-'BRAWLERS OFICIAL'!BK14)/($BN14/5)</f>
        <v>0</v>
      </c>
      <c r="BL14" s="79">
        <f>((0 + 'BRAWLERS OFICIAL'!BL14)-'BRAWLERS OFICIAL'!BL14)/($BN14/5)</f>
        <v>0</v>
      </c>
      <c r="BN14" s="79">
        <v>11</v>
      </c>
    </row>
    <row r="15" spans="1:66">
      <c r="B15" s="77" t="s">
        <v>428</v>
      </c>
      <c r="C15" s="81" t="s">
        <v>84</v>
      </c>
      <c r="D15" s="79">
        <f>((0 + 'BRAWLERS OFICIAL'!D15)-'BRAWLERS OFICIAL'!D15)/($BN15/5)</f>
        <v>0</v>
      </c>
      <c r="E15" s="79">
        <f>((0 + 'BRAWLERS OFICIAL'!E15)-'BRAWLERS OFICIAL'!E15)/($BN15/5)</f>
        <v>0</v>
      </c>
      <c r="F15" s="79">
        <f>((0 + 'BRAWLERS OFICIAL'!F15)-'BRAWLERS OFICIAL'!F15)/($BN15/5)</f>
        <v>0</v>
      </c>
      <c r="G15" s="79">
        <f>((0 + 'BRAWLERS OFICIAL'!G15)-'BRAWLERS OFICIAL'!G15)/($BN15/5)</f>
        <v>0</v>
      </c>
      <c r="H15" s="79">
        <f>((0 + 'BRAWLERS OFICIAL'!H15)-'BRAWLERS OFICIAL'!H15)/($BN15/5)</f>
        <v>0</v>
      </c>
      <c r="I15" s="79">
        <f>((0 + 'BRAWLERS OFICIAL'!I15)-'BRAWLERS OFICIAL'!I15)/($BN15/5)</f>
        <v>0</v>
      </c>
      <c r="J15" s="79">
        <f>((0 + 'BRAWLERS OFICIAL'!J15)-'BRAWLERS OFICIAL'!J15)/($BN15/5)</f>
        <v>0</v>
      </c>
      <c r="K15" s="79">
        <f>((0 + 'BRAWLERS OFICIAL'!K15)-'BRAWLERS OFICIAL'!K15)/($BN15/5)</f>
        <v>0</v>
      </c>
      <c r="L15" s="79">
        <f>((0 + 'BRAWLERS OFICIAL'!L15)-'BRAWLERS OFICIAL'!L15)/($BN15/5)</f>
        <v>0</v>
      </c>
      <c r="M15" s="79">
        <f>((0 + 'BRAWLERS OFICIAL'!M15)-'BRAWLERS OFICIAL'!M15)/($BN15/5)</f>
        <v>0</v>
      </c>
      <c r="N15" s="79">
        <f>((0 + 'BRAWLERS OFICIAL'!N15)-'BRAWLERS OFICIAL'!N15)/($BN15/5)</f>
        <v>0</v>
      </c>
      <c r="O15" s="79">
        <f>((1.5*'BRAWLERS OFICIAL'!O15)-'BRAWLERS OFICIAL'!O15)/($BN15/5)</f>
        <v>200</v>
      </c>
      <c r="P15" s="79">
        <f>((1.5*'BRAWLERS OFICIAL'!P15)-'BRAWLERS OFICIAL'!P15)/($BN15/5)</f>
        <v>200</v>
      </c>
      <c r="Q15" s="79">
        <f>((1.5*'BRAWLERS OFICIAL'!Q15)-'BRAWLERS OFICIAL'!Q15)/($BN15/5)</f>
        <v>400</v>
      </c>
      <c r="R15" s="79">
        <f>((1.5*'BRAWLERS OFICIAL'!R15)-'BRAWLERS OFICIAL'!R15)/($BN15/5)</f>
        <v>400</v>
      </c>
      <c r="S15" s="79">
        <f>((1.5*'BRAWLERS OFICIAL'!S15)-'BRAWLERS OFICIAL'!S15)/($BN15/5)</f>
        <v>1200</v>
      </c>
      <c r="T15" s="79">
        <f>((0 + 'BRAWLERS OFICIAL'!T15)-'BRAWLERS OFICIAL'!T15)/($BN15/5)</f>
        <v>0</v>
      </c>
      <c r="U15" s="79">
        <f>(0 + 'BRAWLERS OFICIAL'!U15)-'BRAWLERS OFICIAL'!U15</f>
        <v>0</v>
      </c>
      <c r="V15" s="121">
        <f>(( 0 + 'BRAWLERS OFICIAL'!V15 + AN15 + AV15/3.5 )-'BRAWLERS OFICIAL'!V15)/($BN15/5)</f>
        <v>0</v>
      </c>
      <c r="W15" s="80">
        <f>((0 + 'BRAWLERS OFICIAL'!W15)-'BRAWLERS OFICIAL'!W15)/($BN15/5)</f>
        <v>0</v>
      </c>
      <c r="X15" s="80">
        <f>(((0)/3 + 'BRAWLERS OFICIAL'!X15)-'BRAWLERS OFICIAL'!X15)</f>
        <v>0</v>
      </c>
      <c r="Y15" s="80">
        <f>((0 + 'BRAWLERS OFICIAL'!Y15)-'BRAWLERS OFICIAL'!Y15)/($BN15/5)</f>
        <v>0</v>
      </c>
      <c r="Z15" s="80">
        <f>((0 + 'BRAWLERS OFICIAL'!Z15)-'BRAWLERS OFICIAL'!Z15)/($BN15/5)</f>
        <v>0</v>
      </c>
      <c r="AA15" s="80">
        <f>(((0)/4 + 'BRAWLERS OFICIAL'!AA15)-'BRAWLERS OFICIAL'!AA15)/($BN15/5)</f>
        <v>0</v>
      </c>
      <c r="AB15" s="80">
        <f>((0 + 'BRAWLERS OFICIAL'!AB15)-'BRAWLERS OFICIAL'!AB15)/($BN15/5)</f>
        <v>0</v>
      </c>
      <c r="AC15" s="80">
        <f>((0 + 'BRAWLERS OFICIAL'!AC15)-'BRAWLERS OFICIAL'!AC15)/($BN15/5)</f>
        <v>0</v>
      </c>
      <c r="AD15" s="80">
        <f>((0 + 'BRAWLERS OFICIAL'!AD15)-'BRAWLERS OFICIAL'!AD15)/($BN15/5)</f>
        <v>0</v>
      </c>
      <c r="AE15" s="80">
        <f>((0 + 'BRAWLERS OFICIAL'!AE15)-'BRAWLERS OFICIAL'!AE15)</f>
        <v>0</v>
      </c>
      <c r="AF15" s="80">
        <f>((0 + 'BRAWLERS OFICIAL'!AF15)-'BRAWLERS OFICIAL'!AF15)</f>
        <v>0</v>
      </c>
      <c r="AG15" s="80">
        <f>((0 + 'BRAWLERS OFICIAL'!AG15)-'BRAWLERS OFICIAL'!AG15)</f>
        <v>0</v>
      </c>
      <c r="AH15" s="80">
        <f>((0 + 'BRAWLERS OFICIAL'!AH15)-'BRAWLERS OFICIAL'!AH15)/($BN15/5)</f>
        <v>0</v>
      </c>
      <c r="AI15" s="80">
        <f>((0 + 'BRAWLERS OFICIAL'!AI15)-'BRAWLERS OFICIAL'!AI15)/($BN15/5)</f>
        <v>0</v>
      </c>
      <c r="AJ15" s="80">
        <f>(((BH15/5+1)*AI15 + 'BRAWLERS OFICIAL'!AJ15)-'BRAWLERS OFICIAL'!AJ15)/($BN15/5)</f>
        <v>0</v>
      </c>
      <c r="AK15" s="80">
        <f>IF( 0 = (1-1), (1-1), ((0 + 'BRAWLERS OFICIAL'!AK15)/1.5)-'BRAWLERS OFICIAL'!AK15 )</f>
        <v>0</v>
      </c>
      <c r="AL15" s="80">
        <f t="shared" si="0"/>
        <v>0</v>
      </c>
      <c r="AM15" s="80">
        <f>((0 + 'BRAWLERS OFICIAL'!AM15)-'BRAWLERS OFICIAL'!AM15)/($BN15/5)</f>
        <v>0</v>
      </c>
      <c r="AN15" s="80">
        <f>((0/1000 + 'BRAWLERS OFICIAL'!AN15)-'BRAWLERS OFICIAL'!AN15)</f>
        <v>0</v>
      </c>
      <c r="AO15" s="80">
        <f>((2 + 'BRAWLERS OFICIAL'!AO15)-'BRAWLERS OFICIAL'!AO15)</f>
        <v>2</v>
      </c>
      <c r="AP15" s="80">
        <f>IF( 0 = (1-1), (1-1), ((0 + 'BRAWLERS OFICIAL'!AP15)/1.5) )</f>
        <v>0</v>
      </c>
      <c r="AQ15" s="80">
        <f>IF( 0 = (1-1), (1-1), ((0 + 'BRAWLERS OFICIAL'!AQ15)/1.5) )</f>
        <v>0</v>
      </c>
      <c r="AR15" s="80">
        <f>IF( 0 = (1-1), (1-1), ((0 + 'BRAWLERS OFICIAL'!AR15)/2) )</f>
        <v>0</v>
      </c>
      <c r="AS15" s="80">
        <f>((0 + 'BRAWLERS OFICIAL'!AS15)-'BRAWLERS OFICIAL'!AS15)/($BN15/5)</f>
        <v>0</v>
      </c>
      <c r="AT15" s="80">
        <f>(((0)/4 + 'BRAWLERS OFICIAL'!AT15)-'BRAWLERS OFICIAL'!AT15)</f>
        <v>0</v>
      </c>
      <c r="AU15" s="80">
        <v>0</v>
      </c>
      <c r="AV15" s="79">
        <f>((( 0 )/3 + 'BRAWLERS OFICIAL'!AV15)-'BRAWLERS OFICIAL'!AV15)</f>
        <v>0</v>
      </c>
      <c r="AW15" s="79">
        <f>((( 0 )/2 + 'BRAWLERS OFICIAL'!AW15)-'BRAWLERS OFICIAL'!AW15)/($BN15/5)</f>
        <v>0</v>
      </c>
      <c r="AX15" s="79">
        <f>((( 0 )/2 + 'BRAWLERS OFICIAL'!AX15)-'BRAWLERS OFICIAL'!AX15)</f>
        <v>0</v>
      </c>
      <c r="AY15" s="79">
        <f>((( 0 )/3 + 'BRAWLERS OFICIAL'!AY15)-'BRAWLERS OFICIAL'!AY15)</f>
        <v>0</v>
      </c>
      <c r="AZ15" s="79">
        <f>((( 0 )/2 + 'BRAWLERS OFICIAL'!AZ15)-'BRAWLERS OFICIAL'!AZ15)/($BN15/5)</f>
        <v>0</v>
      </c>
      <c r="BA15" s="79">
        <f>((( 0 )/3 + 'BRAWLERS OFICIAL'!BA15)-'BRAWLERS OFICIAL'!BA15)</f>
        <v>0</v>
      </c>
      <c r="BB15" s="79">
        <f>((( 0 )/3 + 'BRAWLERS OFICIAL'!BB15)-'BRAWLERS OFICIAL'!BB15)</f>
        <v>0</v>
      </c>
      <c r="BC15" s="79">
        <f>((0 + 'BRAWLERS OFICIAL'!BC15)-'BRAWLERS OFICIAL'!BC15)/($BN15/5)</f>
        <v>0</v>
      </c>
      <c r="BD15" s="79">
        <f>((0 + 'BRAWLERS OFICIAL'!BD15)-'BRAWLERS OFICIAL'!BD15)/($BN15/5)</f>
        <v>0</v>
      </c>
      <c r="BE15" s="79">
        <f>((( 0 )/2 + 'BRAWLERS OFICIAL'!BE15)-'BRAWLERS OFICIAL'!BE15)</f>
        <v>0</v>
      </c>
      <c r="BF15" s="79">
        <f>((0 + 'BRAWLERS OFICIAL'!BF15)-'BRAWLERS OFICIAL'!BF15)/($BN15/5)</f>
        <v>0</v>
      </c>
      <c r="BG15" s="79">
        <f>((( 0 )/2 + 'BRAWLERS OFICIAL'!BG15)-'BRAWLERS OFICIAL'!BG15)</f>
        <v>0</v>
      </c>
      <c r="BH15" s="79">
        <f>((( 0 )/3 + 'BRAWLERS OFICIAL'!BH15)-'BRAWLERS OFICIAL'!BH15)</f>
        <v>0</v>
      </c>
      <c r="BI15" s="79">
        <f>((( 0 )/2 + 'BRAWLERS OFICIAL'!BI15)-'BRAWLERS OFICIAL'!BI15)</f>
        <v>0</v>
      </c>
      <c r="BJ15" s="79">
        <f>((0 + 'BRAWLERS OFICIAL'!BJ15)-'BRAWLERS OFICIAL'!BJ15)/($BN15/5)</f>
        <v>0</v>
      </c>
      <c r="BK15" s="79">
        <f>((0 + 'BRAWLERS OFICIAL'!BK15)-'BRAWLERS OFICIAL'!BK15)/($BN15/5)</f>
        <v>0</v>
      </c>
      <c r="BL15" s="79">
        <f>((0 + 'BRAWLERS OFICIAL'!BL15)-'BRAWLERS OFICIAL'!BL15)/($BN15/5)</f>
        <v>0</v>
      </c>
      <c r="BN15" s="79">
        <v>15</v>
      </c>
    </row>
    <row r="16" spans="1:66">
      <c r="B16" s="77" t="s">
        <v>429</v>
      </c>
      <c r="C16" s="67" t="s">
        <v>77</v>
      </c>
      <c r="D16" s="79">
        <f>((0 + 'BRAWLERS OFICIAL'!D16)-'BRAWLERS OFICIAL'!D16)/($BN16/5)</f>
        <v>0</v>
      </c>
      <c r="E16" s="79">
        <f>((0 + 'BRAWLERS OFICIAL'!E16)-'BRAWLERS OFICIAL'!E16)/($BN16/5)</f>
        <v>0</v>
      </c>
      <c r="F16" s="79">
        <f>((0 + 'BRAWLERS OFICIAL'!F16)-'BRAWLERS OFICIAL'!F16)/($BN16/5)</f>
        <v>0</v>
      </c>
      <c r="G16" s="79">
        <f>((0 + 'BRAWLERS OFICIAL'!G16)-'BRAWLERS OFICIAL'!G16)/($BN16/5)</f>
        <v>0</v>
      </c>
      <c r="H16" s="79">
        <f>((0.75/2 + 'BRAWLERS OFICIAL'!H16)-'BRAWLERS OFICIAL'!H16)/($BN16/5)</f>
        <v>7.8125E-2</v>
      </c>
      <c r="I16" s="79">
        <f>((0.75/2 + 'BRAWLERS OFICIAL'!I16)-'BRAWLERS OFICIAL'!I16)/($BN16/5)</f>
        <v>7.8125E-2</v>
      </c>
      <c r="J16" s="79">
        <f>((0.75/2 + 'BRAWLERS OFICIAL'!J16)-'BRAWLERS OFICIAL'!J16)/($BN16/5)</f>
        <v>7.8125E-2</v>
      </c>
      <c r="K16" s="79">
        <f>((0 + 'BRAWLERS OFICIAL'!K16)-'BRAWLERS OFICIAL'!K16)/($BN16/5)</f>
        <v>0</v>
      </c>
      <c r="L16" s="79">
        <f>((0 + 'BRAWLERS OFICIAL'!L16)-'BRAWLERS OFICIAL'!L16)/($BN16/5)</f>
        <v>0</v>
      </c>
      <c r="M16" s="79">
        <f>((0 + 'BRAWLERS OFICIAL'!M16)-'BRAWLERS OFICIAL'!M16)/($BN16/5)</f>
        <v>0</v>
      </c>
      <c r="N16" s="79">
        <f>((0 + 'BRAWLERS OFICIAL'!N16)-'BRAWLERS OFICIAL'!N16)/($BN16/5)</f>
        <v>0</v>
      </c>
      <c r="O16" s="79">
        <f>((0 + 'BRAWLERS OFICIAL'!O16)-'BRAWLERS OFICIAL'!O16)/($BN16/5)</f>
        <v>0</v>
      </c>
      <c r="P16" s="79">
        <f>((0 + 'BRAWLERS OFICIAL'!P16)-'BRAWLERS OFICIAL'!P16)/($BN16/5)</f>
        <v>0</v>
      </c>
      <c r="Q16" s="79">
        <f>((0 + 'BRAWLERS OFICIAL'!Q16)-'BRAWLERS OFICIAL'!Q16)/($BN16/5)</f>
        <v>0</v>
      </c>
      <c r="R16" s="79">
        <f>((0 + 'BRAWLERS OFICIAL'!R16)-'BRAWLERS OFICIAL'!R16)/($BN16/5)</f>
        <v>0</v>
      </c>
      <c r="S16" s="79">
        <f>((0 + 'BRAWLERS OFICIAL'!S16)-'BRAWLERS OFICIAL'!S16)/($BN16/5)</f>
        <v>0</v>
      </c>
      <c r="T16" s="79">
        <f>((0 + 'BRAWLERS OFICIAL'!T16)-'BRAWLERS OFICIAL'!T16)/($BN16/5)</f>
        <v>0</v>
      </c>
      <c r="U16" s="79">
        <v>0</v>
      </c>
      <c r="V16" s="121">
        <f>(( 0 + 'BRAWLERS OFICIAL'!V16 + AN16 + (5 + 2 + 6)/3/3.5 )-'BRAWLERS OFICIAL'!V16)/($BN16/5)</f>
        <v>0.2579365079365078</v>
      </c>
      <c r="W16" s="80">
        <f>((0 + 'BRAWLERS OFICIAL'!W16)-'BRAWLERS OFICIAL'!W16)/($BN16/5)</f>
        <v>0</v>
      </c>
      <c r="X16" s="80">
        <f>(((9 + 3 + 10)/3)-'BRAWLERS OFICIAL'!X16)</f>
        <v>1.5</v>
      </c>
      <c r="Y16" s="80">
        <f>((0 + 'BRAWLERS OFICIAL'!Y16)-'BRAWLERS OFICIAL'!Y16)/($BN16/5)</f>
        <v>0</v>
      </c>
      <c r="Z16" s="80">
        <f>((1 + 'BRAWLERS OFICIAL'!Z16)-'BRAWLERS OFICIAL'!Z16)/($BN16/5)</f>
        <v>0.20833333333333334</v>
      </c>
      <c r="AA16" s="80">
        <f>(((0)/4 + 'BRAWLERS OFICIAL'!AA16)-'BRAWLERS OFICIAL'!AA16)/($BN16/5)</f>
        <v>0</v>
      </c>
      <c r="AB16" s="80">
        <f>((0 + 'BRAWLERS OFICIAL'!AB16)-'BRAWLERS OFICIAL'!AB16)/($BN16/5)</f>
        <v>0</v>
      </c>
      <c r="AC16" s="80">
        <f>((0 + 'BRAWLERS OFICIAL'!AC16)-'BRAWLERS OFICIAL'!AC16)/($BN16/5)</f>
        <v>0</v>
      </c>
      <c r="AD16" s="80">
        <f>((0 + 'BRAWLERS OFICIAL'!AD16)-'BRAWLERS OFICIAL'!AD16)/($BN16/5)</f>
        <v>0</v>
      </c>
      <c r="AE16" s="80">
        <f>((0 + 'BRAWLERS OFICIAL'!AE16)-'BRAWLERS OFICIAL'!AE16)</f>
        <v>0</v>
      </c>
      <c r="AF16" s="80">
        <f>((0 + 'BRAWLERS OFICIAL'!AF16)-'BRAWLERS OFICIAL'!AF16)</f>
        <v>0</v>
      </c>
      <c r="AG16" s="80">
        <f>((0 + 'BRAWLERS OFICIAL'!AG16)-'BRAWLERS OFICIAL'!AG16)</f>
        <v>0</v>
      </c>
      <c r="AH16" s="80">
        <f>((0 + 'BRAWLERS OFICIAL'!AH16)-'BRAWLERS OFICIAL'!AH16)/($BN16/5)</f>
        <v>0</v>
      </c>
      <c r="AI16" s="80">
        <f>((1 + 'BRAWLERS OFICIAL'!AI16)-'BRAWLERS OFICIAL'!AI16)/($BN16/5)</f>
        <v>0.20833333333333334</v>
      </c>
      <c r="AJ16" s="80">
        <f>(((BH16/5+1)*AI16 + 'BRAWLERS OFICIAL'!AJ16)-'BRAWLERS OFICIAL'!AJ16)/($BN16/5)</f>
        <v>4.3402777777777721E-2</v>
      </c>
      <c r="AK16" s="80">
        <f>IF( 0 = (1-1), (1-1), ((0 + 'BRAWLERS OFICIAL'!AK16)/1.5)-'BRAWLERS OFICIAL'!AK16 )</f>
        <v>0</v>
      </c>
      <c r="AL16" s="80">
        <f t="shared" si="0"/>
        <v>0</v>
      </c>
      <c r="AM16" s="80">
        <f>((0 + 'BRAWLERS OFICIAL'!AM16)-'BRAWLERS OFICIAL'!AM16)/($BN16/5)</f>
        <v>0</v>
      </c>
      <c r="AN16" s="80">
        <f>((0/1000 + 'BRAWLERS OFICIAL'!AN16)-'BRAWLERS OFICIAL'!AN16)</f>
        <v>0</v>
      </c>
      <c r="AO16" s="80">
        <f>((0 + 'BRAWLERS OFICIAL'!AO16)-'BRAWLERS OFICIAL'!AO16)</f>
        <v>0</v>
      </c>
      <c r="AP16" s="80">
        <f>IF( 0 = (1-1), (1-1), ((0 + 'BRAWLERS OFICIAL'!AP16)/1.5) )</f>
        <v>0</v>
      </c>
      <c r="AQ16" s="80">
        <f>IF( 0 = (1-1), (1-1), ((0 + 'BRAWLERS OFICIAL'!AQ16)/1.5) )</f>
        <v>0</v>
      </c>
      <c r="AR16" s="80">
        <f>IF( 0 = (1-1), (1-1), ((0 + 'BRAWLERS OFICIAL'!AR16)/2) )</f>
        <v>0</v>
      </c>
      <c r="AS16" s="80">
        <f>((0 + 'BRAWLERS OFICIAL'!AS16)-'BRAWLERS OFICIAL'!AS16)/($BN16/5)</f>
        <v>0</v>
      </c>
      <c r="AT16" s="80">
        <f>(((0)/4 + 'BRAWLERS OFICIAL'!AT16)-'BRAWLERS OFICIAL'!AT16)</f>
        <v>0</v>
      </c>
      <c r="AU16" s="80">
        <v>2.5</v>
      </c>
      <c r="AV16" s="79">
        <f>((( 0 )/3 + 'BRAWLERS OFICIAL'!AV16)-'BRAWLERS OFICIAL'!AV16)</f>
        <v>0</v>
      </c>
      <c r="AW16" s="79">
        <f>((( 0 )/2 + 'BRAWLERS OFICIAL'!AW16)-'BRAWLERS OFICIAL'!AW16)/($BN16/5)</f>
        <v>0</v>
      </c>
      <c r="AX16" s="79">
        <f>((( 0 )/2 + 'BRAWLERS OFICIAL'!AX16)-'BRAWLERS OFICIAL'!AX16)</f>
        <v>0</v>
      </c>
      <c r="AY16" s="79">
        <f>((( 0 )/3 + 'BRAWLERS OFICIAL'!AY16)-'BRAWLERS OFICIAL'!AY16)</f>
        <v>0</v>
      </c>
      <c r="AZ16" s="79">
        <f>((( 0 )/2 + 'BRAWLERS OFICIAL'!AZ16)-'BRAWLERS OFICIAL'!AZ16)/($BN16/5)</f>
        <v>0</v>
      </c>
      <c r="BA16" s="79">
        <f>((( 0 )/3 + 'BRAWLERS OFICIAL'!BA16)-'BRAWLERS OFICIAL'!BA16)</f>
        <v>0</v>
      </c>
      <c r="BB16" s="79">
        <f>((( 0 )/3 + 'BRAWLERS OFICIAL'!BB16)-'BRAWLERS OFICIAL'!BB16)</f>
        <v>0</v>
      </c>
      <c r="BC16" s="79">
        <f>((0 + 'BRAWLERS OFICIAL'!BC16)-'BRAWLERS OFICIAL'!BC16)/($BN16/5)</f>
        <v>0</v>
      </c>
      <c r="BD16" s="79">
        <f>((0 + 'BRAWLERS OFICIAL'!BD16)-'BRAWLERS OFICIAL'!BD16)/($BN16/5)</f>
        <v>0</v>
      </c>
      <c r="BE16" s="79">
        <f>((( 0 )/2 + 'BRAWLERS OFICIAL'!BE16)-'BRAWLERS OFICIAL'!BE16)</f>
        <v>0</v>
      </c>
      <c r="BF16" s="79">
        <f>((0 + 'BRAWLERS OFICIAL'!BF16)-'BRAWLERS OFICIAL'!BF16)/($BN16/5)</f>
        <v>0</v>
      </c>
      <c r="BG16" s="79">
        <f>((( 0 )/2 + 'BRAWLERS OFICIAL'!BG16)-'BRAWLERS OFICIAL'!BG16)</f>
        <v>0</v>
      </c>
      <c r="BH16" s="79">
        <f>((( 0 )/3 + 'BRAWLERS OFICIAL'!BH16)-'BRAWLERS OFICIAL'!BH16)</f>
        <v>0</v>
      </c>
      <c r="BI16" s="79">
        <f>((( 0 )/2 + 'BRAWLERS OFICIAL'!BI16)-'BRAWLERS OFICIAL'!BI16)</f>
        <v>0</v>
      </c>
      <c r="BJ16" s="79">
        <f>((0 + 'BRAWLERS OFICIAL'!BJ16)-'BRAWLERS OFICIAL'!BJ16)/($BN16/5)</f>
        <v>0</v>
      </c>
      <c r="BK16" s="79">
        <f>((0 + 'BRAWLERS OFICIAL'!BK16)-'BRAWLERS OFICIAL'!BK16)/($BN16/5)</f>
        <v>0</v>
      </c>
      <c r="BL16" s="79">
        <f>((0 + 'BRAWLERS OFICIAL'!BL16)-'BRAWLERS OFICIAL'!BL16)/($BN16/5)</f>
        <v>0</v>
      </c>
      <c r="BN16" s="79">
        <v>24</v>
      </c>
    </row>
    <row r="17" spans="2:66">
      <c r="B17" s="77" t="s">
        <v>215</v>
      </c>
      <c r="C17" s="81" t="s">
        <v>101</v>
      </c>
      <c r="D17" s="79">
        <f>((0 + 'BRAWLERS OFICIAL'!D17)-'BRAWLERS OFICIAL'!D17)/($BN17/5)</f>
        <v>0</v>
      </c>
      <c r="E17" s="79">
        <f>((0 + 'BRAWLERS OFICIAL'!E17)-'BRAWLERS OFICIAL'!E17)/($BN17/5)</f>
        <v>0</v>
      </c>
      <c r="F17" s="79">
        <f>((0 + 'BRAWLERS OFICIAL'!F17)-'BRAWLERS OFICIAL'!F17)/($BN17/5)</f>
        <v>0</v>
      </c>
      <c r="G17" s="79">
        <f>((0 + 'BRAWLERS OFICIAL'!G17)-'BRAWLERS OFICIAL'!G17)/($BN17/5)</f>
        <v>0</v>
      </c>
      <c r="H17" s="79">
        <f>((1 + 'BRAWLERS OFICIAL'!H17)-'BRAWLERS OFICIAL'!H17)/($BN17/5)</f>
        <v>0.33333333333333331</v>
      </c>
      <c r="I17" s="79">
        <f>((3 + 'BRAWLERS OFICIAL'!I17)-'BRAWLERS OFICIAL'!I17)/($BN17/5)</f>
        <v>1</v>
      </c>
      <c r="J17" s="79">
        <f>((0 + 'BRAWLERS OFICIAL'!J17)-'BRAWLERS OFICIAL'!J17)/($BN17/5)</f>
        <v>0</v>
      </c>
      <c r="K17" s="79">
        <f>((0 + 'BRAWLERS OFICIAL'!K17)-'BRAWLERS OFICIAL'!K17)/($BN17/5)</f>
        <v>0</v>
      </c>
      <c r="L17" s="79">
        <f>((0 + 'BRAWLERS OFICIAL'!L17)-'BRAWLERS OFICIAL'!L17)/($BN17/5)</f>
        <v>0</v>
      </c>
      <c r="M17" s="79">
        <f>((0 + 'BRAWLERS OFICIAL'!M17)-'BRAWLERS OFICIAL'!M17)/($BN17/5)</f>
        <v>0</v>
      </c>
      <c r="N17" s="79">
        <f>((0 + 'BRAWLERS OFICIAL'!N17)-'BRAWLERS OFICIAL'!N17)/($BN17/5)</f>
        <v>0</v>
      </c>
      <c r="O17" s="79">
        <f>((0 + 'BRAWLERS OFICIAL'!O17)-'BRAWLERS OFICIAL'!O17)/($BN17/5)</f>
        <v>0</v>
      </c>
      <c r="P17" s="79">
        <f>((0 + 'BRAWLERS OFICIAL'!P17)-'BRAWLERS OFICIAL'!P17)/($BN17/5)</f>
        <v>0</v>
      </c>
      <c r="Q17" s="79">
        <f>((0 + 'BRAWLERS OFICIAL'!Q17)-'BRAWLERS OFICIAL'!Q17)/($BN17/5)</f>
        <v>0</v>
      </c>
      <c r="R17" s="79">
        <f>((0 + 'BRAWLERS OFICIAL'!R17)-'BRAWLERS OFICIAL'!R17)/($BN17/5)</f>
        <v>0</v>
      </c>
      <c r="S17" s="79">
        <f>((0 + 'BRAWLERS OFICIAL'!S17)-'BRAWLERS OFICIAL'!S17)/($BN17/5)</f>
        <v>0</v>
      </c>
      <c r="T17" s="79">
        <f>((0 + 'BRAWLERS OFICIAL'!T17)-'BRAWLERS OFICIAL'!T17)/($BN17/5)</f>
        <v>0</v>
      </c>
      <c r="U17" s="79">
        <v>0</v>
      </c>
      <c r="V17" s="121">
        <f>(( 'BRAWLERS OFICIAL'!V17/2 + 'BRAWLERS OFICIAL'!V17 + AN17 + AV17/3.5 )-'BRAWLERS OFICIAL'!V17)/($BN17/5)</f>
        <v>0.57142857142857129</v>
      </c>
      <c r="W17" s="80">
        <f>((0 + 'BRAWLERS OFICIAL'!W17)-'BRAWLERS OFICIAL'!W17)/($BN17/5)</f>
        <v>0</v>
      </c>
      <c r="X17" s="80">
        <f>(((0)/3 + 'BRAWLERS OFICIAL'!X17)-'BRAWLERS OFICIAL'!X17)</f>
        <v>0</v>
      </c>
      <c r="Y17" s="80">
        <f>((0 + 'BRAWLERS OFICIAL'!Y17)-'BRAWLERS OFICIAL'!Y17)/($BN17/5)</f>
        <v>0</v>
      </c>
      <c r="Z17" s="80">
        <f>((0 + 'BRAWLERS OFICIAL'!Z17)-'BRAWLERS OFICIAL'!Z17)/($BN17/5)</f>
        <v>0</v>
      </c>
      <c r="AA17" s="80">
        <f>(((0)/4 + 'BRAWLERS OFICIAL'!AA17)-'BRAWLERS OFICIAL'!AA17)/($BN17/5)</f>
        <v>0</v>
      </c>
      <c r="AB17" s="80">
        <f>((1 + 'BRAWLERS OFICIAL'!AB17)-'BRAWLERS OFICIAL'!AB17)/($BN17/5)</f>
        <v>0.33333333333333331</v>
      </c>
      <c r="AC17" s="80">
        <f>((0 + 'BRAWLERS OFICIAL'!AC17)-'BRAWLERS OFICIAL'!AC17)/($BN17/5)</f>
        <v>0</v>
      </c>
      <c r="AD17" s="80">
        <f>((0 + 'BRAWLERS OFICIAL'!AD17)-'BRAWLERS OFICIAL'!AD17)/($BN17/5)</f>
        <v>0</v>
      </c>
      <c r="AE17" s="80">
        <f>((0 + 'BRAWLERS OFICIAL'!AE17)-'BRAWLERS OFICIAL'!AE17)</f>
        <v>0</v>
      </c>
      <c r="AF17" s="80">
        <f>((0 + 'BRAWLERS OFICIAL'!AF17)-'BRAWLERS OFICIAL'!AF17)</f>
        <v>0</v>
      </c>
      <c r="AG17" s="80">
        <f>((0 + 'BRAWLERS OFICIAL'!AG17)-'BRAWLERS OFICIAL'!AG17)</f>
        <v>0</v>
      </c>
      <c r="AH17" s="80">
        <f>((0 + 'BRAWLERS OFICIAL'!AH17)-'BRAWLERS OFICIAL'!AH17)/($BN17/5)</f>
        <v>0</v>
      </c>
      <c r="AI17" s="80">
        <f>((0 + 'BRAWLERS OFICIAL'!AI17)-'BRAWLERS OFICIAL'!AI17)/($BN17/5)</f>
        <v>0</v>
      </c>
      <c r="AJ17" s="80">
        <f>(((BH17/5+1)*AI17 + 'BRAWLERS OFICIAL'!AJ17)-'BRAWLERS OFICIAL'!AJ17)/($BN17/5)</f>
        <v>0</v>
      </c>
      <c r="AK17" s="80">
        <f>IF( 0 = (1-1), (1-1), ((0 + 'BRAWLERS OFICIAL'!AK17)/1.5)-'BRAWLERS OFICIAL'!AK17 )</f>
        <v>0</v>
      </c>
      <c r="AL17" s="80">
        <f t="shared" si="0"/>
        <v>0</v>
      </c>
      <c r="AM17" s="80">
        <f>((0 + 'BRAWLERS OFICIAL'!AM17)-'BRAWLERS OFICIAL'!AM17)/($BN17/5)</f>
        <v>0</v>
      </c>
      <c r="AN17" s="80">
        <f>((0/1000 + 'BRAWLERS OFICIAL'!AN17)-'BRAWLERS OFICIAL'!AN17)</f>
        <v>0</v>
      </c>
      <c r="AO17" s="80">
        <f>((0 + 'BRAWLERS OFICIAL'!AO17)-'BRAWLERS OFICIAL'!AO17)</f>
        <v>0</v>
      </c>
      <c r="AP17" s="80">
        <f>IF( 0 = (1-1), (1-1), ((0 + 'BRAWLERS OFICIAL'!AP17)/1.5) )</f>
        <v>0</v>
      </c>
      <c r="AQ17" s="80">
        <f>IF( 0 = (1-1), (1-1), ((0 + 'BRAWLERS OFICIAL'!AQ17)/1.5) )</f>
        <v>0</v>
      </c>
      <c r="AR17" s="80">
        <f>IF( 0 = (1-1), (1-1), ((0 + 'BRAWLERS OFICIAL'!AR17)/2) )</f>
        <v>0</v>
      </c>
      <c r="AS17" s="80">
        <f>((0 + 'BRAWLERS OFICIAL'!AS17)-'BRAWLERS OFICIAL'!AS17)/($BN17/5)</f>
        <v>0</v>
      </c>
      <c r="AT17" s="80">
        <f>(((0)/4 + 'BRAWLERS OFICIAL'!AT17)-'BRAWLERS OFICIAL'!AT17)</f>
        <v>0</v>
      </c>
      <c r="AU17" s="80">
        <v>0</v>
      </c>
      <c r="AV17" s="79">
        <f>((( 0 )/3 + 'BRAWLERS OFICIAL'!AV17)-'BRAWLERS OFICIAL'!AV17)</f>
        <v>0</v>
      </c>
      <c r="AW17" s="79">
        <f>((( 0 )/2 + 'BRAWLERS OFICIAL'!AW17)-'BRAWLERS OFICIAL'!AW17)/($BN17/5)</f>
        <v>0</v>
      </c>
      <c r="AX17" s="79">
        <f>((( 0 )/2 + 'BRAWLERS OFICIAL'!AX17)-'BRAWLERS OFICIAL'!AX17)</f>
        <v>0</v>
      </c>
      <c r="AY17" s="79">
        <f>((( 0 )/3 + 'BRAWLERS OFICIAL'!AY17)-'BRAWLERS OFICIAL'!AY17)</f>
        <v>0</v>
      </c>
      <c r="AZ17" s="79">
        <f>((( 0 )/2 + 'BRAWLERS OFICIAL'!AZ17)-'BRAWLERS OFICIAL'!AZ17)/($BN17/5)</f>
        <v>0</v>
      </c>
      <c r="BA17" s="79">
        <f>((( 0 )/3 + 'BRAWLERS OFICIAL'!BA17)-'BRAWLERS OFICIAL'!BA17)</f>
        <v>0</v>
      </c>
      <c r="BB17" s="79">
        <f>((( 0 )/3 + 'BRAWLERS OFICIAL'!BB17)-'BRAWLERS OFICIAL'!BB17)</f>
        <v>0</v>
      </c>
      <c r="BC17" s="79">
        <f>((0 + 'BRAWLERS OFICIAL'!BC17)-'BRAWLERS OFICIAL'!BC17)/($BN17/5)</f>
        <v>0</v>
      </c>
      <c r="BD17" s="79">
        <f>((0 + 'BRAWLERS OFICIAL'!BD17)-'BRAWLERS OFICIAL'!BD17)/($BN17/5)</f>
        <v>0</v>
      </c>
      <c r="BE17" s="79">
        <f>((( 0 )/2 + 'BRAWLERS OFICIAL'!BE17)-'BRAWLERS OFICIAL'!BE17)</f>
        <v>0</v>
      </c>
      <c r="BF17" s="79">
        <f>((2 + 'BRAWLERS OFICIAL'!BF17)-'BRAWLERS OFICIAL'!BF17)/($BN17/5)</f>
        <v>0.66666666666666663</v>
      </c>
      <c r="BG17" s="79">
        <f>((( 0 )/2 + 'BRAWLERS OFICIAL'!BG17)-'BRAWLERS OFICIAL'!BG17)</f>
        <v>0</v>
      </c>
      <c r="BH17" s="79">
        <f>((( 0 )/3 + 'BRAWLERS OFICIAL'!BH17)-'BRAWLERS OFICIAL'!BH17)</f>
        <v>0</v>
      </c>
      <c r="BI17" s="79">
        <f>((( 0 )/2 + 'BRAWLERS OFICIAL'!BI17)-'BRAWLERS OFICIAL'!BI17)</f>
        <v>0</v>
      </c>
      <c r="BJ17" s="79">
        <f>((2 + 'BRAWLERS OFICIAL'!BJ17)-'BRAWLERS OFICIAL'!BJ17)/($BN17/5)</f>
        <v>0.66666666666666663</v>
      </c>
      <c r="BK17" s="79">
        <f>((0 + 'BRAWLERS OFICIAL'!BK17)-'BRAWLERS OFICIAL'!BK17)/($BN17/5)</f>
        <v>0</v>
      </c>
      <c r="BL17" s="79">
        <f>((0 + 'BRAWLERS OFICIAL'!BL17)-'BRAWLERS OFICIAL'!BL17)/($BN17/5)</f>
        <v>0</v>
      </c>
      <c r="BN17" s="79">
        <v>15</v>
      </c>
    </row>
    <row r="18" spans="2:66">
      <c r="B18" s="77" t="s">
        <v>430</v>
      </c>
      <c r="C18" s="67" t="s">
        <v>57</v>
      </c>
      <c r="D18" s="79">
        <f>((0 + 'BRAWLERS OFICIAL'!D18)-'BRAWLERS OFICIAL'!D18)/($BN18/5)</f>
        <v>0</v>
      </c>
      <c r="E18" s="79">
        <f>((0 + 'BRAWLERS OFICIAL'!E18)-'BRAWLERS OFICIAL'!E18)/($BN18/5)</f>
        <v>0</v>
      </c>
      <c r="F18" s="79">
        <f>((0 + 'BRAWLERS OFICIAL'!F18)-'BRAWLERS OFICIAL'!F18)/($BN18/5)</f>
        <v>0</v>
      </c>
      <c r="G18" s="79">
        <f>((0 + 'BRAWLERS OFICIAL'!G18)-'BRAWLERS OFICIAL'!G18)/($BN18/5)</f>
        <v>0</v>
      </c>
      <c r="H18" s="79">
        <f>((0 + 'BRAWLERS OFICIAL'!H18)-'BRAWLERS OFICIAL'!H18)/($BN18/5)</f>
        <v>0</v>
      </c>
      <c r="I18" s="79">
        <f>((0 + 'BRAWLERS OFICIAL'!I18)-'BRAWLERS OFICIAL'!I18)/($BN18/5)</f>
        <v>0</v>
      </c>
      <c r="J18" s="79">
        <f>((0 + 'BRAWLERS OFICIAL'!J18)-'BRAWLERS OFICIAL'!J18)/($BN18/5)</f>
        <v>0</v>
      </c>
      <c r="K18" s="79">
        <f>((0 + 'BRAWLERS OFICIAL'!K18)-'BRAWLERS OFICIAL'!K18)/($BN18/5)</f>
        <v>0</v>
      </c>
      <c r="L18" s="79">
        <f>((0 + 'BRAWLERS OFICIAL'!L18)-'BRAWLERS OFICIAL'!L18)/($BN18/5)</f>
        <v>0</v>
      </c>
      <c r="M18" s="79">
        <f>((0 + 'BRAWLERS OFICIAL'!M18)-'BRAWLERS OFICIAL'!M18)/($BN18/5)</f>
        <v>0</v>
      </c>
      <c r="N18" s="79">
        <f>((0 + 'BRAWLERS OFICIAL'!N18)-'BRAWLERS OFICIAL'!N18)/($BN18/5)</f>
        <v>0</v>
      </c>
      <c r="O18" s="79">
        <f>((0 + 'BRAWLERS OFICIAL'!O18)-'BRAWLERS OFICIAL'!O18)/($BN18/5)</f>
        <v>0</v>
      </c>
      <c r="P18" s="79">
        <f>((0 + 'BRAWLERS OFICIAL'!P18)-'BRAWLERS OFICIAL'!P18)/($BN18/5)</f>
        <v>0</v>
      </c>
      <c r="Q18" s="79">
        <f>((0 + 'BRAWLERS OFICIAL'!Q18)-'BRAWLERS OFICIAL'!Q18)/($BN18/5)</f>
        <v>0</v>
      </c>
      <c r="R18" s="79">
        <f>((0 + 'BRAWLERS OFICIAL'!R18)-'BRAWLERS OFICIAL'!R18)/($BN18/5)</f>
        <v>0</v>
      </c>
      <c r="S18" s="79">
        <f>((0 + 'BRAWLERS OFICIAL'!S18)-'BRAWLERS OFICIAL'!S18)/($BN18/5)</f>
        <v>0</v>
      </c>
      <c r="T18" s="79">
        <f>((0 + 'BRAWLERS OFICIAL'!T18)-'BRAWLERS OFICIAL'!T18)/($BN18/5)</f>
        <v>0</v>
      </c>
      <c r="U18" s="79">
        <f>(0 + 'BRAWLERS OFICIAL'!U18)-'BRAWLERS OFICIAL'!U18</f>
        <v>0</v>
      </c>
      <c r="V18" s="121">
        <f>(( 'BRAWLERS OFICIAL'!V18/3/3 + 'BRAWLERS OFICIAL'!V18 + AN18 + AV18/3.5 )-'BRAWLERS OFICIAL'!V18)/($BN18/5)</f>
        <v>0.14472455648926238</v>
      </c>
      <c r="W18" s="80">
        <f>((0 + 'BRAWLERS OFICIAL'!W18)-'BRAWLERS OFICIAL'!W18)/($BN18/5)</f>
        <v>0</v>
      </c>
      <c r="X18" s="80">
        <f>(((0)/3 + 'BRAWLERS OFICIAL'!X18)-'BRAWLERS OFICIAL'!X18)</f>
        <v>0</v>
      </c>
      <c r="Y18" s="80">
        <f>((0 + 'BRAWLERS OFICIAL'!Y18)-'BRAWLERS OFICIAL'!Y18)/($BN18/5)</f>
        <v>0</v>
      </c>
      <c r="Z18" s="80">
        <f>((0 + 'BRAWLERS OFICIAL'!Z18)-'BRAWLERS OFICIAL'!Z18)/($BN18/5)</f>
        <v>0</v>
      </c>
      <c r="AA18" s="80">
        <f>(((0)/4 + 'BRAWLERS OFICIAL'!AA18)-'BRAWLERS OFICIAL'!AA18)/($BN18/5)</f>
        <v>0</v>
      </c>
      <c r="AB18" s="80">
        <f>((0 + 'BRAWLERS OFICIAL'!AB18)-'BRAWLERS OFICIAL'!AB18)/($BN18/5)</f>
        <v>0</v>
      </c>
      <c r="AC18" s="80">
        <f>((0 + 'BRAWLERS OFICIAL'!AC18)-'BRAWLERS OFICIAL'!AC18)/($BN18/5)</f>
        <v>0</v>
      </c>
      <c r="AD18" s="80">
        <f>((0 + 'BRAWLERS OFICIAL'!AD18)-'BRAWLERS OFICIAL'!AD18)/($BN18/5)</f>
        <v>0</v>
      </c>
      <c r="AE18" s="80">
        <f>((0 + 'BRAWLERS OFICIAL'!AE18)-'BRAWLERS OFICIAL'!AE18)</f>
        <v>0</v>
      </c>
      <c r="AF18" s="80">
        <f>((0 + 'BRAWLERS OFICIAL'!AF18)-'BRAWLERS OFICIAL'!AF18)</f>
        <v>0</v>
      </c>
      <c r="AG18" s="80">
        <f>((0 + 'BRAWLERS OFICIAL'!AG18)-'BRAWLERS OFICIAL'!AG18)</f>
        <v>0</v>
      </c>
      <c r="AH18" s="80">
        <f>((4/3 + 'BRAWLERS OFICIAL'!AH18)-'BRAWLERS OFICIAL'!AH18)/($BN18/5)</f>
        <v>0.39215686274509798</v>
      </c>
      <c r="AI18" s="80">
        <f>((7/3 + 'BRAWLERS OFICIAL'!AI18)-'BRAWLERS OFICIAL'!AI18)/($BN18/5)</f>
        <v>0.68627450980392168</v>
      </c>
      <c r="AJ18" s="80">
        <f>(((BH18/5+1)*AI18 + 'BRAWLERS OFICIAL'!AJ18)-'BRAWLERS OFICIAL'!AJ18)/($BN18/5)</f>
        <v>0.20184544405997698</v>
      </c>
      <c r="AK18" s="80">
        <f>IF( 0 = (1-1), (1-1), ((0 + 'BRAWLERS OFICIAL'!AK18)/1.5)-'BRAWLERS OFICIAL'!AK18 )</f>
        <v>0</v>
      </c>
      <c r="AL18" s="80">
        <f t="shared" si="0"/>
        <v>0</v>
      </c>
      <c r="AM18" s="80">
        <f>((0 + 'BRAWLERS OFICIAL'!AM18)-'BRAWLERS OFICIAL'!AM18)/($BN18/5)</f>
        <v>0</v>
      </c>
      <c r="AN18" s="80">
        <f>((0/1000 + 'BRAWLERS OFICIAL'!AN18)-'BRAWLERS OFICIAL'!AN18)</f>
        <v>0</v>
      </c>
      <c r="AO18" s="80">
        <f>((0 + 'BRAWLERS OFICIAL'!AO18)-'BRAWLERS OFICIAL'!AO18)</f>
        <v>0</v>
      </c>
      <c r="AP18" s="80">
        <f>IF( 0 = (1-1), (1-1), ((0 + 'BRAWLERS OFICIAL'!AP18)/1.5) )</f>
        <v>0</v>
      </c>
      <c r="AQ18" s="80">
        <f>IF( 0 = (1-1), (1-1), ((0 + 'BRAWLERS OFICIAL'!AQ18)/1.5) )</f>
        <v>0</v>
      </c>
      <c r="AR18" s="80">
        <f>IF( 0 = (1-1), (1-1), ((0 + 'BRAWLERS OFICIAL'!AR18)/2) )</f>
        <v>0</v>
      </c>
      <c r="AS18" s="80">
        <f>((0 + 'BRAWLERS OFICIAL'!AS18)-'BRAWLERS OFICIAL'!AS18)/($BN18/5)</f>
        <v>0</v>
      </c>
      <c r="AT18" s="80">
        <f>(((0)/4 + 'BRAWLERS OFICIAL'!AT18)-'BRAWLERS OFICIAL'!AT18)</f>
        <v>0</v>
      </c>
      <c r="AU18" s="80">
        <v>5</v>
      </c>
      <c r="AV18" s="79">
        <f>((( 0 )/3 + 'BRAWLERS OFICIAL'!AV18)-'BRAWLERS OFICIAL'!AV18)</f>
        <v>0</v>
      </c>
      <c r="AW18" s="79">
        <f>((( 0 )/2 + 'BRAWLERS OFICIAL'!AW18)-'BRAWLERS OFICIAL'!AW18)/($BN18/5)</f>
        <v>0</v>
      </c>
      <c r="AX18" s="79">
        <f>((( 0 )/2 + 'BRAWLERS OFICIAL'!AX18)-'BRAWLERS OFICIAL'!AX18)</f>
        <v>0</v>
      </c>
      <c r="AY18" s="79">
        <f>((( 0 )/3 + 'BRAWLERS OFICIAL'!AY18)-'BRAWLERS OFICIAL'!AY18)</f>
        <v>0</v>
      </c>
      <c r="AZ18" s="79">
        <f>((( 0 )/2 + 'BRAWLERS OFICIAL'!AZ18)-'BRAWLERS OFICIAL'!AZ18)/($BN18/5)</f>
        <v>0</v>
      </c>
      <c r="BA18" s="79">
        <f>((( 0 )/3 + 'BRAWLERS OFICIAL'!BA18)-'BRAWLERS OFICIAL'!BA18)</f>
        <v>0</v>
      </c>
      <c r="BB18" s="79">
        <f>((( 0 )/3 + 'BRAWLERS OFICIAL'!BB18)-'BRAWLERS OFICIAL'!BB18)</f>
        <v>0</v>
      </c>
      <c r="BC18" s="79">
        <f>((0 + 'BRAWLERS OFICIAL'!BC18)-'BRAWLERS OFICIAL'!BC18)/($BN18/5)</f>
        <v>0</v>
      </c>
      <c r="BD18" s="79">
        <f>((0 + 'BRAWLERS OFICIAL'!BD18)-'BRAWLERS OFICIAL'!BD18)/($BN18/5)</f>
        <v>0</v>
      </c>
      <c r="BE18" s="79">
        <f>((( 0 )/2 + 'BRAWLERS OFICIAL'!BE18)-'BRAWLERS OFICIAL'!BE18)</f>
        <v>0</v>
      </c>
      <c r="BF18" s="79">
        <f>((0 + 'BRAWLERS OFICIAL'!BF18)-'BRAWLERS OFICIAL'!BF18)/($BN18/5)</f>
        <v>0</v>
      </c>
      <c r="BG18" s="79">
        <f>((( 0 )/2 + 'BRAWLERS OFICIAL'!BG18)-'BRAWLERS OFICIAL'!BG18)</f>
        <v>0</v>
      </c>
      <c r="BH18" s="79">
        <f>((( 0 )/3 + 'BRAWLERS OFICIAL'!BH18)-'BRAWLERS OFICIAL'!BH18)</f>
        <v>0</v>
      </c>
      <c r="BI18" s="79">
        <f>((( 0 )/2 + 'BRAWLERS OFICIAL'!BI18)-'BRAWLERS OFICIAL'!BI18)</f>
        <v>0</v>
      </c>
      <c r="BJ18" s="79">
        <f>((0 + 'BRAWLERS OFICIAL'!BJ18)-'BRAWLERS OFICIAL'!BJ18)/($BN18/5)</f>
        <v>0</v>
      </c>
      <c r="BK18" s="79">
        <f>((0 + 'BRAWLERS OFICIAL'!BK18)-'BRAWLERS OFICIAL'!BK18)/($BN18/5)</f>
        <v>0</v>
      </c>
      <c r="BL18" s="79">
        <f>((0 + 'BRAWLERS OFICIAL'!BL18)-'BRAWLERS OFICIAL'!BL18)/($BN18/5)</f>
        <v>0</v>
      </c>
      <c r="BN18" s="79">
        <v>17</v>
      </c>
    </row>
    <row r="19" spans="2:66">
      <c r="B19" s="77" t="s">
        <v>431</v>
      </c>
      <c r="C19" s="67" t="s">
        <v>40</v>
      </c>
      <c r="D19" s="79">
        <f>((0 + 'BRAWLERS OFICIAL'!D19)-'BRAWLERS OFICIAL'!D19)/($BN19/5)</f>
        <v>0</v>
      </c>
      <c r="E19" s="79">
        <f>((0 + 'BRAWLERS OFICIAL'!E19)-'BRAWLERS OFICIAL'!E19)/($BN19/5)</f>
        <v>0</v>
      </c>
      <c r="F19" s="79">
        <f>((0 + 'BRAWLERS OFICIAL'!F19)-'BRAWLERS OFICIAL'!F19)/($BN19/5)</f>
        <v>0</v>
      </c>
      <c r="G19" s="79">
        <f>((0 + 'BRAWLERS OFICIAL'!G19)-'BRAWLERS OFICIAL'!G19)/($BN19/5)</f>
        <v>0</v>
      </c>
      <c r="H19" s="79">
        <f>((0 + 'BRAWLERS OFICIAL'!H19)-'BRAWLERS OFICIAL'!H19)/($BN19/5)</f>
        <v>0</v>
      </c>
      <c r="I19" s="79">
        <f>((0 + 'BRAWLERS OFICIAL'!I19)-'BRAWLERS OFICIAL'!I19)/($BN19/5)</f>
        <v>0</v>
      </c>
      <c r="J19" s="79">
        <f>((0 + 'BRAWLERS OFICIAL'!J19)-'BRAWLERS OFICIAL'!J19)/($BN19/5)</f>
        <v>0</v>
      </c>
      <c r="K19" s="79">
        <f>((0 + 'BRAWLERS OFICIAL'!K19)-'BRAWLERS OFICIAL'!K19)/($BN19/5)</f>
        <v>0</v>
      </c>
      <c r="L19" s="79">
        <f>((0 + 'BRAWLERS OFICIAL'!L19)-'BRAWLERS OFICIAL'!L19)/($BN19/5)</f>
        <v>0</v>
      </c>
      <c r="M19" s="79">
        <f>((0 + 'BRAWLERS OFICIAL'!M19)-'BRAWLERS OFICIAL'!M19)/($BN19/5)</f>
        <v>0</v>
      </c>
      <c r="N19" s="79">
        <f>((0 + 'BRAWLERS OFICIAL'!N19)-'BRAWLERS OFICIAL'!N19)/($BN19/5)</f>
        <v>0</v>
      </c>
      <c r="O19" s="79">
        <f>(-'BRAWLERS OFICIAL'!O19)/($BN19/5)</f>
        <v>0</v>
      </c>
      <c r="P19" s="79">
        <f>(-'BRAWLERS OFICIAL'!P19)/($BN19/5)</f>
        <v>-181.81818181818181</v>
      </c>
      <c r="Q19" s="79">
        <f>(-'BRAWLERS OFICIAL'!Q19)/($BN19/5)</f>
        <v>-545.45454545454538</v>
      </c>
      <c r="R19" s="79">
        <f>(-'BRAWLERS OFICIAL'!R19)/($BN19/5)</f>
        <v>-363.63636363636363</v>
      </c>
      <c r="S19" s="79">
        <f>(-'BRAWLERS OFICIAL'!S19)/($BN19/5)</f>
        <v>-181.81818181818181</v>
      </c>
      <c r="T19" s="79">
        <f>((0 + 'BRAWLERS OFICIAL'!T19)-'BRAWLERS OFICIAL'!T19)/($BN19/5)</f>
        <v>0</v>
      </c>
      <c r="U19" s="79">
        <f>(0 + 'BRAWLERS OFICIAL'!U19)-'BRAWLERS OFICIAL'!U19</f>
        <v>0</v>
      </c>
      <c r="V19" s="121">
        <f>(( 0 + 'BRAWLERS OFICIAL'!V19 + AN19 + AV19/3.5 )-'BRAWLERS OFICIAL'!V19)/($BN19/5)</f>
        <v>0.5627705627705627</v>
      </c>
      <c r="W19" s="80">
        <f>((0 + 'BRAWLERS OFICIAL'!W19)-'BRAWLERS OFICIAL'!W19)/($BN19/5)</f>
        <v>0</v>
      </c>
      <c r="X19" s="80">
        <f>(((0)/3 + 'BRAWLERS OFICIAL'!X19)-'BRAWLERS OFICIAL'!X19)</f>
        <v>0</v>
      </c>
      <c r="Y19" s="80">
        <f>((0 + 'BRAWLERS OFICIAL'!Y19)-'BRAWLERS OFICIAL'!Y19)/($BN19/5)</f>
        <v>0</v>
      </c>
      <c r="Z19" s="80">
        <f>((0 + 'BRAWLERS OFICIAL'!Z19)-'BRAWLERS OFICIAL'!Z19)/($BN19/5)</f>
        <v>0</v>
      </c>
      <c r="AA19" s="80">
        <f>(((0)/4 + 'BRAWLERS OFICIAL'!AA19)-'BRAWLERS OFICIAL'!AA19)/($BN19/5)</f>
        <v>0</v>
      </c>
      <c r="AB19" s="80">
        <f>((0 + 'BRAWLERS OFICIAL'!AB19)-'BRAWLERS OFICIAL'!AB19)/($BN19/5)</f>
        <v>0</v>
      </c>
      <c r="AC19" s="80">
        <f>((0 + 'BRAWLERS OFICIAL'!AC19)-'BRAWLERS OFICIAL'!AC19)/($BN19/5)</f>
        <v>0</v>
      </c>
      <c r="AD19" s="80">
        <f>((0 + 'BRAWLERS OFICIAL'!AD19)-'BRAWLERS OFICIAL'!AD19)/($BN19/5)</f>
        <v>0</v>
      </c>
      <c r="AE19" s="80">
        <f>((0 + 'BRAWLERS OFICIAL'!AE19)-'BRAWLERS OFICIAL'!AE19)</f>
        <v>0</v>
      </c>
      <c r="AF19" s="80">
        <f>((0 + 'BRAWLERS OFICIAL'!AF19)-'BRAWLERS OFICIAL'!AF19)</f>
        <v>0</v>
      </c>
      <c r="AG19" s="80">
        <f>((0 + 'BRAWLERS OFICIAL'!AG19)-'BRAWLERS OFICIAL'!AG19)</f>
        <v>0</v>
      </c>
      <c r="AH19" s="80">
        <f>((0 + 'BRAWLERS OFICIAL'!AH19)-'BRAWLERS OFICIAL'!AH19)/($BN19/5)</f>
        <v>0</v>
      </c>
      <c r="AI19" s="80">
        <f>((0 + 'BRAWLERS OFICIAL'!AI19)-'BRAWLERS OFICIAL'!AI19)/($BN19/5)</f>
        <v>0</v>
      </c>
      <c r="AJ19" s="80">
        <f>(((BH19/5+1)*AI19 + 'BRAWLERS OFICIAL'!AJ19)-'BRAWLERS OFICIAL'!AJ19)/($BN19/5)</f>
        <v>0</v>
      </c>
      <c r="AK19" s="80">
        <f>IF( 0 = (1-1), (1-1), ((0 + 'BRAWLERS OFICIAL'!AK19)/1.5)-'BRAWLERS OFICIAL'!AK19 )</f>
        <v>0</v>
      </c>
      <c r="AL19" s="80">
        <f t="shared" si="0"/>
        <v>0</v>
      </c>
      <c r="AM19" s="80">
        <f>((0 + 'BRAWLERS OFICIAL'!AM19)-'BRAWLERS OFICIAL'!AM19)/($BN19/5)</f>
        <v>0</v>
      </c>
      <c r="AN19" s="80">
        <f>((0/1000 + 'BRAWLERS OFICIAL'!AN19)-'BRAWLERS OFICIAL'!AN19)</f>
        <v>0</v>
      </c>
      <c r="AO19" s="80">
        <f>((0 + 'BRAWLERS OFICIAL'!AO19)-'BRAWLERS OFICIAL'!AO19)</f>
        <v>0</v>
      </c>
      <c r="AP19" s="80">
        <f>IF( 0 = (1-1), (1-1), ((0 + 'BRAWLERS OFICIAL'!AP19)/1.5) )</f>
        <v>0</v>
      </c>
      <c r="AQ19" s="80">
        <f>IF( 0 = (1-1), (1-1), ((0 + 'BRAWLERS OFICIAL'!AQ19)/1.5) )</f>
        <v>0</v>
      </c>
      <c r="AR19" s="80">
        <f>IF( 0 = (1-1), (1-1), ((0 + 'BRAWLERS OFICIAL'!AR19)/2) )</f>
        <v>0</v>
      </c>
      <c r="AS19" s="80">
        <f>((0 + 'BRAWLERS OFICIAL'!AS19)-'BRAWLERS OFICIAL'!AS19)/($BN19/5)</f>
        <v>0</v>
      </c>
      <c r="AT19" s="80">
        <f>(((0)/4 + 'BRAWLERS OFICIAL'!AT19)-'BRAWLERS OFICIAL'!AT19)</f>
        <v>0</v>
      </c>
      <c r="AU19" s="80">
        <v>2.5</v>
      </c>
      <c r="AV19" s="79">
        <f>((( 4 + 6 + 3 )/3 + 'BRAWLERS OFICIAL'!AV19)-'BRAWLERS OFICIAL'!AV19)</f>
        <v>4.333333333333333</v>
      </c>
      <c r="AW19" s="79">
        <f>((( 0 )/2 + 'BRAWLERS OFICIAL'!AW19)-'BRAWLERS OFICIAL'!AW19)/($BN19/5)</f>
        <v>0</v>
      </c>
      <c r="AX19" s="79">
        <f>((( 0 )/2 + 'BRAWLERS OFICIAL'!AX19)-'BRAWLERS OFICIAL'!AX19)</f>
        <v>0</v>
      </c>
      <c r="AY19" s="79">
        <f>((( 0 )/3 + 'BRAWLERS OFICIAL'!AY19)-'BRAWLERS OFICIAL'!AY19)</f>
        <v>0</v>
      </c>
      <c r="AZ19" s="79">
        <f>((( 0 )/2 + 'BRAWLERS OFICIAL'!AZ19)-'BRAWLERS OFICIAL'!AZ19)/($BN19/5)</f>
        <v>0</v>
      </c>
      <c r="BA19" s="79">
        <f>((( 0 )/3 + 'BRAWLERS OFICIAL'!BA19)-'BRAWLERS OFICIAL'!BA19)</f>
        <v>0</v>
      </c>
      <c r="BB19" s="79">
        <f>((( 0 )/3 + 'BRAWLERS OFICIAL'!BB19)-'BRAWLERS OFICIAL'!BB19)</f>
        <v>0</v>
      </c>
      <c r="BC19" s="79">
        <f>((0 + 'BRAWLERS OFICIAL'!BC19)-'BRAWLERS OFICIAL'!BC19)/($BN19/5)</f>
        <v>0</v>
      </c>
      <c r="BD19" s="79">
        <f>((0 + 'BRAWLERS OFICIAL'!BD19)-'BRAWLERS OFICIAL'!BD19)/($BN19/5)</f>
        <v>0</v>
      </c>
      <c r="BE19" s="79">
        <f>((( 0 )/2 + 'BRAWLERS OFICIAL'!BE19)-'BRAWLERS OFICIAL'!BE19)</f>
        <v>0</v>
      </c>
      <c r="BF19" s="79">
        <f>((0 + 'BRAWLERS OFICIAL'!BF19)-'BRAWLERS OFICIAL'!BF19)/($BN19/5)</f>
        <v>0</v>
      </c>
      <c r="BG19" s="79">
        <f>((( 0 )/2 + 'BRAWLERS OFICIAL'!BG19)-'BRAWLERS OFICIAL'!BG19)</f>
        <v>0</v>
      </c>
      <c r="BH19" s="79">
        <f>((( 0 )/3 + 'BRAWLERS OFICIAL'!BH19)-'BRAWLERS OFICIAL'!BH19)</f>
        <v>0</v>
      </c>
      <c r="BI19" s="79">
        <f>((( 0 )/2 + 'BRAWLERS OFICIAL'!BI19)-'BRAWLERS OFICIAL'!BI19)</f>
        <v>0</v>
      </c>
      <c r="BJ19" s="79">
        <f>((0 + 'BRAWLERS OFICIAL'!BJ19)-'BRAWLERS OFICIAL'!BJ19)/($BN19/5)</f>
        <v>0</v>
      </c>
      <c r="BK19" s="79">
        <f>((0 + 'BRAWLERS OFICIAL'!BK19)-'BRAWLERS OFICIAL'!BK19)/($BN19/5)</f>
        <v>0</v>
      </c>
      <c r="BL19" s="79">
        <f>((0 + 'BRAWLERS OFICIAL'!BL19)-'BRAWLERS OFICIAL'!BL19)/($BN19/5)</f>
        <v>0</v>
      </c>
      <c r="BN19" s="79">
        <v>11</v>
      </c>
    </row>
    <row r="20" spans="2:66">
      <c r="B20" s="78" t="s">
        <v>432</v>
      </c>
      <c r="C20" s="82" t="s">
        <v>69</v>
      </c>
      <c r="D20" s="79">
        <f>((0 + 'BRAWLERS OFICIAL'!D20)-'BRAWLERS OFICIAL'!D20)/($BN20/5)</f>
        <v>0</v>
      </c>
      <c r="E20" s="79">
        <f>((0 + 'BRAWLERS OFICIAL'!E20)-'BRAWLERS OFICIAL'!E20)/($BN20/5)</f>
        <v>0</v>
      </c>
      <c r="F20" s="79">
        <f>((0 + 'BRAWLERS OFICIAL'!F20)-'BRAWLERS OFICIAL'!F20)/($BN20/5)</f>
        <v>0</v>
      </c>
      <c r="G20" s="79">
        <f>((0 + 'BRAWLERS OFICIAL'!G20)-'BRAWLERS OFICIAL'!G20)/($BN20/5)</f>
        <v>0</v>
      </c>
      <c r="H20" s="79">
        <f>((0 + 'BRAWLERS OFICIAL'!H20)-'BRAWLERS OFICIAL'!H20)/($BN20/5)</f>
        <v>0</v>
      </c>
      <c r="I20" s="79">
        <f>((0 + 'BRAWLERS OFICIAL'!I20)-'BRAWLERS OFICIAL'!I20)/($BN20/5)</f>
        <v>0</v>
      </c>
      <c r="J20" s="79">
        <f>((0 + 'BRAWLERS OFICIAL'!J20)-'BRAWLERS OFICIAL'!J20)/($BN20/5)</f>
        <v>0</v>
      </c>
      <c r="K20" s="79">
        <f>((0 + 'BRAWLERS OFICIAL'!K20)-'BRAWLERS OFICIAL'!K20)/($BN20/5)</f>
        <v>0</v>
      </c>
      <c r="L20" s="79">
        <f>((0 + 'BRAWLERS OFICIAL'!L20)-'BRAWLERS OFICIAL'!L20)/($BN20/5)</f>
        <v>0</v>
      </c>
      <c r="M20" s="79">
        <f>((0 + 'BRAWLERS OFICIAL'!M20)-'BRAWLERS OFICIAL'!M20)/($BN20/5)</f>
        <v>0</v>
      </c>
      <c r="N20" s="79">
        <f>((0 + 'BRAWLERS OFICIAL'!N20)-'BRAWLERS OFICIAL'!N20)/($BN20/5)</f>
        <v>0</v>
      </c>
      <c r="O20" s="79">
        <f>((0 + 'BRAWLERS OFICIAL'!O20)-'BRAWLERS OFICIAL'!O20)/($BN20/5)</f>
        <v>0</v>
      </c>
      <c r="P20" s="79">
        <f>((0 + 'BRAWLERS OFICIAL'!P20)-'BRAWLERS OFICIAL'!P20)/($BN20/5)</f>
        <v>0</v>
      </c>
      <c r="Q20" s="79">
        <f>((0 + 'BRAWLERS OFICIAL'!Q20)-'BRAWLERS OFICIAL'!Q20)/($BN20/5)</f>
        <v>0</v>
      </c>
      <c r="R20" s="79">
        <f>((0 + 'BRAWLERS OFICIAL'!R20)-'BRAWLERS OFICIAL'!R20)/($BN20/5)</f>
        <v>0</v>
      </c>
      <c r="S20" s="79">
        <f>((0 + 'BRAWLERS OFICIAL'!S20)-'BRAWLERS OFICIAL'!S20)/($BN20/5)</f>
        <v>0</v>
      </c>
      <c r="T20" s="79">
        <f>((0 + 'BRAWLERS OFICIAL'!T20)-'BRAWLERS OFICIAL'!T20)/($BN20/5)</f>
        <v>0</v>
      </c>
      <c r="U20" s="79">
        <f>(0 + 'BRAWLERS OFICIAL'!U20)-'BRAWLERS OFICIAL'!U20</f>
        <v>0</v>
      </c>
      <c r="V20" s="121">
        <f>(( AVERAGE(300, 3000)/1400 + 'BRAWLERS OFICIAL'!V20 + AN20 + AV20/3.5 )-'BRAWLERS OFICIAL'!V20)/($BN20/5)</f>
        <v>0.73660714285714302</v>
      </c>
      <c r="W20" s="80">
        <f>((0 + 'BRAWLERS OFICIAL'!W20)-'BRAWLERS OFICIAL'!W20)/($BN20/5)</f>
        <v>0</v>
      </c>
      <c r="X20" s="80">
        <f>(((0)/3 + 'BRAWLERS OFICIAL'!X20)-'BRAWLERS OFICIAL'!X20)</f>
        <v>0</v>
      </c>
      <c r="Y20" s="80">
        <f>((0 + 'BRAWLERS OFICIAL'!Y20)-'BRAWLERS OFICIAL'!Y20)/($BN20/5)</f>
        <v>0</v>
      </c>
      <c r="Z20" s="80">
        <f>((0 + 'BRAWLERS OFICIAL'!Z20)-'BRAWLERS OFICIAL'!Z20)/($BN20/5)</f>
        <v>0</v>
      </c>
      <c r="AA20" s="80">
        <f>(((0)/4 + 'BRAWLERS OFICIAL'!AA20)-'BRAWLERS OFICIAL'!AA20)/($BN20/5)</f>
        <v>0</v>
      </c>
      <c r="AB20" s="80">
        <f>((0 + 'BRAWLERS OFICIAL'!AB20)-'BRAWLERS OFICIAL'!AB20)/($BN20/5)</f>
        <v>0</v>
      </c>
      <c r="AC20" s="80">
        <f>((0 + 'BRAWLERS OFICIAL'!AC20)-'BRAWLERS OFICIAL'!AC20)/($BN20/5)</f>
        <v>0</v>
      </c>
      <c r="AD20" s="80">
        <f>((0 + 'BRAWLERS OFICIAL'!AD20)-'BRAWLERS OFICIAL'!AD20)/($BN20/5)</f>
        <v>0</v>
      </c>
      <c r="AE20" s="80">
        <f>((0 + 'BRAWLERS OFICIAL'!AE20)-'BRAWLERS OFICIAL'!AE20)</f>
        <v>0</v>
      </c>
      <c r="AF20" s="80">
        <f>((0 + 'BRAWLERS OFICIAL'!AF20)-'BRAWLERS OFICIAL'!AF20)</f>
        <v>0</v>
      </c>
      <c r="AG20" s="80">
        <f>((0 + 'BRAWLERS OFICIAL'!AG20)-'BRAWLERS OFICIAL'!AG20)</f>
        <v>0</v>
      </c>
      <c r="AH20" s="80">
        <f>((0 + 'BRAWLERS OFICIAL'!AH20)-'BRAWLERS OFICIAL'!AH20)/($BN20/5)</f>
        <v>0</v>
      </c>
      <c r="AI20" s="80">
        <f>((4 + 'BRAWLERS OFICIAL'!AI20)-'BRAWLERS OFICIAL'!AI20)/($BN20/5)</f>
        <v>2.5</v>
      </c>
      <c r="AJ20" s="80">
        <f>(((BH20/5+1)*AI20 + 'BRAWLERS OFICIAL'!AJ20)-'BRAWLERS OFICIAL'!AJ20)/($BN20/5)</f>
        <v>1.5625</v>
      </c>
      <c r="AK20" s="80">
        <f>IF( 0 = (1-1), (1-1), ((0 + 'BRAWLERS OFICIAL'!AK20)/1.5)-'BRAWLERS OFICIAL'!AK20 )</f>
        <v>0</v>
      </c>
      <c r="AL20" s="80">
        <f t="shared" si="0"/>
        <v>0</v>
      </c>
      <c r="AM20" s="80">
        <f>((0 + 'BRAWLERS OFICIAL'!AM20)-'BRAWLERS OFICIAL'!AM20)/($BN20/5)</f>
        <v>0</v>
      </c>
      <c r="AN20" s="80">
        <f>((0/1000 + 'BRAWLERS OFICIAL'!AN20)-'BRAWLERS OFICIAL'!AN20)</f>
        <v>0</v>
      </c>
      <c r="AO20" s="80">
        <f>((0 + 'BRAWLERS OFICIAL'!AO20)-'BRAWLERS OFICIAL'!AO20)</f>
        <v>0</v>
      </c>
      <c r="AP20" s="80">
        <f>IF( 0 = (1-1), (1-1), ((0 + 'BRAWLERS OFICIAL'!AP20)/1.5) )</f>
        <v>0</v>
      </c>
      <c r="AQ20" s="80">
        <f>IF( 0 = (1-1), (1-1), ((0 + 'BRAWLERS OFICIAL'!AQ20)/1.5) )</f>
        <v>0</v>
      </c>
      <c r="AR20" s="80">
        <f>IF( 0 = (1-1), (1-1), ((0 + 'BRAWLERS OFICIAL'!AR20)/2) )</f>
        <v>0</v>
      </c>
      <c r="AS20" s="80">
        <f>((0 + 'BRAWLERS OFICIAL'!AS20)-'BRAWLERS OFICIAL'!AS20)/($BN20/5)</f>
        <v>0</v>
      </c>
      <c r="AT20" s="80">
        <f>(((0)/4 + 'BRAWLERS OFICIAL'!AT20)-'BRAWLERS OFICIAL'!AT20)</f>
        <v>0</v>
      </c>
      <c r="AU20" s="80">
        <v>2.5</v>
      </c>
      <c r="AV20" s="79">
        <f>((( 0 )/3 + 'BRAWLERS OFICIAL'!AV20)-'BRAWLERS OFICIAL'!AV20)</f>
        <v>0</v>
      </c>
      <c r="AW20" s="79">
        <f>((( 0 )/2 + 'BRAWLERS OFICIAL'!AW20)-'BRAWLERS OFICIAL'!AW20)/($BN20/5)</f>
        <v>0</v>
      </c>
      <c r="AX20" s="79">
        <f>((( 0 )/2 + 'BRAWLERS OFICIAL'!AX20)-'BRAWLERS OFICIAL'!AX20)</f>
        <v>0</v>
      </c>
      <c r="AY20" s="79">
        <f>((( 0 )/3 + 'BRAWLERS OFICIAL'!AY20)-'BRAWLERS OFICIAL'!AY20)</f>
        <v>0</v>
      </c>
      <c r="AZ20" s="79">
        <f>((( 0 )/2 + 'BRAWLERS OFICIAL'!AZ20)-'BRAWLERS OFICIAL'!AZ20)/($BN20/5)</f>
        <v>0</v>
      </c>
      <c r="BA20" s="79">
        <f>((( 0 )/3 + 'BRAWLERS OFICIAL'!BA20)-'BRAWLERS OFICIAL'!BA20)</f>
        <v>0</v>
      </c>
      <c r="BB20" s="79">
        <f>((( 0 )/3 + 'BRAWLERS OFICIAL'!BB20)-'BRAWLERS OFICIAL'!BB20)</f>
        <v>0</v>
      </c>
      <c r="BC20" s="79">
        <f>((0 + 'BRAWLERS OFICIAL'!BC20)-'BRAWLERS OFICIAL'!BC20)/($BN20/5)</f>
        <v>0</v>
      </c>
      <c r="BD20" s="79">
        <f>((0 + 'BRAWLERS OFICIAL'!BD20)-'BRAWLERS OFICIAL'!BD20)/($BN20/5)</f>
        <v>0</v>
      </c>
      <c r="BE20" s="79">
        <f>((( 0 )/2 + 'BRAWLERS OFICIAL'!BE20)-'BRAWLERS OFICIAL'!BE20)</f>
        <v>0</v>
      </c>
      <c r="BF20" s="79">
        <f>((0 + 'BRAWLERS OFICIAL'!BF20)-'BRAWLERS OFICIAL'!BF20)/($BN20/5)</f>
        <v>0</v>
      </c>
      <c r="BG20" s="79">
        <f>((( 0 )/2 + 'BRAWLERS OFICIAL'!BG20)-'BRAWLERS OFICIAL'!BG20)</f>
        <v>0</v>
      </c>
      <c r="BH20" s="79">
        <f>((( 0 )/3 + 'BRAWLERS OFICIAL'!BH20)-'BRAWLERS OFICIAL'!BH20)</f>
        <v>0</v>
      </c>
      <c r="BI20" s="79">
        <f>((( 0 )/2 + 'BRAWLERS OFICIAL'!BI20)-'BRAWLERS OFICIAL'!BI20)</f>
        <v>0</v>
      </c>
      <c r="BJ20" s="79">
        <f>((0 + 'BRAWLERS OFICIAL'!BJ20)-'BRAWLERS OFICIAL'!BJ20)/($BN20/5)</f>
        <v>0</v>
      </c>
      <c r="BK20" s="79">
        <f>((0 + 'BRAWLERS OFICIAL'!BK20)-'BRAWLERS OFICIAL'!BK20)/($BN20/5)</f>
        <v>0</v>
      </c>
      <c r="BL20" s="79">
        <f>((0 + 'BRAWLERS OFICIAL'!BL20)-'BRAWLERS OFICIAL'!BL20)/($BN20/5)</f>
        <v>0</v>
      </c>
      <c r="BN20" s="79">
        <v>8</v>
      </c>
    </row>
    <row r="21" spans="2:66">
      <c r="C21" t="s">
        <v>390</v>
      </c>
    </row>
    <row r="22" spans="2:66">
      <c r="B22" t="s">
        <v>414</v>
      </c>
      <c r="C22" t="s">
        <v>415</v>
      </c>
    </row>
  </sheetData>
  <conditionalFormatting sqref="U3:U20 AU3:AU20">
    <cfRule type="cellIs" dxfId="25" priority="31" operator="greaterThan">
      <formula>0</formula>
    </cfRule>
  </conditionalFormatting>
  <conditionalFormatting sqref="BN3:BN20">
    <cfRule type="cellIs" dxfId="24" priority="27" operator="greaterThan">
      <formula>0</formula>
    </cfRule>
  </conditionalFormatting>
  <conditionalFormatting sqref="D3:T20">
    <cfRule type="cellIs" dxfId="23" priority="26" operator="greaterThan">
      <formula>0</formula>
    </cfRule>
  </conditionalFormatting>
  <conditionalFormatting sqref="AS6:AS7 X6:AD8 AS9:AS20 Y3:Z5 AB3:AI3 Y9:Z20 AB9:AD20 W3:W12 AB4:AD5 AE4:AI20">
    <cfRule type="cellIs" dxfId="22" priority="25" operator="greaterThan">
      <formula>0</formula>
    </cfRule>
  </conditionalFormatting>
  <conditionalFormatting sqref="W13:W20">
    <cfRule type="cellIs" dxfId="21" priority="21" operator="greaterThan">
      <formula>0</formula>
    </cfRule>
  </conditionalFormatting>
  <conditionalFormatting sqref="AV6 BJ6">
    <cfRule type="cellIs" dxfId="20" priority="20" operator="greaterThan">
      <formula>0</formula>
    </cfRule>
  </conditionalFormatting>
  <conditionalFormatting sqref="AJ3:AJ20">
    <cfRule type="cellIs" dxfId="19" priority="19" operator="greaterThan">
      <formula>0</formula>
    </cfRule>
  </conditionalFormatting>
  <conditionalFormatting sqref="V3 V5:V20">
    <cfRule type="cellIs" dxfId="18" priority="14" operator="greaterThan">
      <formula>0</formula>
    </cfRule>
  </conditionalFormatting>
  <conditionalFormatting sqref="AS8">
    <cfRule type="cellIs" dxfId="17" priority="13" operator="greaterThan">
      <formula>0</formula>
    </cfRule>
  </conditionalFormatting>
  <conditionalFormatting sqref="AL3:AT3 AL4:AR20 AS4:AT5 AT6:AT20">
    <cfRule type="cellIs" dxfId="16" priority="12" operator="greaterThan">
      <formula>0</formula>
    </cfRule>
  </conditionalFormatting>
  <conditionalFormatting sqref="V4">
    <cfRule type="cellIs" dxfId="15" priority="10" operator="greaterThan">
      <formula>0</formula>
    </cfRule>
  </conditionalFormatting>
  <conditionalFormatting sqref="X3:X5">
    <cfRule type="cellIs" dxfId="14" priority="9" operator="greaterThan">
      <formula>0</formula>
    </cfRule>
  </conditionalFormatting>
  <conditionalFormatting sqref="X9:X20">
    <cfRule type="cellIs" dxfId="13" priority="8" operator="greaterThan">
      <formula>0</formula>
    </cfRule>
  </conditionalFormatting>
  <conditionalFormatting sqref="AA3:AA5">
    <cfRule type="cellIs" dxfId="12" priority="7" operator="greaterThan">
      <formula>0</formula>
    </cfRule>
  </conditionalFormatting>
  <conditionalFormatting sqref="AA9:AA20">
    <cfRule type="cellIs" dxfId="11" priority="6" operator="greaterThan">
      <formula>0</formula>
    </cfRule>
  </conditionalFormatting>
  <conditionalFormatting sqref="BC7:BL7 AV7:AZ20 BB3:BB7 BB8:BL20">
    <cfRule type="cellIs" dxfId="10" priority="5" operator="greaterThan">
      <formula>0</formula>
    </cfRule>
  </conditionalFormatting>
  <conditionalFormatting sqref="AV3:AZ5 AW6:AZ6 BK6:BL6 BC6:BI6 BC3:BL5">
    <cfRule type="cellIs" dxfId="9" priority="4" operator="greaterThan">
      <formula>0</formula>
    </cfRule>
  </conditionalFormatting>
  <conditionalFormatting sqref="BA3:BA20">
    <cfRule type="cellIs" dxfId="8" priority="3" operator="greaterThan">
      <formula>0</formula>
    </cfRule>
  </conditionalFormatting>
  <conditionalFormatting sqref="AK3:AK20">
    <cfRule type="cellIs" dxfId="7" priority="1" operator="greaterThan">
      <formula>0</formula>
    </cfRule>
  </conditionalFormatting>
  <dataValidations count="1">
    <dataValidation allowBlank="1" showInputMessage="1" showErrorMessage="1" sqref="B2:B20" xr:uid="{47D2209A-F2D0-445E-B105-9B848B9E3A54}"/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AEDBF-B95D-454B-A976-41FF9398BDA0}">
  <dimension ref="A1:BN23"/>
  <sheetViews>
    <sheetView workbookViewId="0">
      <pane xSplit="3" topLeftCell="D1" activePane="topRight" state="frozen"/>
      <selection pane="topRight" activeCell="B2" sqref="B2"/>
    </sheetView>
  </sheetViews>
  <sheetFormatPr defaultRowHeight="15"/>
  <cols>
    <col min="1" max="1" width="9.140625" style="96"/>
    <col min="2" max="2" width="23.7109375" bestFit="1" customWidth="1"/>
  </cols>
  <sheetData>
    <row r="1" spans="1:66" s="125" customFormat="1">
      <c r="A1" s="124"/>
      <c r="X1" s="125" t="s">
        <v>394</v>
      </c>
      <c r="Z1" s="125" t="s">
        <v>394</v>
      </c>
      <c r="AE1" s="125" t="s">
        <v>394</v>
      </c>
      <c r="AF1" s="125" t="s">
        <v>394</v>
      </c>
      <c r="AG1" s="125" t="s">
        <v>394</v>
      </c>
      <c r="AK1" s="125" t="s">
        <v>394</v>
      </c>
      <c r="AL1" s="125" t="s">
        <v>394</v>
      </c>
      <c r="AN1" s="125" t="s">
        <v>394</v>
      </c>
      <c r="AO1" s="125" t="s">
        <v>394</v>
      </c>
      <c r="AP1" s="125" t="s">
        <v>394</v>
      </c>
      <c r="AQ1" s="125" t="s">
        <v>394</v>
      </c>
      <c r="AR1" s="125" t="s">
        <v>394</v>
      </c>
      <c r="AT1" s="125" t="s">
        <v>394</v>
      </c>
      <c r="AV1" s="125" t="s">
        <v>394</v>
      </c>
      <c r="AX1" s="125" t="s">
        <v>394</v>
      </c>
      <c r="AY1" s="125" t="s">
        <v>394</v>
      </c>
      <c r="BA1" s="125" t="s">
        <v>394</v>
      </c>
      <c r="BB1" s="125" t="s">
        <v>394</v>
      </c>
      <c r="BE1" s="125" t="s">
        <v>394</v>
      </c>
      <c r="BG1" s="125" t="s">
        <v>394</v>
      </c>
      <c r="BH1" s="125" t="s">
        <v>394</v>
      </c>
      <c r="BI1" s="125" t="s">
        <v>394</v>
      </c>
    </row>
    <row r="2" spans="1:66">
      <c r="B2" s="95" t="s">
        <v>395</v>
      </c>
      <c r="C2" s="95" t="s">
        <v>302</v>
      </c>
      <c r="D2" s="118" t="s">
        <v>303</v>
      </c>
      <c r="E2" s="118" t="s">
        <v>304</v>
      </c>
      <c r="F2" s="118" t="s">
        <v>305</v>
      </c>
      <c r="G2" s="118" t="s">
        <v>306</v>
      </c>
      <c r="H2" s="118" t="s">
        <v>307</v>
      </c>
      <c r="I2" s="118" t="s">
        <v>308</v>
      </c>
      <c r="J2" s="118" t="s">
        <v>309</v>
      </c>
      <c r="K2" s="118" t="s">
        <v>310</v>
      </c>
      <c r="L2" s="118" t="s">
        <v>311</v>
      </c>
      <c r="M2" s="118" t="s">
        <v>312</v>
      </c>
      <c r="N2" s="118" t="s">
        <v>313</v>
      </c>
      <c r="O2" s="118" t="s">
        <v>314</v>
      </c>
      <c r="P2" s="118" t="s">
        <v>315</v>
      </c>
      <c r="Q2" s="118" t="s">
        <v>316</v>
      </c>
      <c r="R2" s="118" t="s">
        <v>317</v>
      </c>
      <c r="S2" s="118" t="s">
        <v>318</v>
      </c>
      <c r="T2" s="118" t="s">
        <v>319</v>
      </c>
      <c r="U2" s="118" t="s">
        <v>320</v>
      </c>
      <c r="V2" s="95" t="s">
        <v>321</v>
      </c>
      <c r="W2" s="95" t="s">
        <v>322</v>
      </c>
      <c r="X2" s="95" t="s">
        <v>323</v>
      </c>
      <c r="Y2" s="95" t="s">
        <v>324</v>
      </c>
      <c r="Z2" s="95" t="s">
        <v>325</v>
      </c>
      <c r="AA2" s="95" t="s">
        <v>326</v>
      </c>
      <c r="AB2" s="95" t="s">
        <v>327</v>
      </c>
      <c r="AC2" s="95" t="s">
        <v>328</v>
      </c>
      <c r="AD2" s="95" t="s">
        <v>329</v>
      </c>
      <c r="AE2" s="95" t="s">
        <v>330</v>
      </c>
      <c r="AF2" s="95" t="s">
        <v>331</v>
      </c>
      <c r="AG2" s="118" t="s">
        <v>332</v>
      </c>
      <c r="AH2" s="118" t="s">
        <v>333</v>
      </c>
      <c r="AI2" s="118" t="s">
        <v>334</v>
      </c>
      <c r="AJ2" s="95" t="s">
        <v>335</v>
      </c>
      <c r="AK2" s="118" t="s">
        <v>336</v>
      </c>
      <c r="AL2" s="118" t="s">
        <v>337</v>
      </c>
      <c r="AM2" s="118" t="s">
        <v>338</v>
      </c>
      <c r="AN2" s="118" t="s">
        <v>339</v>
      </c>
      <c r="AO2" s="118" t="s">
        <v>340</v>
      </c>
      <c r="AP2" s="118" t="s">
        <v>341</v>
      </c>
      <c r="AQ2" s="118" t="s">
        <v>342</v>
      </c>
      <c r="AR2" s="118" t="s">
        <v>343</v>
      </c>
      <c r="AS2" s="118" t="s">
        <v>344</v>
      </c>
      <c r="AT2" s="118" t="s">
        <v>345</v>
      </c>
      <c r="AU2" s="118" t="s">
        <v>346</v>
      </c>
      <c r="AV2" s="95" t="s">
        <v>347</v>
      </c>
      <c r="AW2" s="95" t="s">
        <v>348</v>
      </c>
      <c r="AX2" s="118" t="s">
        <v>349</v>
      </c>
      <c r="AY2" s="95" t="s">
        <v>350</v>
      </c>
      <c r="AZ2" s="95" t="s">
        <v>351</v>
      </c>
      <c r="BA2" s="95" t="s">
        <v>352</v>
      </c>
      <c r="BB2" s="95" t="s">
        <v>353</v>
      </c>
      <c r="BC2" s="95" t="s">
        <v>354</v>
      </c>
      <c r="BD2" s="119" t="s">
        <v>355</v>
      </c>
      <c r="BE2" s="95" t="s">
        <v>356</v>
      </c>
      <c r="BF2" s="95" t="s">
        <v>357</v>
      </c>
      <c r="BG2" s="118" t="s">
        <v>358</v>
      </c>
      <c r="BH2" s="118" t="s">
        <v>359</v>
      </c>
      <c r="BI2" s="95" t="s">
        <v>360</v>
      </c>
      <c r="BJ2" s="95" t="s">
        <v>361</v>
      </c>
      <c r="BK2" s="118" t="s">
        <v>362</v>
      </c>
      <c r="BL2" s="95" t="s">
        <v>363</v>
      </c>
      <c r="BN2" s="95" t="s">
        <v>433</v>
      </c>
    </row>
    <row r="3" spans="1:66">
      <c r="B3" s="97" t="s">
        <v>434</v>
      </c>
      <c r="C3" s="70" t="s">
        <v>78</v>
      </c>
      <c r="D3" s="100">
        <f>((0 + 'BRAWLERS OFICIAL'!D3)-'BRAWLERS OFICIAL'!D3)</f>
        <v>0</v>
      </c>
      <c r="E3" s="100">
        <f>((0 + 'BRAWLERS OFICIAL'!E3)-'BRAWLERS OFICIAL'!E3)</f>
        <v>0</v>
      </c>
      <c r="F3" s="100">
        <f>((0 + 'BRAWLERS OFICIAL'!F3)-'BRAWLERS OFICIAL'!F3)</f>
        <v>0</v>
      </c>
      <c r="G3" s="100">
        <f>((0 + 'BRAWLERS OFICIAL'!G3)-'BRAWLERS OFICIAL'!G3)</f>
        <v>0</v>
      </c>
      <c r="H3" s="100">
        <f>((0 + 'BRAWLERS OFICIAL'!H3)-'BRAWLERS OFICIAL'!H3)</f>
        <v>0</v>
      </c>
      <c r="I3" s="100">
        <f>((0 + 'BRAWLERS OFICIAL'!I3)-'BRAWLERS OFICIAL'!I3)</f>
        <v>0</v>
      </c>
      <c r="J3" s="100">
        <f>((0 + 'BRAWLERS OFICIAL'!J3)-'BRAWLERS OFICIAL'!J3)</f>
        <v>0</v>
      </c>
      <c r="K3" s="100">
        <f>((0 + 'BRAWLERS OFICIAL'!K3)-'BRAWLERS OFICIAL'!K3)</f>
        <v>0</v>
      </c>
      <c r="L3" s="100">
        <f>((0 + 'BRAWLERS OFICIAL'!L3)-'BRAWLERS OFICIAL'!L3)</f>
        <v>0</v>
      </c>
      <c r="M3" s="100">
        <f>((0 + 'BRAWLERS OFICIAL'!M3)-'BRAWLERS OFICIAL'!M3)</f>
        <v>0</v>
      </c>
      <c r="N3" s="100">
        <f>((0 + 'BRAWLERS OFICIAL'!N3)-'BRAWLERS OFICIAL'!N3)</f>
        <v>0</v>
      </c>
      <c r="O3" s="100">
        <f>((0 + 'BRAWLERS OFICIAL'!O3)-'BRAWLERS OFICIAL'!O3)</f>
        <v>0</v>
      </c>
      <c r="P3" s="100">
        <f>((500 + 'BRAWLERS OFICIAL'!P3)-'BRAWLERS OFICIAL'!P3)</f>
        <v>500</v>
      </c>
      <c r="Q3" s="100">
        <f>((1250 + 'BRAWLERS OFICIAL'!Q3)-'BRAWLERS OFICIAL'!Q3)</f>
        <v>1250</v>
      </c>
      <c r="R3" s="100">
        <f>((2000 + 'BRAWLERS OFICIAL'!R3)-'BRAWLERS OFICIAL'!R3)</f>
        <v>2000</v>
      </c>
      <c r="S3" s="100">
        <f>((2000 + 'BRAWLERS OFICIAL'!S3)-'BRAWLERS OFICIAL'!S3)</f>
        <v>2000</v>
      </c>
      <c r="T3" s="100">
        <f>((0 + 'BRAWLERS OFICIAL'!T3)-'BRAWLERS OFICIAL'!T3)/($BN3)</f>
        <v>0</v>
      </c>
      <c r="U3" s="100">
        <f>(0 + 'BRAWLERS OFICIAL'!U3)-'BRAWLERS OFICIAL'!U3</f>
        <v>0</v>
      </c>
      <c r="V3" s="103">
        <f>(( 0 + 'BRAWLERS OFICIAL'!V3 + AN3 + AV3/3.5 )-'BRAWLERS OFICIAL'!V3)/($BN3)</f>
        <v>0</v>
      </c>
      <c r="W3" s="101">
        <f>((0 + 'BRAWLERS OFICIAL'!W3)-'BRAWLERS OFICIAL'!W3)/($BN3)</f>
        <v>0</v>
      </c>
      <c r="X3" s="101">
        <f>(((0)/3 + 'BRAWLERS OFICIAL'!X3)-'BRAWLERS OFICIAL'!X3)</f>
        <v>0</v>
      </c>
      <c r="Y3" s="101">
        <f>((0 + 'BRAWLERS OFICIAL'!Y3)-'BRAWLERS OFICIAL'!Y3)/($BN3)</f>
        <v>0</v>
      </c>
      <c r="Z3" s="101">
        <f>((0 + 'BRAWLERS OFICIAL'!Z3)-'BRAWLERS OFICIAL'!Z3)</f>
        <v>0</v>
      </c>
      <c r="AA3" s="101">
        <f>(((0)/4 + 'BRAWLERS OFICIAL'!AA3)-'BRAWLERS OFICIAL'!AA3)/($BN3)</f>
        <v>0</v>
      </c>
      <c r="AB3" s="101">
        <f>((0 + 'BRAWLERS OFICIAL'!AB3)-'BRAWLERS OFICIAL'!AB3)/($BN3)</f>
        <v>0</v>
      </c>
      <c r="AC3" s="101">
        <f>((0 + 'BRAWLERS OFICIAL'!AC3)-'BRAWLERS OFICIAL'!AC3)/($BN3)</f>
        <v>0</v>
      </c>
      <c r="AD3" s="101">
        <f>((0 + 'BRAWLERS OFICIAL'!AD3)-'BRAWLERS OFICIAL'!AD3)/($BN3)</f>
        <v>0</v>
      </c>
      <c r="AE3" s="101">
        <f>((0 + 'BRAWLERS OFICIAL'!AE3)-'BRAWLERS OFICIAL'!AE3)</f>
        <v>0</v>
      </c>
      <c r="AF3" s="101">
        <f>((0 + 'BRAWLERS OFICIAL'!AF3)-'BRAWLERS OFICIAL'!AF3)</f>
        <v>0</v>
      </c>
      <c r="AG3" s="101">
        <f>((0 + 'BRAWLERS OFICIAL'!AG3)-'BRAWLERS OFICIAL'!AG3)</f>
        <v>0</v>
      </c>
      <c r="AH3" s="101">
        <f>((0 + 'BRAWLERS OFICIAL'!AH3)-'BRAWLERS OFICIAL'!AH3)/($BN3)</f>
        <v>0</v>
      </c>
      <c r="AI3" s="101">
        <f>((0 + 'BRAWLERS OFICIAL'!AI3)-'BRAWLERS OFICIAL'!AI3)/($BN3)</f>
        <v>0</v>
      </c>
      <c r="AJ3" s="101">
        <f>(((BH3/5+1)*AI3 + 'BRAWLERS OFICIAL'!AJ3)-'BRAWLERS OFICIAL'!AJ3)/($BN3)</f>
        <v>0</v>
      </c>
      <c r="AK3" s="101">
        <f>IF( 0 = (1-1), (1-1), ((0 + 'BRAWLERS OFICIAL'!AK3)/1.5)-'BRAWLERS OFICIAL'!AK3 )</f>
        <v>0</v>
      </c>
      <c r="AL3" s="101">
        <f t="shared" ref="AL3:AL19" si="0">IF( 0 = (1-1), (1-1), ( 0 ) )</f>
        <v>0</v>
      </c>
      <c r="AM3" s="101">
        <f>((0 + 'BRAWLERS OFICIAL'!AM3)-'BRAWLERS OFICIAL'!AM3)/($BN3)</f>
        <v>0</v>
      </c>
      <c r="AN3" s="101">
        <f>((0/1000 + 'BRAWLERS OFICIAL'!AN3)-'BRAWLERS OFICIAL'!AN3)</f>
        <v>0</v>
      </c>
      <c r="AO3" s="101">
        <f>((0 + 'BRAWLERS OFICIAL'!AO3)-'BRAWLERS OFICIAL'!AO3)</f>
        <v>0</v>
      </c>
      <c r="AP3" s="101">
        <f>IF( 0 = (1-1), (1-1), ((0 + 'BRAWLERS OFICIAL'!AP3)/1.5) )</f>
        <v>0</v>
      </c>
      <c r="AQ3" s="101">
        <f>IF( 0 = (1-1), (1-1), ((0 + 'BRAWLERS OFICIAL'!AQ3)/1.5) )</f>
        <v>0</v>
      </c>
      <c r="AR3" s="101">
        <f>IF( 0 = (1-1), (1-1), ((0 + 'BRAWLERS OFICIAL'!AR3)/2) )</f>
        <v>0</v>
      </c>
      <c r="AS3" s="101">
        <f>((0 + 'BRAWLERS OFICIAL'!AS3)-'BRAWLERS OFICIAL'!AS3)/($BN3)</f>
        <v>0</v>
      </c>
      <c r="AT3" s="101">
        <f>(((0)/4 + 'BRAWLERS OFICIAL'!AT3)-'BRAWLERS OFICIAL'!AT3)</f>
        <v>0</v>
      </c>
      <c r="AU3" s="101">
        <v>0</v>
      </c>
      <c r="AV3" s="100">
        <f>((( 0 )/3 + 'BRAWLERS OFICIAL'!AV3)-'BRAWLERS OFICIAL'!AV3)</f>
        <v>0</v>
      </c>
      <c r="AW3" s="100">
        <f>((( 0 )/2 + 'BRAWLERS OFICIAL'!AW3)-'BRAWLERS OFICIAL'!AW3)/($BN3)</f>
        <v>0</v>
      </c>
      <c r="AX3" s="100">
        <f>((( 0 )/2 + 'BRAWLERS OFICIAL'!AX3)-'BRAWLERS OFICIAL'!AX3)</f>
        <v>0</v>
      </c>
      <c r="AY3" s="100">
        <f>((( 0 )/3 + 'BRAWLERS OFICIAL'!AY3)-'BRAWLERS OFICIAL'!AY3)</f>
        <v>0</v>
      </c>
      <c r="AZ3" s="100">
        <f>((( 0 )/2 + 'BRAWLERS OFICIAL'!AZ3)-'BRAWLERS OFICIAL'!AZ3)/($BN3)</f>
        <v>0</v>
      </c>
      <c r="BA3" s="100">
        <f>((( 0 )/3 + 'BRAWLERS OFICIAL'!BA3)-'BRAWLERS OFICIAL'!BA3)</f>
        <v>0</v>
      </c>
      <c r="BB3" s="100">
        <f>((( 0 )/3 + 'BRAWLERS OFICIAL'!BB3)-'BRAWLERS OFICIAL'!BB3)</f>
        <v>0</v>
      </c>
      <c r="BC3" s="100">
        <f>((0 + 'BRAWLERS OFICIAL'!BC3)-'BRAWLERS OFICIAL'!BC3)/($BN3)</f>
        <v>0</v>
      </c>
      <c r="BD3" s="100">
        <f>((0 + 'BRAWLERS OFICIAL'!BD3)-'BRAWLERS OFICIAL'!BD3)/($BN3)</f>
        <v>0</v>
      </c>
      <c r="BE3" s="100">
        <f>((( 0 )/2 + 'BRAWLERS OFICIAL'!BE3)-'BRAWLERS OFICIAL'!BE3)</f>
        <v>0</v>
      </c>
      <c r="BF3" s="100">
        <f>((0 + 'BRAWLERS OFICIAL'!BF3)-'BRAWLERS OFICIAL'!BF3)/($BN3)</f>
        <v>0</v>
      </c>
      <c r="BG3" s="100">
        <f>((( 0 )/2 + 'BRAWLERS OFICIAL'!BG3)-'BRAWLERS OFICIAL'!BG3)</f>
        <v>0</v>
      </c>
      <c r="BH3" s="100">
        <f>((( 0 )/3 + 'BRAWLERS OFICIAL'!BH3)-'BRAWLERS OFICIAL'!BH3)</f>
        <v>0</v>
      </c>
      <c r="BI3" s="100">
        <f>((( 0 )/2 + 'BRAWLERS OFICIAL'!BI3)-'BRAWLERS OFICIAL'!BI3)</f>
        <v>0</v>
      </c>
      <c r="BJ3" s="100">
        <f>((0 + 'BRAWLERS OFICIAL'!BJ3)-'BRAWLERS OFICIAL'!BJ3)/($BN3)</f>
        <v>0</v>
      </c>
      <c r="BK3" s="100">
        <f>((0 + 'BRAWLERS OFICIAL'!BK3)-'BRAWLERS OFICIAL'!BK3)/($BN3)</f>
        <v>0</v>
      </c>
      <c r="BL3" s="100">
        <f>((0 + 'BRAWLERS OFICIAL'!BL3)-'BRAWLERS OFICIAL'!BL3)/($BN3)</f>
        <v>0</v>
      </c>
      <c r="BN3" s="100">
        <f>('BRAWLERS OFICIAL'!D3 / 'BRAWLERS OFICIAL'!H3 / (1 + ('BRAWLERS OFICIAL'!Y3/5)))</f>
        <v>1.1904761904761907</v>
      </c>
    </row>
    <row r="4" spans="1:66">
      <c r="B4" s="97" t="s">
        <v>435</v>
      </c>
      <c r="C4" s="70" t="s">
        <v>10</v>
      </c>
      <c r="D4" s="100">
        <f>((0 + 'BRAWLERS OFICIAL'!D4)-'BRAWLERS OFICIAL'!D4)</f>
        <v>0</v>
      </c>
      <c r="E4" s="100">
        <f>((0 + 'BRAWLERS OFICIAL'!E4)-'BRAWLERS OFICIAL'!E4)</f>
        <v>0</v>
      </c>
      <c r="F4" s="100">
        <f>((0 + 'BRAWLERS OFICIAL'!F4)-'BRAWLERS OFICIAL'!F4)</f>
        <v>0</v>
      </c>
      <c r="G4" s="100">
        <f>((0 + 'BRAWLERS OFICIAL'!G4)-'BRAWLERS OFICIAL'!G4)</f>
        <v>0</v>
      </c>
      <c r="H4" s="100">
        <f>((0 + 'BRAWLERS OFICIAL'!H4)-'BRAWLERS OFICIAL'!H4)</f>
        <v>0</v>
      </c>
      <c r="I4" s="100">
        <f>((0 + 'BRAWLERS OFICIAL'!I4)-'BRAWLERS OFICIAL'!I4)</f>
        <v>0</v>
      </c>
      <c r="J4" s="100">
        <f>((0 + 'BRAWLERS OFICIAL'!J4)-'BRAWLERS OFICIAL'!J4)</f>
        <v>0</v>
      </c>
      <c r="K4" s="100">
        <f>((0 + 'BRAWLERS OFICIAL'!K4)-'BRAWLERS OFICIAL'!K4)</f>
        <v>0</v>
      </c>
      <c r="L4" s="100">
        <f>((0 + 'BRAWLERS OFICIAL'!L4)-'BRAWLERS OFICIAL'!L4)</f>
        <v>0</v>
      </c>
      <c r="M4" s="100">
        <f>((0 + 'BRAWLERS OFICIAL'!M4)-'BRAWLERS OFICIAL'!M4)</f>
        <v>0</v>
      </c>
      <c r="N4" s="100">
        <f>((0 + 'BRAWLERS OFICIAL'!N4)-'BRAWLERS OFICIAL'!N4)</f>
        <v>0</v>
      </c>
      <c r="O4" s="100">
        <f>((0 + 'BRAWLERS OFICIAL'!O4)-'BRAWLERS OFICIAL'!O4)</f>
        <v>0</v>
      </c>
      <c r="P4" s="100">
        <f>((0 + 'BRAWLERS OFICIAL'!P4)-'BRAWLERS OFICIAL'!P4)</f>
        <v>0</v>
      </c>
      <c r="Q4" s="100">
        <f>((0 + 'BRAWLERS OFICIAL'!Q4)-'BRAWLERS OFICIAL'!Q4)</f>
        <v>0</v>
      </c>
      <c r="R4" s="100">
        <f>((0 + 'BRAWLERS OFICIAL'!R4)-'BRAWLERS OFICIAL'!R4)</f>
        <v>0</v>
      </c>
      <c r="S4" s="100">
        <f>((0 + 'BRAWLERS OFICIAL'!S4)-'BRAWLERS OFICIAL'!S4)</f>
        <v>0</v>
      </c>
      <c r="T4" s="100">
        <f>((0 + 'BRAWLERS OFICIAL'!T4)-'BRAWLERS OFICIAL'!T4)/($BN4)</f>
        <v>0</v>
      </c>
      <c r="U4" s="100">
        <f>(0 + 'BRAWLERS OFICIAL'!U4)-'BRAWLERS OFICIAL'!U4</f>
        <v>0</v>
      </c>
      <c r="V4" s="103">
        <f>(( 0 + 'BRAWLERS OFICIAL'!V4 + AN4 + (4 + 7 + 3)/3/3.5 )-'BRAWLERS OFICIAL'!V4)/($BN4)</f>
        <v>0.44444444444444464</v>
      </c>
      <c r="W4" s="101">
        <f>((0 + 'BRAWLERS OFICIAL'!W4)-'BRAWLERS OFICIAL'!W4)/($BN4)</f>
        <v>0</v>
      </c>
      <c r="X4" s="101">
        <f>(((0)/3 + 'BRAWLERS OFICIAL'!X4)-'BRAWLERS OFICIAL'!X4)</f>
        <v>0</v>
      </c>
      <c r="Y4" s="101">
        <f>((0 + 'BRAWLERS OFICIAL'!Y4)-'BRAWLERS OFICIAL'!Y4)/($BN4)</f>
        <v>0</v>
      </c>
      <c r="Z4" s="101">
        <f>((0 + 'BRAWLERS OFICIAL'!Z4)-'BRAWLERS OFICIAL'!Z4)</f>
        <v>0</v>
      </c>
      <c r="AA4" s="101">
        <f>(((0)/4 + 'BRAWLERS OFICIAL'!AA4)-'BRAWLERS OFICIAL'!AA4)/($BN4)</f>
        <v>0</v>
      </c>
      <c r="AB4" s="101">
        <f>((0 + 'BRAWLERS OFICIAL'!AB4)-'BRAWLERS OFICIAL'!AB4)/($BN4)</f>
        <v>0</v>
      </c>
      <c r="AC4" s="101">
        <f>((0 + 'BRAWLERS OFICIAL'!AC4)-'BRAWLERS OFICIAL'!AC4)/($BN4)</f>
        <v>0</v>
      </c>
      <c r="AD4" s="101">
        <f>((0 + 'BRAWLERS OFICIAL'!AD4)-'BRAWLERS OFICIAL'!AD4)/($BN4)</f>
        <v>0</v>
      </c>
      <c r="AE4" s="101">
        <f>((0 + 'BRAWLERS OFICIAL'!AE4)-'BRAWLERS OFICIAL'!AE4)</f>
        <v>0</v>
      </c>
      <c r="AF4" s="101">
        <f>((0 + 'BRAWLERS OFICIAL'!AF4)-'BRAWLERS OFICIAL'!AF4)</f>
        <v>0</v>
      </c>
      <c r="AG4" s="101">
        <f>((0 + 'BRAWLERS OFICIAL'!AG4)-'BRAWLERS OFICIAL'!AG4)</f>
        <v>0</v>
      </c>
      <c r="AH4" s="101">
        <f>((0 + 'BRAWLERS OFICIAL'!AH4)-'BRAWLERS OFICIAL'!AH4)/($BN4)</f>
        <v>0</v>
      </c>
      <c r="AI4" s="101">
        <f>((0 + 'BRAWLERS OFICIAL'!AI4)-'BRAWLERS OFICIAL'!AI4)/($BN4)</f>
        <v>0</v>
      </c>
      <c r="AJ4" s="101">
        <f>(((BH4/5+1)*AI4 + 'BRAWLERS OFICIAL'!AJ4)-'BRAWLERS OFICIAL'!AJ4)/($BN4)</f>
        <v>0</v>
      </c>
      <c r="AK4" s="101">
        <f>IF( 0 = (1-1), (1-1), ((0 + 'BRAWLERS OFICIAL'!AK4)/1.5)-'BRAWLERS OFICIAL'!AK4 )</f>
        <v>0</v>
      </c>
      <c r="AL4" s="101">
        <f t="shared" si="0"/>
        <v>0</v>
      </c>
      <c r="AM4" s="101">
        <f>((0 + 'BRAWLERS OFICIAL'!AM4)-'BRAWLERS OFICIAL'!AM4)/($BN4)</f>
        <v>0</v>
      </c>
      <c r="AN4" s="101">
        <f>((0/1000 + 'BRAWLERS OFICIAL'!AN4)-'BRAWLERS OFICIAL'!AN4)</f>
        <v>0</v>
      </c>
      <c r="AO4" s="101">
        <f>((0 + 'BRAWLERS OFICIAL'!AO4)-'BRAWLERS OFICIAL'!AO4)</f>
        <v>0</v>
      </c>
      <c r="AP4" s="101">
        <f>IF( 0 = (1-1), (1-1), ((0 + 'BRAWLERS OFICIAL'!AP4)/1.5) )</f>
        <v>0</v>
      </c>
      <c r="AQ4" s="101">
        <f>IF( 0 = (1-1), (1-1), ((0 + 'BRAWLERS OFICIAL'!AQ4)/1.5) )</f>
        <v>0</v>
      </c>
      <c r="AR4" s="101">
        <f>IF( 0 = (1-1), (1-1), ((0 + 'BRAWLERS OFICIAL'!AR4)/2) )</f>
        <v>0</v>
      </c>
      <c r="AS4" s="101">
        <f>((0 + 'BRAWLERS OFICIAL'!AS4)-'BRAWLERS OFICIAL'!AS4)/($BN4)</f>
        <v>0</v>
      </c>
      <c r="AT4" s="101">
        <f>(((0)/4 + 'BRAWLERS OFICIAL'!AT4)-'BRAWLERS OFICIAL'!AT4)</f>
        <v>0</v>
      </c>
      <c r="AU4" s="101">
        <v>0</v>
      </c>
      <c r="AV4" s="100">
        <f>((( 0 )/3 + 'BRAWLERS OFICIAL'!AV4)-'BRAWLERS OFICIAL'!AV4)</f>
        <v>0</v>
      </c>
      <c r="AW4" s="100">
        <f>((( 0 )/2 + 'BRAWLERS OFICIAL'!AW4)-'BRAWLERS OFICIAL'!AW4)/($BN4)</f>
        <v>0</v>
      </c>
      <c r="AX4" s="100">
        <f>((( 0 )/2 + 'BRAWLERS OFICIAL'!AX4)-'BRAWLERS OFICIAL'!AX4)</f>
        <v>0</v>
      </c>
      <c r="AY4" s="100">
        <f>((( 0 )/3 + 'BRAWLERS OFICIAL'!AY4)-'BRAWLERS OFICIAL'!AY4)</f>
        <v>0</v>
      </c>
      <c r="AZ4" s="100">
        <f>((( 0 )/2 + 'BRAWLERS OFICIAL'!AZ4)-'BRAWLERS OFICIAL'!AZ4)/($BN4)</f>
        <v>0</v>
      </c>
      <c r="BA4" s="100">
        <f>((( 0 )/3 + 'BRAWLERS OFICIAL'!BA4)-'BRAWLERS OFICIAL'!BA4)</f>
        <v>0</v>
      </c>
      <c r="BB4" s="100">
        <f>((( 0 )/3 + 'BRAWLERS OFICIAL'!BB4)-'BRAWLERS OFICIAL'!BB4)</f>
        <v>0</v>
      </c>
      <c r="BC4" s="100">
        <f>((0 + 'BRAWLERS OFICIAL'!BC4)-'BRAWLERS OFICIAL'!BC4)/($BN4)</f>
        <v>0</v>
      </c>
      <c r="BD4" s="100">
        <f>((0 + 'BRAWLERS OFICIAL'!BD4)-'BRAWLERS OFICIAL'!BD4)/($BN4)</f>
        <v>0</v>
      </c>
      <c r="BE4" s="100">
        <f>((( 0 )/2 + 'BRAWLERS OFICIAL'!BE4)-'BRAWLERS OFICIAL'!BE4)</f>
        <v>0</v>
      </c>
      <c r="BF4" s="100">
        <f>((0 + 'BRAWLERS OFICIAL'!BF4)-'BRAWLERS OFICIAL'!BF4)/($BN4)</f>
        <v>0</v>
      </c>
      <c r="BG4" s="100">
        <f>((( 0 )/2 + 'BRAWLERS OFICIAL'!BG4)-'BRAWLERS OFICIAL'!BG4)</f>
        <v>0</v>
      </c>
      <c r="BH4" s="100">
        <f>((( 0 )/3 + 'BRAWLERS OFICIAL'!BH4)-'BRAWLERS OFICIAL'!BH4)</f>
        <v>0</v>
      </c>
      <c r="BI4" s="100">
        <f>((( 0 )/2 + 'BRAWLERS OFICIAL'!BI4)-'BRAWLERS OFICIAL'!BI4)</f>
        <v>0</v>
      </c>
      <c r="BJ4" s="100">
        <f>((0 + 'BRAWLERS OFICIAL'!BJ4)-'BRAWLERS OFICIAL'!BJ4)/($BN4)</f>
        <v>0</v>
      </c>
      <c r="BK4" s="100">
        <f>((0 + 'BRAWLERS OFICIAL'!BK4)-'BRAWLERS OFICIAL'!BK4)/($BN4)</f>
        <v>0</v>
      </c>
      <c r="BL4" s="100">
        <f>((0 + 'BRAWLERS OFICIAL'!BL4)-'BRAWLERS OFICIAL'!BL4)/($BN4)</f>
        <v>0</v>
      </c>
      <c r="BN4" s="100">
        <f>('BRAWLERS OFICIAL'!D4 / 'BRAWLERS OFICIAL'!H4 / (1 + ('BRAWLERS OFICIAL'!Y4/5)))</f>
        <v>3</v>
      </c>
    </row>
    <row r="5" spans="1:66">
      <c r="B5" s="97" t="s">
        <v>436</v>
      </c>
      <c r="C5" s="98" t="s">
        <v>88</v>
      </c>
      <c r="D5" s="100">
        <f>((0 + 'BRAWLERS OFICIAL'!D5)-'BRAWLERS OFICIAL'!D5)</f>
        <v>0</v>
      </c>
      <c r="E5" s="100">
        <f>((0 + 'BRAWLERS OFICIAL'!E5)-'BRAWLERS OFICIAL'!E5)</f>
        <v>0</v>
      </c>
      <c r="F5" s="100">
        <f>((0 + 'BRAWLERS OFICIAL'!F5)-'BRAWLERS OFICIAL'!F5)</f>
        <v>0</v>
      </c>
      <c r="G5" s="100">
        <f>((0 + 'BRAWLERS OFICIAL'!G5)-'BRAWLERS OFICIAL'!G5)</f>
        <v>0</v>
      </c>
      <c r="H5" s="100">
        <f>(('BRAWLERS OFICIAL'!H5/2.5 + 'BRAWLERS OFICIAL'!H5)-'BRAWLERS OFICIAL'!H5)</f>
        <v>2</v>
      </c>
      <c r="I5" s="100">
        <f>((0 + 'BRAWLERS OFICIAL'!I5)-'BRAWLERS OFICIAL'!I5)</f>
        <v>0</v>
      </c>
      <c r="J5" s="100">
        <f>(('BRAWLERS OFICIAL'!J5/2.5/2 + 'BRAWLERS OFICIAL'!J5)-'BRAWLERS OFICIAL'!J5)</f>
        <v>0.79999999999999982</v>
      </c>
      <c r="K5" s="100">
        <f>(('BRAWLERS OFICIAL'!K5/2.5 + 'BRAWLERS OFICIAL'!K5)-'BRAWLERS OFICIAL'!K5)</f>
        <v>0.79999999999999982</v>
      </c>
      <c r="L5" s="100">
        <f>(('BRAWLERS OFICIAL'!L5/2.5 + 'BRAWLERS OFICIAL'!L5)-'BRAWLERS OFICIAL'!L5)</f>
        <v>0.32000000000000006</v>
      </c>
      <c r="M5" s="100">
        <f>((0 + 'BRAWLERS OFICIAL'!M5)-'BRAWLERS OFICIAL'!M5)</f>
        <v>0</v>
      </c>
      <c r="N5" s="100">
        <f>((0 + 'BRAWLERS OFICIAL'!N5)-'BRAWLERS OFICIAL'!N5)</f>
        <v>0</v>
      </c>
      <c r="O5" s="100">
        <f>((0 + 'BRAWLERS OFICIAL'!O5)-'BRAWLERS OFICIAL'!O5)</f>
        <v>0</v>
      </c>
      <c r="P5" s="100">
        <f>(('BRAWLERS OFICIAL'!P5/720*240/2 + 'BRAWLERS OFICIAL'!P5)-'BRAWLERS OFICIAL'!P5)</f>
        <v>1080</v>
      </c>
      <c r="Q5" s="100">
        <f>(('BRAWLERS OFICIAL'!Q5/720*240 + 'BRAWLERS OFICIAL'!Q5)-'BRAWLERS OFICIAL'!Q5)</f>
        <v>1440</v>
      </c>
      <c r="R5" s="100">
        <f>(('BRAWLERS OFICIAL'!R5/720*240 + 'BRAWLERS OFICIAL'!R5)-'BRAWLERS OFICIAL'!R5)</f>
        <v>720</v>
      </c>
      <c r="S5" s="100">
        <f>(('BRAWLERS OFICIAL'!S5/720*240 + 'BRAWLERS OFICIAL'!S5)-'BRAWLERS OFICIAL'!S5)</f>
        <v>2880</v>
      </c>
      <c r="T5" s="100">
        <f>((0 + 'BRAWLERS OFICIAL'!T5)-'BRAWLERS OFICIAL'!T5)/($BN5)</f>
        <v>0</v>
      </c>
      <c r="U5" s="100">
        <f>(0 + 'BRAWLERS OFICIAL'!U5)-'BRAWLERS OFICIAL'!U5</f>
        <v>0</v>
      </c>
      <c r="V5" s="103">
        <f>(( 0 + 'BRAWLERS OFICIAL'!V5 + AN5 + AV5/3.5 )-'BRAWLERS OFICIAL'!V5)/($BN5)</f>
        <v>0</v>
      </c>
      <c r="W5" s="101">
        <f>((0 + 'BRAWLERS OFICIAL'!W5)-'BRAWLERS OFICIAL'!W5)/($BN5)</f>
        <v>0</v>
      </c>
      <c r="X5" s="101">
        <f>(((0)/3 + 'BRAWLERS OFICIAL'!X5)-'BRAWLERS OFICIAL'!X5)</f>
        <v>0</v>
      </c>
      <c r="Y5" s="101">
        <f>((0 + 'BRAWLERS OFICIAL'!Y5)-'BRAWLERS OFICIAL'!Y5)/($BN5)</f>
        <v>0</v>
      </c>
      <c r="Z5" s="101">
        <f>((0 + 'BRAWLERS OFICIAL'!Z5)-'BRAWLERS OFICIAL'!Z5)</f>
        <v>0</v>
      </c>
      <c r="AA5" s="101">
        <f>(((0)/4 + 'BRAWLERS OFICIAL'!AA5)-'BRAWLERS OFICIAL'!AA5)/($BN5)</f>
        <v>0</v>
      </c>
      <c r="AB5" s="101">
        <f>((0 + 'BRAWLERS OFICIAL'!AB5)-'BRAWLERS OFICIAL'!AB5)/($BN5)</f>
        <v>0</v>
      </c>
      <c r="AC5" s="101">
        <f>((0 + 'BRAWLERS OFICIAL'!AC5)-'BRAWLERS OFICIAL'!AC5)/($BN5)</f>
        <v>0</v>
      </c>
      <c r="AD5" s="101">
        <f>((0 + 'BRAWLERS OFICIAL'!AD5)-'BRAWLERS OFICIAL'!AD5)/($BN5)</f>
        <v>0</v>
      </c>
      <c r="AE5" s="101">
        <f>((0 + 'BRAWLERS OFICIAL'!AE5)-'BRAWLERS OFICIAL'!AE5)</f>
        <v>0</v>
      </c>
      <c r="AF5" s="101">
        <f>((0 + 'BRAWLERS OFICIAL'!AF5)-'BRAWLERS OFICIAL'!AF5)</f>
        <v>0</v>
      </c>
      <c r="AG5" s="101">
        <f>((0 + 'BRAWLERS OFICIAL'!AG5)-'BRAWLERS OFICIAL'!AG5)</f>
        <v>0</v>
      </c>
      <c r="AH5" s="101">
        <f>((0 + 'BRAWLERS OFICIAL'!AH5)-'BRAWLERS OFICIAL'!AH5)/($BN5)</f>
        <v>0</v>
      </c>
      <c r="AI5" s="101">
        <f>((0 + 'BRAWLERS OFICIAL'!AI5)-'BRAWLERS OFICIAL'!AI5)/($BN5)</f>
        <v>0</v>
      </c>
      <c r="AJ5" s="101">
        <f>(((BH5/5+1)*AI5 + 'BRAWLERS OFICIAL'!AJ5)-'BRAWLERS OFICIAL'!AJ5)/($BN5)</f>
        <v>0</v>
      </c>
      <c r="AK5" s="101">
        <f>IF( 0 = (1-1), (1-1), ((0 + 'BRAWLERS OFICIAL'!AK5)/1.5)-'BRAWLERS OFICIAL'!AK5 )</f>
        <v>0</v>
      </c>
      <c r="AL5" s="101">
        <f t="shared" si="0"/>
        <v>0</v>
      </c>
      <c r="AM5" s="101">
        <f>((0 + 'BRAWLERS OFICIAL'!AM5)-'BRAWLERS OFICIAL'!AM5)/($BN5)</f>
        <v>0</v>
      </c>
      <c r="AN5" s="101">
        <f>((0/1000 + 'BRAWLERS OFICIAL'!AN5)-'BRAWLERS OFICIAL'!AN5)</f>
        <v>0</v>
      </c>
      <c r="AO5" s="101">
        <f>((0 + 'BRAWLERS OFICIAL'!AO5)-'BRAWLERS OFICIAL'!AO5)</f>
        <v>0</v>
      </c>
      <c r="AP5" s="101">
        <f>IF( 0 = (1-1), (1-1), ((0 + 'BRAWLERS OFICIAL'!AP5)/1.5) )</f>
        <v>0</v>
      </c>
      <c r="AQ5" s="101">
        <f>IF( 0 = (1-1), (1-1), ((0 + 'BRAWLERS OFICIAL'!AQ5)/1.5) )</f>
        <v>0</v>
      </c>
      <c r="AR5" s="101">
        <f>IF( 0 = (1-1), (1-1), ((0 + 'BRAWLERS OFICIAL'!AR5)/2) )</f>
        <v>0</v>
      </c>
      <c r="AS5" s="101">
        <f>((0 + 'BRAWLERS OFICIAL'!AS5)-'BRAWLERS OFICIAL'!AS5)/($BN5)</f>
        <v>0</v>
      </c>
      <c r="AT5" s="101">
        <f>(((0)/4 + 'BRAWLERS OFICIAL'!AT5)-'BRAWLERS OFICIAL'!AT5)</f>
        <v>0</v>
      </c>
      <c r="AU5" s="101">
        <v>0</v>
      </c>
      <c r="AV5" s="100">
        <f>((( 0 )/3 + 'BRAWLERS OFICIAL'!AV5)-'BRAWLERS OFICIAL'!AV5)</f>
        <v>0</v>
      </c>
      <c r="AW5" s="100">
        <f>((( 0 )/2 + 'BRAWLERS OFICIAL'!AW5)-'BRAWLERS OFICIAL'!AW5)/($BN5)</f>
        <v>0</v>
      </c>
      <c r="AX5" s="100">
        <f>((( 0 )/2 + 'BRAWLERS OFICIAL'!AX5)-'BRAWLERS OFICIAL'!AX5)</f>
        <v>0</v>
      </c>
      <c r="AY5" s="100">
        <f>((( 0 )/3 + 'BRAWLERS OFICIAL'!AY5)-'BRAWLERS OFICIAL'!AY5)</f>
        <v>0</v>
      </c>
      <c r="AZ5" s="100">
        <f>((( 0 )/2 + 'BRAWLERS OFICIAL'!AZ5)-'BRAWLERS OFICIAL'!AZ5)/($BN5)</f>
        <v>0</v>
      </c>
      <c r="BA5" s="100">
        <f>((( 0 )/3 + 'BRAWLERS OFICIAL'!BA5)-'BRAWLERS OFICIAL'!BA5)</f>
        <v>0</v>
      </c>
      <c r="BB5" s="100">
        <f>((( 0 )/3 + 'BRAWLERS OFICIAL'!BB5)-'BRAWLERS OFICIAL'!BB5)</f>
        <v>0</v>
      </c>
      <c r="BC5" s="100">
        <f>((0 + 'BRAWLERS OFICIAL'!BC5)-'BRAWLERS OFICIAL'!BC5)/($BN5)</f>
        <v>0</v>
      </c>
      <c r="BD5" s="100">
        <f>((0 + 'BRAWLERS OFICIAL'!BD5)-'BRAWLERS OFICIAL'!BD5)/($BN5)</f>
        <v>0</v>
      </c>
      <c r="BE5" s="100">
        <f>((( 0 )/2 + 'BRAWLERS OFICIAL'!BE5)-'BRAWLERS OFICIAL'!BE5)</f>
        <v>0</v>
      </c>
      <c r="BF5" s="100">
        <f>((0 + 'BRAWLERS OFICIAL'!BF5)-'BRAWLERS OFICIAL'!BF5)/($BN5)</f>
        <v>0</v>
      </c>
      <c r="BG5" s="100">
        <f>((( 0 )/2 + 'BRAWLERS OFICIAL'!BG5)-'BRAWLERS OFICIAL'!BG5)</f>
        <v>0</v>
      </c>
      <c r="BH5" s="100">
        <f>((( 0 )/3 + 'BRAWLERS OFICIAL'!BH5)-'BRAWLERS OFICIAL'!BH5)</f>
        <v>0</v>
      </c>
      <c r="BI5" s="100">
        <f>((( 0 )/2 + 'BRAWLERS OFICIAL'!BI5)-'BRAWLERS OFICIAL'!BI5)</f>
        <v>0</v>
      </c>
      <c r="BJ5" s="100">
        <f>((0 + 'BRAWLERS OFICIAL'!BJ5)-'BRAWLERS OFICIAL'!BJ5)/($BN5)</f>
        <v>0</v>
      </c>
      <c r="BK5" s="100">
        <f>((0 + 'BRAWLERS OFICIAL'!BK5)-'BRAWLERS OFICIAL'!BK5)/($BN5)</f>
        <v>0</v>
      </c>
      <c r="BL5" s="100">
        <f>((0 + 'BRAWLERS OFICIAL'!BL5)-'BRAWLERS OFICIAL'!BL5)/($BN5)</f>
        <v>0</v>
      </c>
      <c r="BN5" s="100">
        <v>1</v>
      </c>
    </row>
    <row r="6" spans="1:66">
      <c r="B6" s="97" t="s">
        <v>437</v>
      </c>
      <c r="C6" s="70" t="s">
        <v>96</v>
      </c>
      <c r="D6" s="100">
        <f>((0 + 'BRAWLERS OFICIAL'!D6)-'BRAWLERS OFICIAL'!D6)</f>
        <v>0</v>
      </c>
      <c r="E6" s="100">
        <f>((0 + 'BRAWLERS OFICIAL'!E6)-'BRAWLERS OFICIAL'!E6)</f>
        <v>0</v>
      </c>
      <c r="F6" s="100">
        <f>((0 + 'BRAWLERS OFICIAL'!F6)-'BRAWLERS OFICIAL'!F6)</f>
        <v>0</v>
      </c>
      <c r="G6" s="100">
        <f>((0 + 'BRAWLERS OFICIAL'!G6)-'BRAWLERS OFICIAL'!G6)</f>
        <v>0</v>
      </c>
      <c r="H6" s="100">
        <f>((0 + 'BRAWLERS OFICIAL'!H6)-'BRAWLERS OFICIAL'!H6)</f>
        <v>0</v>
      </c>
      <c r="I6" s="100">
        <f>((0 + 'BRAWLERS OFICIAL'!I6)-'BRAWLERS OFICIAL'!I6)</f>
        <v>0</v>
      </c>
      <c r="J6" s="100">
        <f>((0 + 'BRAWLERS OFICIAL'!J6)-'BRAWLERS OFICIAL'!J6)</f>
        <v>0</v>
      </c>
      <c r="K6" s="100">
        <f>((0 + 'BRAWLERS OFICIAL'!K6)-'BRAWLERS OFICIAL'!K6)</f>
        <v>0</v>
      </c>
      <c r="L6" s="100">
        <f>((0 + 'BRAWLERS OFICIAL'!L6)-'BRAWLERS OFICIAL'!L6)</f>
        <v>0</v>
      </c>
      <c r="M6" s="100">
        <f>((0 + 'BRAWLERS OFICIAL'!M6)-'BRAWLERS OFICIAL'!M6)</f>
        <v>0</v>
      </c>
      <c r="N6" s="100">
        <f>((0 + 'BRAWLERS OFICIAL'!N6)-'BRAWLERS OFICIAL'!N6)</f>
        <v>0</v>
      </c>
      <c r="O6" s="100">
        <f>((0 + 'BRAWLERS OFICIAL'!O6)-'BRAWLERS OFICIAL'!O6)</f>
        <v>0</v>
      </c>
      <c r="P6" s="100">
        <f>((800 + 'BRAWLERS OFICIAL'!P6)-'BRAWLERS OFICIAL'!P6)</f>
        <v>800</v>
      </c>
      <c r="Q6" s="100">
        <f>((800 + 'BRAWLERS OFICIAL'!Q6)-'BRAWLERS OFICIAL'!Q6)</f>
        <v>800</v>
      </c>
      <c r="R6" s="100">
        <f>((800 + 'BRAWLERS OFICIAL'!R6)-'BRAWLERS OFICIAL'!R6)</f>
        <v>800</v>
      </c>
      <c r="S6" s="100">
        <f>((0 + 'BRAWLERS OFICIAL'!S6)-'BRAWLERS OFICIAL'!S6)</f>
        <v>0</v>
      </c>
      <c r="T6" s="100">
        <f>((0 + 'BRAWLERS OFICIAL'!T6)-'BRAWLERS OFICIAL'!T6)/($BN6)</f>
        <v>0</v>
      </c>
      <c r="U6" s="100">
        <f>(0 + 'BRAWLERS OFICIAL'!U6)-'BRAWLERS OFICIAL'!U6</f>
        <v>0</v>
      </c>
      <c r="V6" s="103">
        <f>(( 0 + 'BRAWLERS OFICIAL'!V6 + AN6 + (6 + 4 + 3)/3/3.5 )-'BRAWLERS OFICIAL'!V6)/($BN6)</f>
        <v>0.83571428571428574</v>
      </c>
      <c r="W6" s="101">
        <f>((0 + 'BRAWLERS OFICIAL'!W6)-'BRAWLERS OFICIAL'!W6)/($BN6)</f>
        <v>0</v>
      </c>
      <c r="X6" s="101">
        <f>(((0)/3 + 'BRAWLERS OFICIAL'!X6)-'BRAWLERS OFICIAL'!X6)</f>
        <v>0</v>
      </c>
      <c r="Y6" s="101">
        <f>((0 + 'BRAWLERS OFICIAL'!Y6)-'BRAWLERS OFICIAL'!Y6)/($BN6)</f>
        <v>0</v>
      </c>
      <c r="Z6" s="101">
        <f>((0 + 'BRAWLERS OFICIAL'!Z6)-'BRAWLERS OFICIAL'!Z6)</f>
        <v>0</v>
      </c>
      <c r="AA6" s="101">
        <f>(((0)/4 + 'BRAWLERS OFICIAL'!AA6)-'BRAWLERS OFICIAL'!AA6)/($BN6)</f>
        <v>0</v>
      </c>
      <c r="AB6" s="101">
        <f>((0 + 'BRAWLERS OFICIAL'!AB6)-'BRAWLERS OFICIAL'!AB6)/($BN6)</f>
        <v>0</v>
      </c>
      <c r="AC6" s="101">
        <f>((0 + 'BRAWLERS OFICIAL'!AC6)-'BRAWLERS OFICIAL'!AC6)/($BN6)</f>
        <v>0</v>
      </c>
      <c r="AD6" s="101">
        <f>((0 + 'BRAWLERS OFICIAL'!AD6)-'BRAWLERS OFICIAL'!AD6)/($BN6)</f>
        <v>0</v>
      </c>
      <c r="AE6" s="101">
        <f>((0 + 'BRAWLERS OFICIAL'!AE6)-'BRAWLERS OFICIAL'!AE6)</f>
        <v>0</v>
      </c>
      <c r="AF6" s="101">
        <f>((0 + 'BRAWLERS OFICIAL'!AF6)-'BRAWLERS OFICIAL'!AF6)</f>
        <v>0</v>
      </c>
      <c r="AG6" s="101">
        <f>((0 + 'BRAWLERS OFICIAL'!AG6)-'BRAWLERS OFICIAL'!AG6)</f>
        <v>0</v>
      </c>
      <c r="AH6" s="101">
        <f>((0 + 'BRAWLERS OFICIAL'!AH6)-'BRAWLERS OFICIAL'!AH6)/($BN6)</f>
        <v>0</v>
      </c>
      <c r="AI6" s="101">
        <f>((0 + 'BRAWLERS OFICIAL'!AI6)-'BRAWLERS OFICIAL'!AI6)/($BN6)</f>
        <v>0</v>
      </c>
      <c r="AJ6" s="101">
        <f>(((BH6/5+1)*AI6 + 'BRAWLERS OFICIAL'!AJ6)-'BRAWLERS OFICIAL'!AJ6)/($BN6)</f>
        <v>0</v>
      </c>
      <c r="AK6" s="101">
        <f>IF( 0 = (1-1), (1-1), ((0 + 'BRAWLERS OFICIAL'!AK6)/1.5)-'BRAWLERS OFICIAL'!AK6 )</f>
        <v>0</v>
      </c>
      <c r="AL6" s="101">
        <f t="shared" si="0"/>
        <v>0</v>
      </c>
      <c r="AM6" s="101">
        <f>((0 + 'BRAWLERS OFICIAL'!AM6)-'BRAWLERS OFICIAL'!AM6)/($BN6)</f>
        <v>0</v>
      </c>
      <c r="AN6" s="101">
        <f>((0/1000 + 'BRAWLERS OFICIAL'!AN6)-'BRAWLERS OFICIAL'!AN6)</f>
        <v>0</v>
      </c>
      <c r="AO6" s="101">
        <f>((0 + 'BRAWLERS OFICIAL'!AO6)-'BRAWLERS OFICIAL'!AO6)</f>
        <v>0</v>
      </c>
      <c r="AP6" s="101">
        <f>IF( 0 = (1-1), (1-1), ((0 + 'BRAWLERS OFICIAL'!AP6)/1.5) )</f>
        <v>0</v>
      </c>
      <c r="AQ6" s="101">
        <f>IF( 0 = (1-1), (1-1), ((0 + 'BRAWLERS OFICIAL'!AQ6)/1.5) )</f>
        <v>0</v>
      </c>
      <c r="AR6" s="101">
        <f>IF( 0 = (1-1), (1-1), ((0 + 'BRAWLERS OFICIAL'!AR6)/2) )</f>
        <v>0</v>
      </c>
      <c r="AS6" s="101">
        <f>((0 + 'BRAWLERS OFICIAL'!AS6)-'BRAWLERS OFICIAL'!AS6)/($BN6)</f>
        <v>0</v>
      </c>
      <c r="AT6" s="101">
        <f>(((0)/4 + 'BRAWLERS OFICIAL'!AT6)-'BRAWLERS OFICIAL'!AT6)</f>
        <v>0</v>
      </c>
      <c r="AU6" s="101">
        <v>2.5</v>
      </c>
      <c r="AV6" s="100">
        <f>((( 0 )/3 + 'BRAWLERS OFICIAL'!AV6)-'BRAWLERS OFICIAL'!AV6)</f>
        <v>0</v>
      </c>
      <c r="AW6" s="100">
        <f>((( 0 )/2 + 'BRAWLERS OFICIAL'!AW6)-'BRAWLERS OFICIAL'!AW6)/($BN6)</f>
        <v>0</v>
      </c>
      <c r="AX6" s="100">
        <f>((( 0 )/2 + 'BRAWLERS OFICIAL'!AX6)-'BRAWLERS OFICIAL'!AX6)</f>
        <v>0</v>
      </c>
      <c r="AY6" s="100">
        <f>((( 0 )/3 + 'BRAWLERS OFICIAL'!AY6)-'BRAWLERS OFICIAL'!AY6)</f>
        <v>0</v>
      </c>
      <c r="AZ6" s="100">
        <f>((( 0 )/2 + 'BRAWLERS OFICIAL'!AZ6)-'BRAWLERS OFICIAL'!AZ6)/($BN6)</f>
        <v>0</v>
      </c>
      <c r="BA6" s="100">
        <f>((( 0 )/3 + 'BRAWLERS OFICIAL'!BA6)-'BRAWLERS OFICIAL'!BA6)</f>
        <v>0</v>
      </c>
      <c r="BB6" s="100">
        <f>((( 0 )/3 + 'BRAWLERS OFICIAL'!BB6)-'BRAWLERS OFICIAL'!BB6)</f>
        <v>0</v>
      </c>
      <c r="BC6" s="100">
        <f>((0 + 'BRAWLERS OFICIAL'!BC6)-'BRAWLERS OFICIAL'!BC6)/($BN6)</f>
        <v>0</v>
      </c>
      <c r="BD6" s="100">
        <f>((0 + 'BRAWLERS OFICIAL'!BD6)-'BRAWLERS OFICIAL'!BD6)/($BN6)</f>
        <v>0</v>
      </c>
      <c r="BE6" s="100">
        <f>((( 0 )/2 + 'BRAWLERS OFICIAL'!BE6)-'BRAWLERS OFICIAL'!BE6)</f>
        <v>0</v>
      </c>
      <c r="BF6" s="100">
        <f>((0 + 'BRAWLERS OFICIAL'!BF6)-'BRAWLERS OFICIAL'!BF6)/($BN6)</f>
        <v>0</v>
      </c>
      <c r="BG6" s="100">
        <f>((( 0 )/2 + 'BRAWLERS OFICIAL'!BG6)-'BRAWLERS OFICIAL'!BG6)</f>
        <v>0</v>
      </c>
      <c r="BH6" s="100">
        <f>((( 0 )/3 + 'BRAWLERS OFICIAL'!BH6)-'BRAWLERS OFICIAL'!BH6)</f>
        <v>0</v>
      </c>
      <c r="BI6" s="100">
        <f>((( 0 )/2 + 'BRAWLERS OFICIAL'!BI6)-'BRAWLERS OFICIAL'!BI6)</f>
        <v>0</v>
      </c>
      <c r="BJ6" s="100">
        <f>((0 + 'BRAWLERS OFICIAL'!BJ6)-'BRAWLERS OFICIAL'!BJ6)/($BN6)</f>
        <v>0</v>
      </c>
      <c r="BK6" s="100">
        <f>((0 + 'BRAWLERS OFICIAL'!BK6)-'BRAWLERS OFICIAL'!BK6)/($BN6)</f>
        <v>0</v>
      </c>
      <c r="BL6" s="100">
        <f>((0 + 'BRAWLERS OFICIAL'!BL6)-'BRAWLERS OFICIAL'!BL6)/($BN6)</f>
        <v>0</v>
      </c>
      <c r="BN6" s="100">
        <f>('BRAWLERS OFICIAL'!D6 / 'BRAWLERS OFICIAL'!H6 / (1 + ('BRAWLERS OFICIAL'!Y6/5)))</f>
        <v>1.4814814814814814</v>
      </c>
    </row>
    <row r="7" spans="1:66">
      <c r="B7" s="97" t="s">
        <v>438</v>
      </c>
      <c r="C7" s="70" t="s">
        <v>62</v>
      </c>
      <c r="D7" s="100">
        <f>((0 + 'BRAWLERS OFICIAL'!D7)-'BRAWLERS OFICIAL'!D7)</f>
        <v>0</v>
      </c>
      <c r="E7" s="100">
        <f>((0 + 'BRAWLERS OFICIAL'!E7)-'BRAWLERS OFICIAL'!E7)</f>
        <v>0</v>
      </c>
      <c r="F7" s="100">
        <f>((0 + 'BRAWLERS OFICIAL'!F7)-'BRAWLERS OFICIAL'!F7)</f>
        <v>0</v>
      </c>
      <c r="G7" s="100">
        <f>((0 + 'BRAWLERS OFICIAL'!G7)-'BRAWLERS OFICIAL'!G7)</f>
        <v>0</v>
      </c>
      <c r="H7" s="100">
        <f>(('BRAWLERS OFICIAL'!H7/20*3/10 + 'BRAWLERS OFICIAL'!H7)-'BRAWLERS OFICIAL'!H7)</f>
        <v>5.9999999999999609E-2</v>
      </c>
      <c r="I7" s="100">
        <f>(('BRAWLERS OFICIAL'!I7/20*3/10 + 'BRAWLERS OFICIAL'!I7)-'BRAWLERS OFICIAL'!I7)</f>
        <v>5.9999999999999609E-2</v>
      </c>
      <c r="J7" s="100">
        <f>(('BRAWLERS OFICIAL'!J7/20*3/10 + 'BRAWLERS OFICIAL'!J7)-'BRAWLERS OFICIAL'!J7)</f>
        <v>3.7500000000000089E-2</v>
      </c>
      <c r="K7" s="100">
        <f>(('BRAWLERS OFICIAL'!K7/20*3/10 + 'BRAWLERS OFICIAL'!K7)-'BRAWLERS OFICIAL'!K7)</f>
        <v>1.8000000000000016E-2</v>
      </c>
      <c r="L7" s="100">
        <f>(('BRAWLERS OFICIAL'!L7/20*3/10 + 'BRAWLERS OFICIAL'!L7)-'BRAWLERS OFICIAL'!L7)</f>
        <v>7.4999999999999512E-3</v>
      </c>
      <c r="M7" s="100">
        <f>((0 + 'BRAWLERS OFICIAL'!M7)-'BRAWLERS OFICIAL'!M7)</f>
        <v>0</v>
      </c>
      <c r="N7" s="100">
        <f>((0 + 'BRAWLERS OFICIAL'!N7)-'BRAWLERS OFICIAL'!N7)</f>
        <v>0</v>
      </c>
      <c r="O7" s="100">
        <f>((0 + 'BRAWLERS OFICIAL'!O7)-'BRAWLERS OFICIAL'!O7)</f>
        <v>0</v>
      </c>
      <c r="P7" s="100">
        <f>((0 + 'BRAWLERS OFICIAL'!P7)-'BRAWLERS OFICIAL'!P7)</f>
        <v>0</v>
      </c>
      <c r="Q7" s="100">
        <f>((0 + 'BRAWLERS OFICIAL'!Q7)-'BRAWLERS OFICIAL'!Q7)</f>
        <v>0</v>
      </c>
      <c r="R7" s="100">
        <f>((0 + 'BRAWLERS OFICIAL'!R7)-'BRAWLERS OFICIAL'!R7)</f>
        <v>0</v>
      </c>
      <c r="S7" s="100">
        <f>((0 + 'BRAWLERS OFICIAL'!S7)-'BRAWLERS OFICIAL'!S7)</f>
        <v>0</v>
      </c>
      <c r="T7" s="100">
        <f>((0 + 'BRAWLERS OFICIAL'!T7)-'BRAWLERS OFICIAL'!T7)/($BN7)</f>
        <v>0</v>
      </c>
      <c r="U7" s="100">
        <f>(0 + 'BRAWLERS OFICIAL'!U7)-'BRAWLERS OFICIAL'!U7</f>
        <v>0</v>
      </c>
      <c r="V7" s="103">
        <f>(( 0 + 'BRAWLERS OFICIAL'!V7 + AN7 + AV7/3.5 )-'BRAWLERS OFICIAL'!V7)/($BN7)</f>
        <v>0</v>
      </c>
      <c r="W7" s="101">
        <f>((0 + 'BRAWLERS OFICIAL'!W7)-'BRAWLERS OFICIAL'!W7)/($BN7)</f>
        <v>0</v>
      </c>
      <c r="X7" s="101">
        <f>((5 + 10 + 7)/3) -'BRAWLERS OFICIAL'!X7</f>
        <v>1.333333333333333</v>
      </c>
      <c r="Y7" s="101">
        <f>((0 + 'BRAWLERS OFICIAL'!Y7)-'BRAWLERS OFICIAL'!Y7)/($BN7)</f>
        <v>0</v>
      </c>
      <c r="Z7" s="101">
        <f>((0 + 'BRAWLERS OFICIAL'!Z7)-'BRAWLERS OFICIAL'!Z7)</f>
        <v>0</v>
      </c>
      <c r="AA7" s="101">
        <f>(((0)/4 + 'BRAWLERS OFICIAL'!AA7)-'BRAWLERS OFICIAL'!AA7)/($BN7)</f>
        <v>0</v>
      </c>
      <c r="AB7" s="101">
        <f>((0 + 'BRAWLERS OFICIAL'!AB7)-'BRAWLERS OFICIAL'!AB7)/($BN7)</f>
        <v>0</v>
      </c>
      <c r="AC7" s="101">
        <f>((0 + 'BRAWLERS OFICIAL'!AC7)-'BRAWLERS OFICIAL'!AC7)/($BN7)</f>
        <v>0</v>
      </c>
      <c r="AD7" s="101">
        <f>((0 + 'BRAWLERS OFICIAL'!AD7)-'BRAWLERS OFICIAL'!AD7)/($BN7)</f>
        <v>0</v>
      </c>
      <c r="AE7" s="101">
        <f>((0 + 'BRAWLERS OFICIAL'!AE7)-'BRAWLERS OFICIAL'!AE7)</f>
        <v>0</v>
      </c>
      <c r="AF7" s="101">
        <f>((0 + 'BRAWLERS OFICIAL'!AF7)-'BRAWLERS OFICIAL'!AF7)</f>
        <v>0</v>
      </c>
      <c r="AG7" s="101">
        <f>((0 + 'BRAWLERS OFICIAL'!AG7)-'BRAWLERS OFICIAL'!AG7)</f>
        <v>0</v>
      </c>
      <c r="AH7" s="101">
        <f>((1 + 'BRAWLERS OFICIAL'!AH7)-'BRAWLERS OFICIAL'!AH7)/($BN7)</f>
        <v>0.71111111111111114</v>
      </c>
      <c r="AI7" s="101">
        <f>((9)-'BRAWLERS OFICIAL'!AI7)/($BN7)</f>
        <v>1.4222222222222223</v>
      </c>
      <c r="AJ7" s="101">
        <f>(((BH7/5+1)*AI7 + 'BRAWLERS OFICIAL'!AJ7)-'BRAWLERS OFICIAL'!AJ7)/($BN7)</f>
        <v>1.0113580246913583</v>
      </c>
      <c r="AK7" s="101">
        <f>IF( 0 = (1-1), (1-1), ((0 + 'BRAWLERS OFICIAL'!AK7)/1.5)-'BRAWLERS OFICIAL'!AK7 )</f>
        <v>0</v>
      </c>
      <c r="AL7" s="101">
        <f t="shared" si="0"/>
        <v>0</v>
      </c>
      <c r="AM7" s="101">
        <f>((0 + 'BRAWLERS OFICIAL'!AM7)-'BRAWLERS OFICIAL'!AM7)/($BN7)</f>
        <v>0</v>
      </c>
      <c r="AN7" s="101">
        <f>((0/1000 + 'BRAWLERS OFICIAL'!AN7)-'BRAWLERS OFICIAL'!AN7)</f>
        <v>0</v>
      </c>
      <c r="AO7" s="101">
        <f>((0 + 'BRAWLERS OFICIAL'!AO7)-'BRAWLERS OFICIAL'!AO7)</f>
        <v>0</v>
      </c>
      <c r="AP7" s="101">
        <f>IF( 0 = (1-1), (1-1), ((0 + 'BRAWLERS OFICIAL'!AP7)/1.5) )</f>
        <v>0</v>
      </c>
      <c r="AQ7" s="101">
        <f>IF( 0 = (1-1), (1-1), ((0 + 'BRAWLERS OFICIAL'!AQ7)/1.5) )</f>
        <v>0</v>
      </c>
      <c r="AR7" s="101">
        <f>IF( 0 = (1-1), (1-1), ((0 + 'BRAWLERS OFICIAL'!AR7)/2) )</f>
        <v>0</v>
      </c>
      <c r="AS7" s="101">
        <f>((0 + 'BRAWLERS OFICIAL'!AS7)-'BRAWLERS OFICIAL'!AS7)/($BN7)</f>
        <v>0</v>
      </c>
      <c r="AT7" s="101">
        <f>(((0)/4 + 'BRAWLERS OFICIAL'!AT7)-'BRAWLERS OFICIAL'!AT7)</f>
        <v>0</v>
      </c>
      <c r="AU7" s="101">
        <v>0</v>
      </c>
      <c r="AV7" s="100">
        <f>((( 0 )/3 + 'BRAWLERS OFICIAL'!AV7)-'BRAWLERS OFICIAL'!AV7)</f>
        <v>0</v>
      </c>
      <c r="AW7" s="100">
        <f>((( 0 )/2 + 'BRAWLERS OFICIAL'!AW7)-'BRAWLERS OFICIAL'!AW7)/($BN7)</f>
        <v>0</v>
      </c>
      <c r="AX7" s="100">
        <f>((( 0 )/2 + 'BRAWLERS OFICIAL'!AX7)-'BRAWLERS OFICIAL'!AX7)</f>
        <v>0</v>
      </c>
      <c r="AY7" s="100">
        <f>((( 0 )/3 + 'BRAWLERS OFICIAL'!AY7)-'BRAWLERS OFICIAL'!AY7)</f>
        <v>0</v>
      </c>
      <c r="AZ7" s="100">
        <f>((( 0 )/2 + 'BRAWLERS OFICIAL'!AZ7)-'BRAWLERS OFICIAL'!AZ7)/($BN7)</f>
        <v>0</v>
      </c>
      <c r="BA7" s="100">
        <f>((( 0 )/3 + 'BRAWLERS OFICIAL'!BA7)-'BRAWLERS OFICIAL'!BA7)</f>
        <v>0</v>
      </c>
      <c r="BB7" s="100">
        <f>((( 0 )/3 + 'BRAWLERS OFICIAL'!BB7)-'BRAWLERS OFICIAL'!BB7)</f>
        <v>0</v>
      </c>
      <c r="BC7" s="100">
        <f>((0 + 'BRAWLERS OFICIAL'!BC7)-'BRAWLERS OFICIAL'!BC7)/($BN7)</f>
        <v>0</v>
      </c>
      <c r="BD7" s="100">
        <f>((0 + 'BRAWLERS OFICIAL'!BD7)-'BRAWLERS OFICIAL'!BD7)/($BN7)</f>
        <v>0</v>
      </c>
      <c r="BE7" s="100">
        <f>((( 0 )/2 + 'BRAWLERS OFICIAL'!BE7)-'BRAWLERS OFICIAL'!BE7)</f>
        <v>0</v>
      </c>
      <c r="BF7" s="100">
        <f>((0 + 'BRAWLERS OFICIAL'!BF7)-'BRAWLERS OFICIAL'!BF7)/($BN7)</f>
        <v>0</v>
      </c>
      <c r="BG7" s="100">
        <f>((( 0 )/2 + 'BRAWLERS OFICIAL'!BG7)-'BRAWLERS OFICIAL'!BG7)</f>
        <v>0</v>
      </c>
      <c r="BH7" s="100">
        <f>((( 0 )/3 + 'BRAWLERS OFICIAL'!BH7)-'BRAWLERS OFICIAL'!BH7)</f>
        <v>0</v>
      </c>
      <c r="BI7" s="100">
        <f>((( 0 )/2 + 'BRAWLERS OFICIAL'!BI7)-'BRAWLERS OFICIAL'!BI7)</f>
        <v>0</v>
      </c>
      <c r="BJ7" s="100">
        <f>((0 + 'BRAWLERS OFICIAL'!BJ7)-'BRAWLERS OFICIAL'!BJ7)/($BN7)</f>
        <v>0</v>
      </c>
      <c r="BK7" s="100">
        <f>((0 + 'BRAWLERS OFICIAL'!BK7)-'BRAWLERS OFICIAL'!BK7)/($BN7)</f>
        <v>0</v>
      </c>
      <c r="BL7" s="100">
        <f>((0 + 'BRAWLERS OFICIAL'!BL7)-'BRAWLERS OFICIAL'!BL7)/($BN7)</f>
        <v>0</v>
      </c>
      <c r="BN7" s="100">
        <f>('BRAWLERS OFICIAL'!D7 / 'BRAWLERS OFICIAL'!H7 / (1 + ('BRAWLERS OFICIAL'!Y7/5)))</f>
        <v>1.40625</v>
      </c>
    </row>
    <row r="8" spans="1:66">
      <c r="B8" s="97" t="s">
        <v>439</v>
      </c>
      <c r="C8" s="70" t="s">
        <v>44</v>
      </c>
      <c r="D8" s="100">
        <f>((0 + 'BRAWLERS OFICIAL'!D8)-'BRAWLERS OFICIAL'!D8)</f>
        <v>0</v>
      </c>
      <c r="E8" s="100">
        <f>((0 + 'BRAWLERS OFICIAL'!E8)-'BRAWLERS OFICIAL'!E8)</f>
        <v>0</v>
      </c>
      <c r="F8" s="100">
        <f>((0 + 'BRAWLERS OFICIAL'!F8)-'BRAWLERS OFICIAL'!F8)</f>
        <v>0</v>
      </c>
      <c r="G8" s="100">
        <f>((0 + 'BRAWLERS OFICIAL'!G8)-'BRAWLERS OFICIAL'!G8)</f>
        <v>0</v>
      </c>
      <c r="H8" s="100">
        <f>((0 + 'BRAWLERS OFICIAL'!H8)-'BRAWLERS OFICIAL'!H8)</f>
        <v>0</v>
      </c>
      <c r="I8" s="100">
        <f>((0 + 'BRAWLERS OFICIAL'!I8)-'BRAWLERS OFICIAL'!I8)</f>
        <v>0</v>
      </c>
      <c r="J8" s="100">
        <f>((0 + 'BRAWLERS OFICIAL'!J8)-'BRAWLERS OFICIAL'!J8)</f>
        <v>0</v>
      </c>
      <c r="K8" s="100">
        <f>((0 + 'BRAWLERS OFICIAL'!K8)-'BRAWLERS OFICIAL'!K8)</f>
        <v>0</v>
      </c>
      <c r="L8" s="100">
        <f>((0 + 'BRAWLERS OFICIAL'!L8)-'BRAWLERS OFICIAL'!L8)</f>
        <v>0</v>
      </c>
      <c r="M8" s="100">
        <f>((0 + 'BRAWLERS OFICIAL'!M8)-'BRAWLERS OFICIAL'!M8)</f>
        <v>0</v>
      </c>
      <c r="N8" s="100">
        <f>((0 + 'BRAWLERS OFICIAL'!N8)-'BRAWLERS OFICIAL'!N8)</f>
        <v>0</v>
      </c>
      <c r="O8" s="100">
        <f>((0 + 'BRAWLERS OFICIAL'!O8)-'BRAWLERS OFICIAL'!O8)</f>
        <v>0</v>
      </c>
      <c r="P8" s="100">
        <f>((0 + 'BRAWLERS OFICIAL'!P8)-'BRAWLERS OFICIAL'!P8)</f>
        <v>0</v>
      </c>
      <c r="Q8" s="100">
        <f>((0 + 'BRAWLERS OFICIAL'!Q8)-'BRAWLERS OFICIAL'!Q8)</f>
        <v>0</v>
      </c>
      <c r="R8" s="100">
        <f>((0 + 'BRAWLERS OFICIAL'!R8)-'BRAWLERS OFICIAL'!R8)</f>
        <v>0</v>
      </c>
      <c r="S8" s="100">
        <f>((0 + 'BRAWLERS OFICIAL'!S8)-'BRAWLERS OFICIAL'!S8)</f>
        <v>0</v>
      </c>
      <c r="T8" s="100">
        <f>((0 + 'BRAWLERS OFICIAL'!T8)-'BRAWLERS OFICIAL'!T8)/($BN8)</f>
        <v>0</v>
      </c>
      <c r="U8" s="100">
        <f>(0 + 'BRAWLERS OFICIAL'!U8)-'BRAWLERS OFICIAL'!U8</f>
        <v>0</v>
      </c>
      <c r="V8" s="103">
        <f>(( 0 + 'BRAWLERS OFICIAL'!V8 + AN8 + AV8/3.5 )-'BRAWLERS OFICIAL'!V8)/($BN8)</f>
        <v>0</v>
      </c>
      <c r="W8" s="101">
        <f>((0 + 'BRAWLERS OFICIAL'!W8)-'BRAWLERS OFICIAL'!W8)/($BN8)</f>
        <v>0</v>
      </c>
      <c r="X8" s="101">
        <f>(((0)/3 + 'BRAWLERS OFICIAL'!X8)-'BRAWLERS OFICIAL'!X8)</f>
        <v>0</v>
      </c>
      <c r="Y8" s="101">
        <f>((0 + 'BRAWLERS OFICIAL'!Y8)-'BRAWLERS OFICIAL'!Y8)/($BN8)</f>
        <v>0</v>
      </c>
      <c r="Z8" s="101">
        <f>((0 + 'BRAWLERS OFICIAL'!Z8)-'BRAWLERS OFICIAL'!Z8)</f>
        <v>0</v>
      </c>
      <c r="AA8" s="101">
        <f>(((0)/4 + 'BRAWLERS OFICIAL'!AA8)-'BRAWLERS OFICIAL'!AA8)/($BN8)</f>
        <v>0</v>
      </c>
      <c r="AB8" s="101">
        <f>((0 + 'BRAWLERS OFICIAL'!AB8)-'BRAWLERS OFICIAL'!AB8)/($BN8)</f>
        <v>0</v>
      </c>
      <c r="AC8" s="101">
        <f>((0 + 'BRAWLERS OFICIAL'!AC8)-'BRAWLERS OFICIAL'!AC8)/($BN8)</f>
        <v>0</v>
      </c>
      <c r="AD8" s="101">
        <f>((0 + 'BRAWLERS OFICIAL'!AD8)-'BRAWLERS OFICIAL'!AD8)/($BN8)</f>
        <v>0</v>
      </c>
      <c r="AE8" s="101">
        <f>((0 + 'BRAWLERS OFICIAL'!AE8)-'BRAWLERS OFICIAL'!AE8)</f>
        <v>0</v>
      </c>
      <c r="AF8" s="101">
        <f>((0 + 'BRAWLERS OFICIAL'!AF8)-'BRAWLERS OFICIAL'!AF8)</f>
        <v>0</v>
      </c>
      <c r="AG8" s="101">
        <f>((0 + 'BRAWLERS OFICIAL'!AG8)-'BRAWLERS OFICIAL'!AG8)</f>
        <v>0</v>
      </c>
      <c r="AH8" s="101">
        <f>((0 + 'BRAWLERS OFICIAL'!AH8)-'BRAWLERS OFICIAL'!AH8)/($BN8)</f>
        <v>0</v>
      </c>
      <c r="AI8" s="101">
        <f>((0 + 'BRAWLERS OFICIAL'!AI8)-'BRAWLERS OFICIAL'!AI8)/($BN8)</f>
        <v>0</v>
      </c>
      <c r="AJ8" s="101">
        <f>(((BH8/5+1)*AI8 + 'BRAWLERS OFICIAL'!AJ8)-'BRAWLERS OFICIAL'!AJ8)/($BN8)</f>
        <v>0</v>
      </c>
      <c r="AK8" s="101">
        <f>IF( 0 = (1-1), (1-1), ((0 + 'BRAWLERS OFICIAL'!AK8)/1.5)-'BRAWLERS OFICIAL'!AK8 )</f>
        <v>0</v>
      </c>
      <c r="AL8" s="101">
        <f t="shared" si="0"/>
        <v>0</v>
      </c>
      <c r="AM8" s="101">
        <f>((0 + 'BRAWLERS OFICIAL'!AM8)-'BRAWLERS OFICIAL'!AM8)/($BN8)</f>
        <v>0</v>
      </c>
      <c r="AN8" s="101">
        <f>((0/1000 + 'BRAWLERS OFICIAL'!AN8)-'BRAWLERS OFICIAL'!AN8)</f>
        <v>0</v>
      </c>
      <c r="AO8" s="101">
        <f>((0 + 'BRAWLERS OFICIAL'!AO8)-'BRAWLERS OFICIAL'!AO8)</f>
        <v>0</v>
      </c>
      <c r="AP8" s="101">
        <f>IF( 0 = (1-1), (1-1), ((0 + 'BRAWLERS OFICIAL'!AP8)/1.5) )</f>
        <v>0</v>
      </c>
      <c r="AQ8" s="101">
        <f>IF( 0 = (1-1), (1-1), ((0 + 'BRAWLERS OFICIAL'!AQ8)/1.5) )</f>
        <v>0</v>
      </c>
      <c r="AR8" s="101">
        <f>IF( 0 = (1-1), (1-1), ((0 + 'BRAWLERS OFICIAL'!AR8)/2) )</f>
        <v>0</v>
      </c>
      <c r="AS8" s="101">
        <f>((0 + 'BRAWLERS OFICIAL'!AS8)-'BRAWLERS OFICIAL'!AS8)/($BN8)</f>
        <v>0</v>
      </c>
      <c r="AT8" s="101">
        <f>(((0)/4 + 'BRAWLERS OFICIAL'!AT8)-'BRAWLERS OFICIAL'!AT8)</f>
        <v>0</v>
      </c>
      <c r="AU8" s="101">
        <v>0</v>
      </c>
      <c r="AV8" s="100">
        <f>((( 0 )/3 + 'BRAWLERS OFICIAL'!AV8)-'BRAWLERS OFICIAL'!AV8)</f>
        <v>0</v>
      </c>
      <c r="AW8" s="100">
        <f>((( 0 )/2 + 'BRAWLERS OFICIAL'!AW8)-'BRAWLERS OFICIAL'!AW8)/($BN8)</f>
        <v>0</v>
      </c>
      <c r="AX8" s="100">
        <f>((( 0 )/2 + 'BRAWLERS OFICIAL'!AX8)-'BRAWLERS OFICIAL'!AX8)</f>
        <v>0</v>
      </c>
      <c r="AY8" s="100">
        <f>((( 0 )/3 + 'BRAWLERS OFICIAL'!AY8)-'BRAWLERS OFICIAL'!AY8)</f>
        <v>0</v>
      </c>
      <c r="AZ8" s="100">
        <f>((( 0 )/2 + 'BRAWLERS OFICIAL'!AZ8)-'BRAWLERS OFICIAL'!AZ8)/($BN8)</f>
        <v>0</v>
      </c>
      <c r="BA8" s="100">
        <f>((( 0 )/3 + 'BRAWLERS OFICIAL'!BA8)-'BRAWLERS OFICIAL'!BA8)</f>
        <v>0</v>
      </c>
      <c r="BB8" s="100">
        <f>((( 0 )/3 + 'BRAWLERS OFICIAL'!BB8)-'BRAWLERS OFICIAL'!BB8)</f>
        <v>0</v>
      </c>
      <c r="BC8" s="100">
        <f>((0 + 'BRAWLERS OFICIAL'!BC8)-'BRAWLERS OFICIAL'!BC8)/($BN8)</f>
        <v>0</v>
      </c>
      <c r="BD8" s="100">
        <f>((0 + 'BRAWLERS OFICIAL'!BD8)-'BRAWLERS OFICIAL'!BD8)/($BN8)</f>
        <v>0</v>
      </c>
      <c r="BE8" s="100">
        <f>((( 0 )/2 + 'BRAWLERS OFICIAL'!BE8)-'BRAWLERS OFICIAL'!BE8)</f>
        <v>0</v>
      </c>
      <c r="BF8" s="100">
        <f>((6 + 'BRAWLERS OFICIAL'!BF8)-'BRAWLERS OFICIAL'!BF8)/($BN8)</f>
        <v>3.2</v>
      </c>
      <c r="BG8" s="100">
        <f>((( 0 )/2 + 'BRAWLERS OFICIAL'!BG8)-'BRAWLERS OFICIAL'!BG8)</f>
        <v>0</v>
      </c>
      <c r="BH8" s="100">
        <f>((( 0 )/3 + 'BRAWLERS OFICIAL'!BH8)-'BRAWLERS OFICIAL'!BH8)</f>
        <v>0</v>
      </c>
      <c r="BI8" s="100">
        <f>((( 0 )/2 + 'BRAWLERS OFICIAL'!BI8)-'BRAWLERS OFICIAL'!BI8)</f>
        <v>0</v>
      </c>
      <c r="BJ8" s="100">
        <f>((0 + 'BRAWLERS OFICIAL'!BJ8)-'BRAWLERS OFICIAL'!BJ8)/($BN8)</f>
        <v>0</v>
      </c>
      <c r="BK8" s="100">
        <f>((0 + 'BRAWLERS OFICIAL'!BK8)-'BRAWLERS OFICIAL'!BK8)/($BN8)</f>
        <v>0</v>
      </c>
      <c r="BL8" s="100">
        <f>((0 + 'BRAWLERS OFICIAL'!BL8)-'BRAWLERS OFICIAL'!BL8)/($BN8)</f>
        <v>0</v>
      </c>
      <c r="BN8" s="100">
        <f>('BRAWLERS OFICIAL'!D8 / 'BRAWLERS OFICIAL'!H8 / (1 + ('BRAWLERS OFICIAL'!Y8/5)))</f>
        <v>1.875</v>
      </c>
    </row>
    <row r="9" spans="1:66">
      <c r="B9" s="97" t="s">
        <v>440</v>
      </c>
      <c r="C9" s="98" t="s">
        <v>95</v>
      </c>
      <c r="D9" s="100">
        <f>((0 + 'BRAWLERS OFICIAL'!D9)-'BRAWLERS OFICIAL'!D9)</f>
        <v>0</v>
      </c>
      <c r="E9" s="100">
        <f>((0 + 'BRAWLERS OFICIAL'!E9)-'BRAWLERS OFICIAL'!E9)</f>
        <v>0</v>
      </c>
      <c r="F9" s="100">
        <f>((0 + 'BRAWLERS OFICIAL'!F9)-'BRAWLERS OFICIAL'!F9)</f>
        <v>0</v>
      </c>
      <c r="G9" s="100">
        <f>((0 + 'BRAWLERS OFICIAL'!G9)-'BRAWLERS OFICIAL'!G9)</f>
        <v>0</v>
      </c>
      <c r="H9" s="100">
        <f>((0 + 'BRAWLERS OFICIAL'!H9)-'BRAWLERS OFICIAL'!H9)</f>
        <v>0</v>
      </c>
      <c r="I9" s="100">
        <f>((0 + 'BRAWLERS OFICIAL'!I9)-'BRAWLERS OFICIAL'!I9)</f>
        <v>0</v>
      </c>
      <c r="J9" s="100">
        <f>((0 + 'BRAWLERS OFICIAL'!J9)-'BRAWLERS OFICIAL'!J9)</f>
        <v>0</v>
      </c>
      <c r="K9" s="100">
        <f>((0 + 'BRAWLERS OFICIAL'!K9)-'BRAWLERS OFICIAL'!K9)</f>
        <v>0</v>
      </c>
      <c r="L9" s="100">
        <f>((0 + 'BRAWLERS OFICIAL'!L9)-'BRAWLERS OFICIAL'!L9)</f>
        <v>0</v>
      </c>
      <c r="M9" s="100">
        <f>((0 + 'BRAWLERS OFICIAL'!M9)-'BRAWLERS OFICIAL'!M9)</f>
        <v>0</v>
      </c>
      <c r="N9" s="100">
        <f>((0 + 'BRAWLERS OFICIAL'!N9)-'BRAWLERS OFICIAL'!N9)</f>
        <v>0</v>
      </c>
      <c r="O9" s="100">
        <f>((0 + 'BRAWLERS OFICIAL'!O9)-'BRAWLERS OFICIAL'!O9)</f>
        <v>0</v>
      </c>
      <c r="P9" s="100">
        <f>((0 + 'BRAWLERS OFICIAL'!P9)-'BRAWLERS OFICIAL'!P9)</f>
        <v>0</v>
      </c>
      <c r="Q9" s="100">
        <f>((1280/2 + 'BRAWLERS OFICIAL'!Q9)-'BRAWLERS OFICIAL'!Q9)</f>
        <v>640</v>
      </c>
      <c r="R9" s="100">
        <f>((0 + 'BRAWLERS OFICIAL'!R9)-'BRAWLERS OFICIAL'!R9)</f>
        <v>0</v>
      </c>
      <c r="S9" s="100">
        <f>((0 + 'BRAWLERS OFICIAL'!S9)-'BRAWLERS OFICIAL'!S9)</f>
        <v>0</v>
      </c>
      <c r="T9" s="100">
        <f>((0 + 'BRAWLERS OFICIAL'!T9)-'BRAWLERS OFICIAL'!T9)/($BN9)</f>
        <v>0</v>
      </c>
      <c r="U9" s="100">
        <f>(0 + 'BRAWLERS OFICIAL'!U9)-'BRAWLERS OFICIAL'!U9</f>
        <v>0</v>
      </c>
      <c r="V9" s="103">
        <f>(( 0 + 'BRAWLERS OFICIAL'!V9 + AN9 + AV9/3.5 )-'BRAWLERS OFICIAL'!V9)/($BN9)</f>
        <v>0</v>
      </c>
      <c r="W9" s="101">
        <f>((0 + 'BRAWLERS OFICIAL'!W9)-'BRAWLERS OFICIAL'!W9)/($BN9)</f>
        <v>0</v>
      </c>
      <c r="X9" s="101">
        <f>(((6 + 5 + 4)/3)-'BRAWLERS OFICIAL'!X9)</f>
        <v>0.33333333333333304</v>
      </c>
      <c r="Y9" s="101">
        <f>((0 + 'BRAWLERS OFICIAL'!Y9)-'BRAWLERS OFICIAL'!Y9)/($BN9)</f>
        <v>0</v>
      </c>
      <c r="Z9" s="101">
        <f>((0 + 'BRAWLERS OFICIAL'!Z9)-'BRAWLERS OFICIAL'!Z9)</f>
        <v>0</v>
      </c>
      <c r="AA9" s="101">
        <f>(((3 + 1 + 2 + 3)/4 + 'BRAWLERS OFICIAL'!AA9)-'BRAWLERS OFICIAL'!AA9)/($BN9)</f>
        <v>2.0249999999999999</v>
      </c>
      <c r="AB9" s="101">
        <f>((0 + 'BRAWLERS OFICIAL'!AB9)-'BRAWLERS OFICIAL'!AB9)/($BN9)</f>
        <v>0</v>
      </c>
      <c r="AC9" s="101">
        <f>((0 + 'BRAWLERS OFICIAL'!AC9)-'BRAWLERS OFICIAL'!AC9)/($BN9)</f>
        <v>0</v>
      </c>
      <c r="AD9" s="101">
        <f>((0 + 'BRAWLERS OFICIAL'!AD9)-'BRAWLERS OFICIAL'!AD9)/($BN9)</f>
        <v>0</v>
      </c>
      <c r="AE9" s="101">
        <f>((0 + 'BRAWLERS OFICIAL'!AE9)-'BRAWLERS OFICIAL'!AE9)</f>
        <v>0</v>
      </c>
      <c r="AF9" s="101">
        <f>((0 + 'BRAWLERS OFICIAL'!AF9)-'BRAWLERS OFICIAL'!AF9)</f>
        <v>0</v>
      </c>
      <c r="AG9" s="101">
        <f>((0 + 'BRAWLERS OFICIAL'!AG9)-'BRAWLERS OFICIAL'!AG9)</f>
        <v>0</v>
      </c>
      <c r="AH9" s="101">
        <f>((0 + 'BRAWLERS OFICIAL'!AH9)-'BRAWLERS OFICIAL'!AH9)/($BN9)</f>
        <v>0</v>
      </c>
      <c r="AI9" s="101">
        <f>((0 + 'BRAWLERS OFICIAL'!AI9)-'BRAWLERS OFICIAL'!AI9)/($BN9)</f>
        <v>0</v>
      </c>
      <c r="AJ9" s="101">
        <f>(((BH9/5+1)*AI9 + 'BRAWLERS OFICIAL'!AJ9)-'BRAWLERS OFICIAL'!AJ9)/($BN9)</f>
        <v>0</v>
      </c>
      <c r="AK9" s="101">
        <f>IF( 0 = (1-1), (1-1), ((0 + 'BRAWLERS OFICIAL'!AK9)/1.5)-'BRAWLERS OFICIAL'!AK9 )</f>
        <v>0</v>
      </c>
      <c r="AL9" s="101">
        <f t="shared" si="0"/>
        <v>0</v>
      </c>
      <c r="AM9" s="101">
        <f>((0 + 'BRAWLERS OFICIAL'!AM9)-'BRAWLERS OFICIAL'!AM9)/($BN9)</f>
        <v>0</v>
      </c>
      <c r="AN9" s="101">
        <f>((0/1000 + 'BRAWLERS OFICIAL'!AN9)-'BRAWLERS OFICIAL'!AN9)</f>
        <v>0</v>
      </c>
      <c r="AO9" s="101">
        <f>((0 + 'BRAWLERS OFICIAL'!AO9)-'BRAWLERS OFICIAL'!AO9)</f>
        <v>0</v>
      </c>
      <c r="AP9" s="101">
        <f>IF( 0 = (1-1), (1-1), ((0 + 'BRAWLERS OFICIAL'!AP9)/1.5) )</f>
        <v>0</v>
      </c>
      <c r="AQ9" s="101">
        <f>IF( 0 = (1-1), (1-1), ((0 + 'BRAWLERS OFICIAL'!AQ9)/1.5) )</f>
        <v>0</v>
      </c>
      <c r="AR9" s="101">
        <f>IF( 0 = (1-1), (1-1), ((0 + 'BRAWLERS OFICIAL'!AR9)/2) )</f>
        <v>0</v>
      </c>
      <c r="AS9" s="101">
        <f>((0 + 'BRAWLERS OFICIAL'!AS9)-'BRAWLERS OFICIAL'!AS9)/($BN9)</f>
        <v>0</v>
      </c>
      <c r="AT9" s="101">
        <f>(((0)/4 + 'BRAWLERS OFICIAL'!AT9)-'BRAWLERS OFICIAL'!AT9)</f>
        <v>0</v>
      </c>
      <c r="AU9" s="101">
        <v>0</v>
      </c>
      <c r="AV9" s="100">
        <f>((( 0 )/3 + 'BRAWLERS OFICIAL'!AV9)-'BRAWLERS OFICIAL'!AV9)</f>
        <v>0</v>
      </c>
      <c r="AW9" s="100">
        <f>((( 0 )/2 + 'BRAWLERS OFICIAL'!AW9)-'BRAWLERS OFICIAL'!AW9)/($BN9)</f>
        <v>0</v>
      </c>
      <c r="AX9" s="100">
        <f>((( 0 )/2 + 'BRAWLERS OFICIAL'!AX9)-'BRAWLERS OFICIAL'!AX9)</f>
        <v>0</v>
      </c>
      <c r="AY9" s="100">
        <f>((( 0 )/3 + 'BRAWLERS OFICIAL'!AY9)-'BRAWLERS OFICIAL'!AY9)</f>
        <v>0</v>
      </c>
      <c r="AZ9" s="100">
        <f>((( 0 )/2 + 'BRAWLERS OFICIAL'!AZ9)-'BRAWLERS OFICIAL'!AZ9)/($BN9)</f>
        <v>0</v>
      </c>
      <c r="BA9" s="100">
        <f>((( 0 )/3 + 'BRAWLERS OFICIAL'!BA9)-'BRAWLERS OFICIAL'!BA9)</f>
        <v>0</v>
      </c>
      <c r="BB9" s="100">
        <f>((( 0 )/3 + 'BRAWLERS OFICIAL'!BB9)-'BRAWLERS OFICIAL'!BB9)</f>
        <v>0</v>
      </c>
      <c r="BC9" s="100">
        <f>((0 + 'BRAWLERS OFICIAL'!BC9)-'BRAWLERS OFICIAL'!BC9)/($BN9)</f>
        <v>0</v>
      </c>
      <c r="BD9" s="100">
        <f>((0 + 'BRAWLERS OFICIAL'!BD9)-'BRAWLERS OFICIAL'!BD9)/($BN9)</f>
        <v>0</v>
      </c>
      <c r="BE9" s="100">
        <f>((( 0 )/2 + 'BRAWLERS OFICIAL'!BE9)-'BRAWLERS OFICIAL'!BE9)</f>
        <v>0</v>
      </c>
      <c r="BF9" s="100">
        <f>((0 + 'BRAWLERS OFICIAL'!BF9)-'BRAWLERS OFICIAL'!BF9)/($BN9)</f>
        <v>0</v>
      </c>
      <c r="BG9" s="100">
        <f>((( 0 )/2 + 'BRAWLERS OFICIAL'!BG9)-'BRAWLERS OFICIAL'!BG9)</f>
        <v>0</v>
      </c>
      <c r="BH9" s="100">
        <f>((( 6 + 5 + 4 )/3)-'BRAWLERS OFICIAL'!BH9)</f>
        <v>5</v>
      </c>
      <c r="BI9" s="100">
        <f>((( 0 )/2 + 'BRAWLERS OFICIAL'!BI9)-'BRAWLERS OFICIAL'!BI9)</f>
        <v>0</v>
      </c>
      <c r="BJ9" s="100">
        <f>((0 + 'BRAWLERS OFICIAL'!BJ9)-'BRAWLERS OFICIAL'!BJ9)/($BN9)</f>
        <v>0</v>
      </c>
      <c r="BK9" s="100">
        <f>((0 + 'BRAWLERS OFICIAL'!BK9)-'BRAWLERS OFICIAL'!BK9)/($BN9)</f>
        <v>0</v>
      </c>
      <c r="BL9" s="100">
        <f>((0 + 'BRAWLERS OFICIAL'!BL9)-'BRAWLERS OFICIAL'!BL9)/($BN9)</f>
        <v>0</v>
      </c>
      <c r="BN9" s="100">
        <f>('BRAWLERS OFICIAL'!D9 / 'BRAWLERS OFICIAL'!H9 / (1 + ('BRAWLERS OFICIAL'!Y9/5)))</f>
        <v>1.1111111111111112</v>
      </c>
    </row>
    <row r="10" spans="1:66">
      <c r="B10" s="97" t="s">
        <v>441</v>
      </c>
      <c r="C10" s="98" t="s">
        <v>87</v>
      </c>
      <c r="D10" s="100">
        <f>((0 + 'BRAWLERS OFICIAL'!D10)-'BRAWLERS OFICIAL'!D10)</f>
        <v>0</v>
      </c>
      <c r="E10" s="100">
        <f>((0 + 'BRAWLERS OFICIAL'!E10)-'BRAWLERS OFICIAL'!E10)</f>
        <v>0</v>
      </c>
      <c r="F10" s="100">
        <f>((0 + 'BRAWLERS OFICIAL'!F10)-'BRAWLERS OFICIAL'!F10)</f>
        <v>0</v>
      </c>
      <c r="G10" s="100">
        <f>((0 + 'BRAWLERS OFICIAL'!G10)-'BRAWLERS OFICIAL'!G10)</f>
        <v>0</v>
      </c>
      <c r="H10" s="100">
        <f>((0 + 'BRAWLERS OFICIAL'!H10)-'BRAWLERS OFICIAL'!H10)</f>
        <v>0</v>
      </c>
      <c r="I10" s="100">
        <f>((0 + 'BRAWLERS OFICIAL'!I10)-'BRAWLERS OFICIAL'!I10)</f>
        <v>0</v>
      </c>
      <c r="J10" s="100">
        <f>((0 + 'BRAWLERS OFICIAL'!J10)-'BRAWLERS OFICIAL'!J10)</f>
        <v>0</v>
      </c>
      <c r="K10" s="100">
        <f>((0 + 'BRAWLERS OFICIAL'!K10)-'BRAWLERS OFICIAL'!K10)</f>
        <v>0</v>
      </c>
      <c r="L10" s="100">
        <f>((0 + 'BRAWLERS OFICIAL'!L10)-'BRAWLERS OFICIAL'!L10)</f>
        <v>0</v>
      </c>
      <c r="M10" s="100">
        <f>((0 + 'BRAWLERS OFICIAL'!M10)-'BRAWLERS OFICIAL'!M10)</f>
        <v>0</v>
      </c>
      <c r="N10" s="100">
        <f>((0 + 'BRAWLERS OFICIAL'!N10)-'BRAWLERS OFICIAL'!N10)</f>
        <v>0</v>
      </c>
      <c r="O10" s="100">
        <f>((0 + 'BRAWLERS OFICIAL'!O10)-'BRAWLERS OFICIAL'!O10)</f>
        <v>0</v>
      </c>
      <c r="P10" s="100">
        <f>((0 + 'BRAWLERS OFICIAL'!P10)-'BRAWLERS OFICIAL'!P10)</f>
        <v>0</v>
      </c>
      <c r="Q10" s="100">
        <f>((0 + 'BRAWLERS OFICIAL'!Q10)-'BRAWLERS OFICIAL'!Q10)</f>
        <v>0</v>
      </c>
      <c r="R10" s="100">
        <f>((0 + 'BRAWLERS OFICIAL'!R10)-'BRAWLERS OFICIAL'!R10)</f>
        <v>0</v>
      </c>
      <c r="S10" s="100">
        <f>((0 + 'BRAWLERS OFICIAL'!S10)-'BRAWLERS OFICIAL'!S10)</f>
        <v>0</v>
      </c>
      <c r="T10" s="100">
        <f>((0 + 'BRAWLERS OFICIAL'!T10)-'BRAWLERS OFICIAL'!T10)</f>
        <v>0</v>
      </c>
      <c r="U10" s="100">
        <f>(0 + 'BRAWLERS OFICIAL'!U10)-'BRAWLERS OFICIAL'!U10</f>
        <v>0</v>
      </c>
      <c r="V10" s="103">
        <f>(( 0 + 'BRAWLERS OFICIAL'!V10 + AN10 + 0/3.5 )-'BRAWLERS OFICIAL'!V10)/($BN10)</f>
        <v>0</v>
      </c>
      <c r="W10" s="101">
        <f>((0 + 'BRAWLERS OFICIAL'!W10)-'BRAWLERS OFICIAL'!W10)/($BN10)</f>
        <v>0</v>
      </c>
      <c r="X10" s="101">
        <f>(((0)/3 + 'BRAWLERS OFICIAL'!X10)-'BRAWLERS OFICIAL'!X10)</f>
        <v>0</v>
      </c>
      <c r="Y10" s="101">
        <f>((0 + 'BRAWLERS OFICIAL'!Y10)-'BRAWLERS OFICIAL'!Y10)/($BN10)</f>
        <v>0</v>
      </c>
      <c r="Z10" s="101">
        <f>((0 + 'BRAWLERS OFICIAL'!Z10)-'BRAWLERS OFICIAL'!Z10)</f>
        <v>0</v>
      </c>
      <c r="AA10" s="101">
        <f>(((0)/4 + 'BRAWLERS OFICIAL'!AA10)-'BRAWLERS OFICIAL'!AA10)/($BN10)</f>
        <v>0</v>
      </c>
      <c r="AB10" s="101">
        <f>((0 + 'BRAWLERS OFICIAL'!AB10)-'BRAWLERS OFICIAL'!AB10)/($BN10)</f>
        <v>0</v>
      </c>
      <c r="AC10" s="101">
        <f>((0 + 'BRAWLERS OFICIAL'!AC10)-'BRAWLERS OFICIAL'!AC10)/($BN10)</f>
        <v>0</v>
      </c>
      <c r="AD10" s="101">
        <f>((0 + 'BRAWLERS OFICIAL'!AD10)-'BRAWLERS OFICIAL'!AD10)/($BN10)</f>
        <v>0</v>
      </c>
      <c r="AE10" s="101">
        <f>((0 + 'BRAWLERS OFICIAL'!AE10)-'BRAWLERS OFICIAL'!AE10)</f>
        <v>0</v>
      </c>
      <c r="AF10" s="101">
        <f>((0 + 'BRAWLERS OFICIAL'!AF10)-'BRAWLERS OFICIAL'!AF10)</f>
        <v>0</v>
      </c>
      <c r="AG10" s="101">
        <f>((0 + 'BRAWLERS OFICIAL'!AG10)-'BRAWLERS OFICIAL'!AG10)</f>
        <v>0</v>
      </c>
      <c r="AH10" s="101">
        <f>((0 + 'BRAWLERS OFICIAL'!AH10)-'BRAWLERS OFICIAL'!AH10)/($BN10)</f>
        <v>0</v>
      </c>
      <c r="AI10" s="101">
        <f>((0 + 'BRAWLERS OFICIAL'!AI10)-'BRAWLERS OFICIAL'!AI10)/($BN10)</f>
        <v>0</v>
      </c>
      <c r="AJ10" s="101">
        <f>(((BH10/5+1)*AI10 + 'BRAWLERS OFICIAL'!AJ10)-'BRAWLERS OFICIAL'!AJ10)/($BN10)</f>
        <v>0</v>
      </c>
      <c r="AK10" s="101">
        <f>IF( 0 = (1-1), (1-1), ((0 + 'BRAWLERS OFICIAL'!AK10)/1.5)-'BRAWLERS OFICIAL'!AK10 )</f>
        <v>0</v>
      </c>
      <c r="AL10" s="101">
        <f t="shared" si="0"/>
        <v>0</v>
      </c>
      <c r="AM10" s="101">
        <f>((0 + 'BRAWLERS OFICIAL'!AM10)-'BRAWLERS OFICIAL'!AM10)/($BN10)</f>
        <v>0</v>
      </c>
      <c r="AN10" s="101">
        <f>((0/1000 + 'BRAWLERS OFICIAL'!AN10)-'BRAWLERS OFICIAL'!AN10)</f>
        <v>0</v>
      </c>
      <c r="AO10" s="101">
        <f>((0 + 'BRAWLERS OFICIAL'!AO10)-'BRAWLERS OFICIAL'!AO10)</f>
        <v>0</v>
      </c>
      <c r="AP10" s="101">
        <f>IF( 0 = (1-1), (1-1), ((0 + 'BRAWLERS OFICIAL'!AP10)/1.5) )</f>
        <v>0</v>
      </c>
      <c r="AQ10" s="101">
        <f>IF( 0 = (1-1), (1-1), ((0 + 'BRAWLERS OFICIAL'!AQ10)/1.5) )</f>
        <v>0</v>
      </c>
      <c r="AR10" s="101">
        <f>IF( 0 = (1-1), (1-1), ((0 + 'BRAWLERS OFICIAL'!AR10)/2) )</f>
        <v>0</v>
      </c>
      <c r="AS10" s="101">
        <f>((0 + 'BRAWLERS OFICIAL'!AS10)-'BRAWLERS OFICIAL'!AS10)/($BN10)</f>
        <v>0</v>
      </c>
      <c r="AT10" s="101">
        <f>(((0)/4 + 'BRAWLERS OFICIAL'!AT10)-'BRAWLERS OFICIAL'!AT10)</f>
        <v>0</v>
      </c>
      <c r="AU10" s="101">
        <v>0</v>
      </c>
      <c r="AV10" s="100">
        <f>((10 + 3 + 9)/3 + 'BRAWLERS OFICIAL'!AV10)-'BRAWLERS OFICIAL'!AV10</f>
        <v>7.3333333333333321</v>
      </c>
      <c r="AW10" s="100">
        <f>((( 0 )/2 + 'BRAWLERS OFICIAL'!AW10)-'BRAWLERS OFICIAL'!AW10)/($BN10)</f>
        <v>0</v>
      </c>
      <c r="AX10" s="100">
        <f>((( 0 )/2 + 'BRAWLERS OFICIAL'!AX10)-'BRAWLERS OFICIAL'!AX10)</f>
        <v>0</v>
      </c>
      <c r="AY10" s="100">
        <f>((( 0 )/3 + 'BRAWLERS OFICIAL'!AY10)-'BRAWLERS OFICIAL'!AY10)</f>
        <v>0</v>
      </c>
      <c r="AZ10" s="100">
        <f>((( 0 )/2 + 'BRAWLERS OFICIAL'!AZ10)-'BRAWLERS OFICIAL'!AZ10)/($BN10)</f>
        <v>0</v>
      </c>
      <c r="BA10" s="100">
        <f>((( 0 )/3 + 'BRAWLERS OFICIAL'!BA10)-'BRAWLERS OFICIAL'!BA10)</f>
        <v>0</v>
      </c>
      <c r="BB10" s="100">
        <f>((( 0 )/3 + 'BRAWLERS OFICIAL'!BB10)-'BRAWLERS OFICIAL'!BB10)</f>
        <v>0</v>
      </c>
      <c r="BC10" s="100">
        <f>((0 + 'BRAWLERS OFICIAL'!BC10)-'BRAWLERS OFICIAL'!BC10)/($BN10)</f>
        <v>0</v>
      </c>
      <c r="BD10" s="100">
        <f>((0 + 'BRAWLERS OFICIAL'!BD10)-'BRAWLERS OFICIAL'!BD10)/($BN10)</f>
        <v>0</v>
      </c>
      <c r="BE10" s="100">
        <f>((( 0 )/2 + 'BRAWLERS OFICIAL'!BE10)-'BRAWLERS OFICIAL'!BE10)</f>
        <v>0</v>
      </c>
      <c r="BF10" s="100">
        <f>((0 + 'BRAWLERS OFICIAL'!BF10)-'BRAWLERS OFICIAL'!BF10)/($BN10)</f>
        <v>0</v>
      </c>
      <c r="BG10" s="100">
        <f>((( 0 )/2 + 'BRAWLERS OFICIAL'!BG10)-'BRAWLERS OFICIAL'!BG10)</f>
        <v>0</v>
      </c>
      <c r="BH10" s="100">
        <f>((( 0 )/3 + 'BRAWLERS OFICIAL'!BH10)-'BRAWLERS OFICIAL'!BH10)</f>
        <v>0</v>
      </c>
      <c r="BI10" s="100">
        <f>((( 0 )/2 + 'BRAWLERS OFICIAL'!BI10)-'BRAWLERS OFICIAL'!BI10)</f>
        <v>0</v>
      </c>
      <c r="BJ10" s="100">
        <f>((0 + 'BRAWLERS OFICIAL'!BJ10)-'BRAWLERS OFICIAL'!BJ10)/($BN10)</f>
        <v>0</v>
      </c>
      <c r="BK10" s="100">
        <f>((0 + 'BRAWLERS OFICIAL'!BK10)-'BRAWLERS OFICIAL'!BK10)/($BN10)</f>
        <v>0</v>
      </c>
      <c r="BL10" s="100">
        <f>((0 + 'BRAWLERS OFICIAL'!BL10)-'BRAWLERS OFICIAL'!BL10)/($BN10)</f>
        <v>0</v>
      </c>
      <c r="BN10" s="100">
        <v>1</v>
      </c>
    </row>
    <row r="11" spans="1:66">
      <c r="B11" s="97" t="s">
        <v>442</v>
      </c>
      <c r="C11" s="70" t="s">
        <v>15</v>
      </c>
      <c r="D11" s="100">
        <f>((0 + 'BRAWLERS OFICIAL'!D11)-'BRAWLERS OFICIAL'!D11)</f>
        <v>0</v>
      </c>
      <c r="E11" s="100">
        <f>((0 + 'BRAWLERS OFICIAL'!E11)-'BRAWLERS OFICIAL'!E11)</f>
        <v>0</v>
      </c>
      <c r="F11" s="100">
        <f>((0 + 'BRAWLERS OFICIAL'!F11)-'BRAWLERS OFICIAL'!F11)</f>
        <v>0</v>
      </c>
      <c r="G11" s="100">
        <f>(('BRAWLERS OFICIAL'!G11/2 + 'BRAWLERS OFICIAL'!G11)-'BRAWLERS OFICIAL'!G11)</f>
        <v>0.63250000000000006</v>
      </c>
      <c r="H11" s="100">
        <f>((0 + 'BRAWLERS OFICIAL'!H11)-'BRAWLERS OFICIAL'!H11)</f>
        <v>0</v>
      </c>
      <c r="I11" s="100">
        <f>((0 + 'BRAWLERS OFICIAL'!I11)-'BRAWLERS OFICIAL'!I11)</f>
        <v>0</v>
      </c>
      <c r="J11" s="100">
        <f>((0 + 'BRAWLERS OFICIAL'!J11)-'BRAWLERS OFICIAL'!J11)</f>
        <v>0</v>
      </c>
      <c r="K11" s="100">
        <f>((0 + 'BRAWLERS OFICIAL'!K11)-'BRAWLERS OFICIAL'!K11)</f>
        <v>0</v>
      </c>
      <c r="L11" s="100">
        <f>((0 + 'BRAWLERS OFICIAL'!L11)-'BRAWLERS OFICIAL'!L11)</f>
        <v>0</v>
      </c>
      <c r="M11" s="100">
        <f>((0 + 'BRAWLERS OFICIAL'!M11)-'BRAWLERS OFICIAL'!M11)</f>
        <v>0</v>
      </c>
      <c r="N11" s="100">
        <f>((0 + 'BRAWLERS OFICIAL'!N11)-'BRAWLERS OFICIAL'!N11)</f>
        <v>0</v>
      </c>
      <c r="O11" s="100">
        <f>((0 + 'BRAWLERS OFICIAL'!O11)-'BRAWLERS OFICIAL'!O11)</f>
        <v>0</v>
      </c>
      <c r="P11" s="100">
        <f>((0 + 'BRAWLERS OFICIAL'!P11)-'BRAWLERS OFICIAL'!P11)</f>
        <v>0</v>
      </c>
      <c r="Q11" s="100">
        <f>((0 + 'BRAWLERS OFICIAL'!Q11)-'BRAWLERS OFICIAL'!Q11)</f>
        <v>0</v>
      </c>
      <c r="R11" s="100">
        <f>((0 + 'BRAWLERS OFICIAL'!R11)-'BRAWLERS OFICIAL'!R11)</f>
        <v>0</v>
      </c>
      <c r="S11" s="100">
        <f>((0 + 'BRAWLERS OFICIAL'!S11)-'BRAWLERS OFICIAL'!S11)</f>
        <v>0</v>
      </c>
      <c r="T11" s="100">
        <f>((0 + 'BRAWLERS OFICIAL'!T11)-'BRAWLERS OFICIAL'!T11)/($BN11)</f>
        <v>0</v>
      </c>
      <c r="U11" s="100">
        <f>(0 + 'BRAWLERS OFICIAL'!U11)-'BRAWLERS OFICIAL'!U11</f>
        <v>0</v>
      </c>
      <c r="V11" s="103">
        <f>(( 0 + 'BRAWLERS OFICIAL'!V11 + AN11 + AV11/3.5 )-'BRAWLERS OFICIAL'!V11)/($BN11)</f>
        <v>0.28571428571428559</v>
      </c>
      <c r="W11" s="101">
        <f>((0 + 'BRAWLERS OFICIAL'!W11)-'BRAWLERS OFICIAL'!W11)/($BN11)</f>
        <v>0</v>
      </c>
      <c r="X11" s="101">
        <f>(((0)/3 + 'BRAWLERS OFICIAL'!X11)-'BRAWLERS OFICIAL'!X11)</f>
        <v>0</v>
      </c>
      <c r="Y11" s="101">
        <f>((0 + 'BRAWLERS OFICIAL'!Y11)-'BRAWLERS OFICIAL'!Y11)/($BN11)</f>
        <v>0</v>
      </c>
      <c r="Z11" s="101">
        <f>((0 + 'BRAWLERS OFICIAL'!Z11)-'BRAWLERS OFICIAL'!Z11)</f>
        <v>0</v>
      </c>
      <c r="AA11" s="101">
        <f>(((0)/4 + 'BRAWLERS OFICIAL'!AA11)-'BRAWLERS OFICIAL'!AA11)/($BN11)</f>
        <v>0</v>
      </c>
      <c r="AB11" s="101">
        <f>((0 + 'BRAWLERS OFICIAL'!AB11)-'BRAWLERS OFICIAL'!AB11)/($BN11)</f>
        <v>0</v>
      </c>
      <c r="AC11" s="101">
        <f>((0 + 'BRAWLERS OFICIAL'!AC11)-'BRAWLERS OFICIAL'!AC11)/($BN11)</f>
        <v>0</v>
      </c>
      <c r="AD11" s="101">
        <f>((0 + 'BRAWLERS OFICIAL'!AD11)-'BRAWLERS OFICIAL'!AD11)/($BN11)</f>
        <v>0</v>
      </c>
      <c r="AE11" s="101">
        <f>((0 + 'BRAWLERS OFICIAL'!AE11)-'BRAWLERS OFICIAL'!AE11)</f>
        <v>0</v>
      </c>
      <c r="AF11" s="101">
        <f>((0 + 'BRAWLERS OFICIAL'!AF11)-'BRAWLERS OFICIAL'!AF11)</f>
        <v>0</v>
      </c>
      <c r="AG11" s="101">
        <f>((0 + 'BRAWLERS OFICIAL'!AG11)-'BRAWLERS OFICIAL'!AG11)</f>
        <v>0</v>
      </c>
      <c r="AH11" s="101">
        <f>((0 + 'BRAWLERS OFICIAL'!AH11)-'BRAWLERS OFICIAL'!AH11)/($BN11)</f>
        <v>0</v>
      </c>
      <c r="AI11" s="101">
        <f>((0 + 'BRAWLERS OFICIAL'!AI11)-'BRAWLERS OFICIAL'!AI11)/($BN11)</f>
        <v>0</v>
      </c>
      <c r="AJ11" s="101">
        <f>(((BH11/5+1)*AI11 + 'BRAWLERS OFICIAL'!AJ11)-'BRAWLERS OFICIAL'!AJ11)/($BN11)</f>
        <v>0</v>
      </c>
      <c r="AK11" s="101">
        <f>IF( 0 = (1-1), (1-1), ((0 + 'BRAWLERS OFICIAL'!AK11)/1.5)-'BRAWLERS OFICIAL'!AK11 )</f>
        <v>0</v>
      </c>
      <c r="AL11" s="101">
        <f t="shared" si="0"/>
        <v>0</v>
      </c>
      <c r="AM11" s="101">
        <f>((0 + 'BRAWLERS OFICIAL'!AM11)-'BRAWLERS OFICIAL'!AM11)/($BN11)</f>
        <v>0</v>
      </c>
      <c r="AN11" s="101">
        <f>((0/1000 + 'BRAWLERS OFICIAL'!AN11)-'BRAWLERS OFICIAL'!AN11)</f>
        <v>0</v>
      </c>
      <c r="AO11" s="101">
        <f>((0 + 'BRAWLERS OFICIAL'!AO11)-'BRAWLERS OFICIAL'!AO11)</f>
        <v>0</v>
      </c>
      <c r="AP11" s="101">
        <f>IF( 0 = (1-1), (1-1), ((0 + 'BRAWLERS OFICIAL'!AP11)/1.5) )</f>
        <v>0</v>
      </c>
      <c r="AQ11" s="101">
        <f>IF( 0 = (1-1), (1-1), ((0 + 'BRAWLERS OFICIAL'!AQ11)/1.5) )</f>
        <v>0</v>
      </c>
      <c r="AR11" s="101">
        <f>IF( 0 = (1-1), (1-1), ((0 + 'BRAWLERS OFICIAL'!AR11)/2) )</f>
        <v>0</v>
      </c>
      <c r="AS11" s="101">
        <f>((0 + 'BRAWLERS OFICIAL'!AS11)-'BRAWLERS OFICIAL'!AS11)/($BN11)</f>
        <v>0</v>
      </c>
      <c r="AT11" s="101">
        <f>(((0)/4 + 'BRAWLERS OFICIAL'!AT11)-'BRAWLERS OFICIAL'!AT11)</f>
        <v>0</v>
      </c>
      <c r="AU11" s="101">
        <v>0</v>
      </c>
      <c r="AV11" s="100">
        <f>(10 + 3+8 + 3)/3-'BRAWLERS OFICIAL'!AV11</f>
        <v>1</v>
      </c>
      <c r="AW11" s="100">
        <f>((( 0 )/2 + 'BRAWLERS OFICIAL'!AW11)-'BRAWLERS OFICIAL'!AW11)/($BN11)</f>
        <v>0</v>
      </c>
      <c r="AX11" s="100">
        <f>((( 0 )/2 + 'BRAWLERS OFICIAL'!AX11)-'BRAWLERS OFICIAL'!AX11)</f>
        <v>0</v>
      </c>
      <c r="AY11" s="100">
        <f>((( 0 )/3 + 'BRAWLERS OFICIAL'!AY11)-'BRAWLERS OFICIAL'!AY11)</f>
        <v>0</v>
      </c>
      <c r="AZ11" s="100">
        <f>((( 0 )/2 + 'BRAWLERS OFICIAL'!AZ11)-'BRAWLERS OFICIAL'!AZ11)/($BN11)</f>
        <v>0</v>
      </c>
      <c r="BA11" s="100">
        <f>((( 0 )/3 + 'BRAWLERS OFICIAL'!BA11)-'BRAWLERS OFICIAL'!BA11)</f>
        <v>0</v>
      </c>
      <c r="BB11" s="100">
        <f>((( 0 )/3 + 'BRAWLERS OFICIAL'!BB11)-'BRAWLERS OFICIAL'!BB11)</f>
        <v>0</v>
      </c>
      <c r="BC11" s="100">
        <f>((0 + 'BRAWLERS OFICIAL'!BC11)-'BRAWLERS OFICIAL'!BC11)/($BN11)</f>
        <v>0</v>
      </c>
      <c r="BD11" s="100">
        <f>((0 + 'BRAWLERS OFICIAL'!BD11)-'BRAWLERS OFICIAL'!BD11)/($BN11)</f>
        <v>0</v>
      </c>
      <c r="BE11" s="100">
        <f>((( 0 )/2 + 'BRAWLERS OFICIAL'!BE11)-'BRAWLERS OFICIAL'!BE11)</f>
        <v>0</v>
      </c>
      <c r="BF11" s="100">
        <f>((0 + 'BRAWLERS OFICIAL'!BF11)-'BRAWLERS OFICIAL'!BF11)/($BN11)</f>
        <v>0</v>
      </c>
      <c r="BG11" s="100">
        <f>((( 0 )/2 + 'BRAWLERS OFICIAL'!BG11)-'BRAWLERS OFICIAL'!BG11)</f>
        <v>0</v>
      </c>
      <c r="BH11" s="100">
        <f>((( 0 )/3 + 'BRAWLERS OFICIAL'!BH11)-'BRAWLERS OFICIAL'!BH11)</f>
        <v>0</v>
      </c>
      <c r="BI11" s="100">
        <f>((( 0 )/2 + 'BRAWLERS OFICIAL'!BI11)-'BRAWLERS OFICIAL'!BI11)</f>
        <v>0</v>
      </c>
      <c r="BJ11" s="100">
        <f>((0 + 'BRAWLERS OFICIAL'!BJ11)-'BRAWLERS OFICIAL'!BJ11)/($BN11)</f>
        <v>0</v>
      </c>
      <c r="BK11" s="100">
        <f>((0 + 'BRAWLERS OFICIAL'!BK11)-'BRAWLERS OFICIAL'!BK11)/($BN11)</f>
        <v>0</v>
      </c>
      <c r="BL11" s="100">
        <f>((0 + 'BRAWLERS OFICIAL'!BL11)-'BRAWLERS OFICIAL'!BL11)/($BN11)</f>
        <v>0</v>
      </c>
      <c r="BN11" s="100">
        <v>1</v>
      </c>
    </row>
    <row r="12" spans="1:66">
      <c r="B12" s="97" t="s">
        <v>443</v>
      </c>
      <c r="C12" s="98" t="s">
        <v>43</v>
      </c>
      <c r="D12" s="100">
        <f>((0 + 'BRAWLERS OFICIAL'!D12)-'BRAWLERS OFICIAL'!D12)</f>
        <v>0</v>
      </c>
      <c r="E12" s="100">
        <f>((0 + 'BRAWLERS OFICIAL'!E12)-'BRAWLERS OFICIAL'!E12)</f>
        <v>0</v>
      </c>
      <c r="F12" s="100">
        <f>(('BRAWLERS OFICIAL'!F12/20*3 + 'BRAWLERS OFICIAL'!F12)-'BRAWLERS OFICIAL'!F12)</f>
        <v>348</v>
      </c>
      <c r="G12" s="100">
        <f>((0 + 'BRAWLERS OFICIAL'!G12)-'BRAWLERS OFICIAL'!G12)</f>
        <v>0</v>
      </c>
      <c r="H12" s="100">
        <f>((0 + 'BRAWLERS OFICIAL'!H12)-'BRAWLERS OFICIAL'!H12)</f>
        <v>0</v>
      </c>
      <c r="I12" s="100">
        <f>((0 + 'BRAWLERS OFICIAL'!I12)-'BRAWLERS OFICIAL'!I12)</f>
        <v>0</v>
      </c>
      <c r="J12" s="100">
        <f>((0 + 'BRAWLERS OFICIAL'!J12)-'BRAWLERS OFICIAL'!J12)</f>
        <v>0</v>
      </c>
      <c r="K12" s="100">
        <f>((0 + 'BRAWLERS OFICIAL'!K12)-'BRAWLERS OFICIAL'!K12)</f>
        <v>0</v>
      </c>
      <c r="L12" s="100">
        <f>((0 + 'BRAWLERS OFICIAL'!L12)-'BRAWLERS OFICIAL'!L12)</f>
        <v>0</v>
      </c>
      <c r="M12" s="100">
        <f>((0 + 'BRAWLERS OFICIAL'!M12)-'BRAWLERS OFICIAL'!M12)</f>
        <v>0</v>
      </c>
      <c r="N12" s="100">
        <f>((0 + 'BRAWLERS OFICIAL'!N12)-'BRAWLERS OFICIAL'!N12)</f>
        <v>0</v>
      </c>
      <c r="O12" s="100">
        <f>((0 + 'BRAWLERS OFICIAL'!O12)-'BRAWLERS OFICIAL'!O12)</f>
        <v>0</v>
      </c>
      <c r="P12" s="100">
        <f>((0 + 'BRAWLERS OFICIAL'!P12)-'BRAWLERS OFICIAL'!P12)</f>
        <v>0</v>
      </c>
      <c r="Q12" s="100">
        <f>((0 + 'BRAWLERS OFICIAL'!Q12)-'BRAWLERS OFICIAL'!Q12)</f>
        <v>0</v>
      </c>
      <c r="R12" s="100">
        <f>((0 + 'BRAWLERS OFICIAL'!R12)-'BRAWLERS OFICIAL'!R12)</f>
        <v>0</v>
      </c>
      <c r="S12" s="100">
        <f>((0 + 'BRAWLERS OFICIAL'!S12)-'BRAWLERS OFICIAL'!S12)</f>
        <v>0</v>
      </c>
      <c r="T12" s="100">
        <f>((0 + 'BRAWLERS OFICIAL'!T12)-'BRAWLERS OFICIAL'!T12)/($BN12)</f>
        <v>0</v>
      </c>
      <c r="U12" s="100">
        <f>(0 + 'BRAWLERS OFICIAL'!U12)-'BRAWLERS OFICIAL'!U12</f>
        <v>0</v>
      </c>
      <c r="V12" s="103">
        <f>(( 0 + 'BRAWLERS OFICIAL'!V12 + AN12 + (6 + 9 + 3)/3/3.5 )-'BRAWLERS OFICIAL'!V12)/($BN12)</f>
        <v>0.68571428571428539</v>
      </c>
      <c r="W12" s="101">
        <f>((0 + 'BRAWLERS OFICIAL'!W12)-'BRAWLERS OFICIAL'!W12)/($BN12)</f>
        <v>0</v>
      </c>
      <c r="X12" s="101">
        <f>(((0)/3 + 'BRAWLERS OFICIAL'!X12)-'BRAWLERS OFICIAL'!X12)</f>
        <v>0</v>
      </c>
      <c r="Y12" s="101">
        <f>((0 + 'BRAWLERS OFICIAL'!Y12)-'BRAWLERS OFICIAL'!Y12)/($BN12)</f>
        <v>0</v>
      </c>
      <c r="Z12" s="101">
        <f>((0 + 'BRAWLERS OFICIAL'!Z12)-'BRAWLERS OFICIAL'!Z12)</f>
        <v>0</v>
      </c>
      <c r="AA12" s="101">
        <f>(((0)/4 + 'BRAWLERS OFICIAL'!AA12)-'BRAWLERS OFICIAL'!AA12)/($BN12)</f>
        <v>0</v>
      </c>
      <c r="AB12" s="101">
        <f>((0 + 'BRAWLERS OFICIAL'!AB12)-'BRAWLERS OFICIAL'!AB12)/($BN12)</f>
        <v>0</v>
      </c>
      <c r="AC12" s="101">
        <f>((0 + 'BRAWLERS OFICIAL'!AC12)-'BRAWLERS OFICIAL'!AC12)/($BN12)</f>
        <v>0</v>
      </c>
      <c r="AD12" s="101">
        <f>((0 + 'BRAWLERS OFICIAL'!AD12)-'BRAWLERS OFICIAL'!AD12)/($BN12)</f>
        <v>0</v>
      </c>
      <c r="AE12" s="101">
        <f>((0 + 'BRAWLERS OFICIAL'!AE12)-'BRAWLERS OFICIAL'!AE12)</f>
        <v>0</v>
      </c>
      <c r="AF12" s="101">
        <f>((0 + 'BRAWLERS OFICIAL'!AF12)-'BRAWLERS OFICIAL'!AF12)</f>
        <v>0</v>
      </c>
      <c r="AG12" s="101">
        <f>((0 + 'BRAWLERS OFICIAL'!AG12)-'BRAWLERS OFICIAL'!AG12)</f>
        <v>0</v>
      </c>
      <c r="AH12" s="101">
        <f>((0 + 'BRAWLERS OFICIAL'!AH12)-'BRAWLERS OFICIAL'!AH12)/($BN12)</f>
        <v>0</v>
      </c>
      <c r="AI12" s="101">
        <f>((0 + 'BRAWLERS OFICIAL'!AI12)-'BRAWLERS OFICIAL'!AI12)/($BN12)</f>
        <v>0</v>
      </c>
      <c r="AJ12" s="101">
        <f>(((BH12/5+1)*AI12 + 'BRAWLERS OFICIAL'!AJ12)-'BRAWLERS OFICIAL'!AJ12)/($BN12)</f>
        <v>0</v>
      </c>
      <c r="AK12" s="101">
        <f>IF( 0 = (1-1), (1-1), ((0 + 'BRAWLERS OFICIAL'!AK12)/1.5)-'BRAWLERS OFICIAL'!AK12 )</f>
        <v>0</v>
      </c>
      <c r="AL12" s="101">
        <f t="shared" si="0"/>
        <v>0</v>
      </c>
      <c r="AM12" s="101">
        <f>((0 + 'BRAWLERS OFICIAL'!AM12)-'BRAWLERS OFICIAL'!AM12)/($BN12)</f>
        <v>0</v>
      </c>
      <c r="AN12" s="101">
        <f>((0/1000 + 'BRAWLERS OFICIAL'!AN12)-'BRAWLERS OFICIAL'!AN12)</f>
        <v>0</v>
      </c>
      <c r="AO12" s="101">
        <f>((0 + 'BRAWLERS OFICIAL'!AO12)-'BRAWLERS OFICIAL'!AO12)</f>
        <v>0</v>
      </c>
      <c r="AP12" s="101">
        <f>IF( 0 = (1-1), (1-1), ((0 + 'BRAWLERS OFICIAL'!AP12)/1.5) )</f>
        <v>0</v>
      </c>
      <c r="AQ12" s="101">
        <f>IF( 0 = (1-1), (1-1), ((0 + 'BRAWLERS OFICIAL'!AQ12)/1.5) )</f>
        <v>0</v>
      </c>
      <c r="AR12" s="101">
        <f>IF( 0 = (1-1), (1-1), ((0 + 'BRAWLERS OFICIAL'!AR12)/2) )</f>
        <v>0</v>
      </c>
      <c r="AS12" s="101">
        <f>((0 + 'BRAWLERS OFICIAL'!AS12)-'BRAWLERS OFICIAL'!AS12)/($BN12)</f>
        <v>0</v>
      </c>
      <c r="AT12" s="101">
        <f>(((0)/4 + 'BRAWLERS OFICIAL'!AT12)-'BRAWLERS OFICIAL'!AT12)</f>
        <v>0</v>
      </c>
      <c r="AU12" s="101">
        <v>2.5</v>
      </c>
      <c r="AV12" s="100">
        <f>((( 0 )/3 + 'BRAWLERS OFICIAL'!AV12)-'BRAWLERS OFICIAL'!AV12)</f>
        <v>0</v>
      </c>
      <c r="AW12" s="100">
        <f>((( 0 )/2 + 'BRAWLERS OFICIAL'!AW12)-'BRAWLERS OFICIAL'!AW12)/($BN12)</f>
        <v>0</v>
      </c>
      <c r="AX12" s="100">
        <f>((( 0 )/2 + 'BRAWLERS OFICIAL'!AX12)-'BRAWLERS OFICIAL'!AX12)</f>
        <v>0</v>
      </c>
      <c r="AY12" s="100">
        <f>((( 0 )/3 + 'BRAWLERS OFICIAL'!AY12)-'BRAWLERS OFICIAL'!AY12)</f>
        <v>0</v>
      </c>
      <c r="AZ12" s="100">
        <f>((( 0 )/2 + 'BRAWLERS OFICIAL'!AZ12)-'BRAWLERS OFICIAL'!AZ12)/($BN12)</f>
        <v>0</v>
      </c>
      <c r="BA12" s="100">
        <f>((( 0 )/3 + 'BRAWLERS OFICIAL'!BA12)-'BRAWLERS OFICIAL'!BA12)</f>
        <v>0</v>
      </c>
      <c r="BB12" s="100">
        <f>((( 0 )/3 + 'BRAWLERS OFICIAL'!BB12)-'BRAWLERS OFICIAL'!BB12)</f>
        <v>0</v>
      </c>
      <c r="BC12" s="100">
        <f>((0 + 'BRAWLERS OFICIAL'!BC12)-'BRAWLERS OFICIAL'!BC12)/($BN12)</f>
        <v>0</v>
      </c>
      <c r="BD12" s="100">
        <f>((0 + 'BRAWLERS OFICIAL'!BD12)-'BRAWLERS OFICIAL'!BD12)/($BN12)</f>
        <v>0</v>
      </c>
      <c r="BE12" s="100">
        <f>((( 0 )/2 + 'BRAWLERS OFICIAL'!BE12)-'BRAWLERS OFICIAL'!BE12)</f>
        <v>0</v>
      </c>
      <c r="BF12" s="100">
        <f>((0 + 'BRAWLERS OFICIAL'!BF12)-'BRAWLERS OFICIAL'!BF12)/($BN12)</f>
        <v>0</v>
      </c>
      <c r="BG12" s="100">
        <f>((( 0 )/2 + 'BRAWLERS OFICIAL'!BG12)-'BRAWLERS OFICIAL'!BG12)</f>
        <v>0</v>
      </c>
      <c r="BH12" s="100">
        <f>((( 0 )/3 + 'BRAWLERS OFICIAL'!BH12)-'BRAWLERS OFICIAL'!BH12)</f>
        <v>0</v>
      </c>
      <c r="BI12" s="100">
        <f>((( 0 )/2 + 'BRAWLERS OFICIAL'!BI12)-'BRAWLERS OFICIAL'!BI12)</f>
        <v>0</v>
      </c>
      <c r="BJ12" s="100">
        <f>((0 + 'BRAWLERS OFICIAL'!BJ12)-'BRAWLERS OFICIAL'!BJ12)/($BN12)</f>
        <v>0</v>
      </c>
      <c r="BK12" s="100">
        <f>((0 + 'BRAWLERS OFICIAL'!BK12)-'BRAWLERS OFICIAL'!BK12)/($BN12)</f>
        <v>0</v>
      </c>
      <c r="BL12" s="100">
        <f>((0 + 'BRAWLERS OFICIAL'!BL12)-'BRAWLERS OFICIAL'!BL12)/($BN12)</f>
        <v>0</v>
      </c>
      <c r="BN12" s="100">
        <v>2.5</v>
      </c>
    </row>
    <row r="13" spans="1:66">
      <c r="B13" s="97" t="s">
        <v>444</v>
      </c>
      <c r="C13" s="70" t="s">
        <v>93</v>
      </c>
      <c r="D13" s="100">
        <f>((0 + 'BRAWLERS OFICIAL'!D13)-'BRAWLERS OFICIAL'!D13)</f>
        <v>0</v>
      </c>
      <c r="E13" s="100">
        <f>((0 + 'BRAWLERS OFICIAL'!E13)-'BRAWLERS OFICIAL'!E13)</f>
        <v>0</v>
      </c>
      <c r="F13" s="100">
        <f>((0 + 'BRAWLERS OFICIAL'!F13)-'BRAWLERS OFICIAL'!F13)</f>
        <v>0</v>
      </c>
      <c r="G13" s="100">
        <f>((0 + 'BRAWLERS OFICIAL'!G13)-'BRAWLERS OFICIAL'!G13)</f>
        <v>0</v>
      </c>
      <c r="H13" s="100">
        <f>((0 + 'BRAWLERS OFICIAL'!H13)-'BRAWLERS OFICIAL'!H13)</f>
        <v>0</v>
      </c>
      <c r="I13" s="100">
        <f>((0 + 'BRAWLERS OFICIAL'!I13)-'BRAWLERS OFICIAL'!I13)</f>
        <v>0</v>
      </c>
      <c r="J13" s="100">
        <f>((0 + 'BRAWLERS OFICIAL'!J13)-'BRAWLERS OFICIAL'!J13)</f>
        <v>0</v>
      </c>
      <c r="K13" s="100">
        <f>((0 + 'BRAWLERS OFICIAL'!K13)-'BRAWLERS OFICIAL'!K13)</f>
        <v>0</v>
      </c>
      <c r="L13" s="100">
        <f>((0 + 'BRAWLERS OFICIAL'!L13)-'BRAWLERS OFICIAL'!L13)</f>
        <v>0</v>
      </c>
      <c r="M13" s="100">
        <f>((0 + 'BRAWLERS OFICIAL'!M13)-'BRAWLERS OFICIAL'!M13)</f>
        <v>0</v>
      </c>
      <c r="N13" s="100">
        <f>((0 + 'BRAWLERS OFICIAL'!N13)-'BRAWLERS OFICIAL'!N13)</f>
        <v>0</v>
      </c>
      <c r="O13" s="100">
        <f>((216*9/2 + 'BRAWLERS OFICIAL'!O13)-'BRAWLERS OFICIAL'!O13)</f>
        <v>972</v>
      </c>
      <c r="P13" s="100">
        <f>((216*9/3 + 'BRAWLERS OFICIAL'!P13)-'BRAWLERS OFICIAL'!P13)</f>
        <v>648</v>
      </c>
      <c r="Q13" s="100">
        <f>((216*9/4 + 'BRAWLERS OFICIAL'!Q13)-'BRAWLERS OFICIAL'!Q13)</f>
        <v>486</v>
      </c>
      <c r="R13" s="100">
        <f>((216*9/5 + 'BRAWLERS OFICIAL'!R13)-'BRAWLERS OFICIAL'!R13)</f>
        <v>388.8</v>
      </c>
      <c r="S13" s="100">
        <f>((216*9 + 'BRAWLERS OFICIAL'!S13)-'BRAWLERS OFICIAL'!S13)</f>
        <v>1944</v>
      </c>
      <c r="T13" s="100">
        <f>((0 + 'BRAWLERS OFICIAL'!T13)-'BRAWLERS OFICIAL'!T13)/($BN13)</f>
        <v>0</v>
      </c>
      <c r="U13" s="100">
        <f>(0 + 'BRAWLERS OFICIAL'!U13)-'BRAWLERS OFICIAL'!U13</f>
        <v>0</v>
      </c>
      <c r="V13" s="103">
        <f>(( 0 + 'BRAWLERS OFICIAL'!V13 + AN13 + AV13/3.5 )-'BRAWLERS OFICIAL'!V13)/($BN13)</f>
        <v>0</v>
      </c>
      <c r="W13" s="101">
        <f>((4 + 'BRAWLERS OFICIAL'!W13)-'BRAWLERS OFICIAL'!W13)/($BN13)</f>
        <v>1.3333333333333333</v>
      </c>
      <c r="X13" s="101">
        <f>(((0)/3 + 'BRAWLERS OFICIAL'!X13)-'BRAWLERS OFICIAL'!X13)</f>
        <v>0</v>
      </c>
      <c r="Y13" s="101">
        <f>((2 + 'BRAWLERS OFICIAL'!Y13)-'BRAWLERS OFICIAL'!Y13)/($BN13)</f>
        <v>0.66666666666666663</v>
      </c>
      <c r="Z13" s="101">
        <f>((2 + 'BRAWLERS OFICIAL'!Z13)-'BRAWLERS OFICIAL'!Z13)</f>
        <v>2</v>
      </c>
      <c r="AA13" s="101">
        <f>(((11 + 10 + 9 + 5)/4)-'BRAWLERS OFICIAL'!AA13)/($BN13)</f>
        <v>0.16666666666666666</v>
      </c>
      <c r="AB13" s="101">
        <f>((0 + 'BRAWLERS OFICIAL'!AB13)-'BRAWLERS OFICIAL'!AB13)/($BN13)</f>
        <v>0</v>
      </c>
      <c r="AC13" s="101">
        <f>((0 + 'BRAWLERS OFICIAL'!AC13)-'BRAWLERS OFICIAL'!AC13)/($BN13)</f>
        <v>0</v>
      </c>
      <c r="AD13" s="101">
        <f>((0 + 'BRAWLERS OFICIAL'!AD13)-'BRAWLERS OFICIAL'!AD13)/($BN13)</f>
        <v>0</v>
      </c>
      <c r="AE13" s="101">
        <f>((0 + 'BRAWLERS OFICIAL'!AE13)-'BRAWLERS OFICIAL'!AE13)</f>
        <v>0</v>
      </c>
      <c r="AF13" s="101">
        <f>((0 + 'BRAWLERS OFICIAL'!AF13)-'BRAWLERS OFICIAL'!AF13)</f>
        <v>0</v>
      </c>
      <c r="AG13" s="101">
        <f>((0 + 'BRAWLERS OFICIAL'!AG13)-'BRAWLERS OFICIAL'!AG13)</f>
        <v>0</v>
      </c>
      <c r="AH13" s="101">
        <f>((0 + 'BRAWLERS OFICIAL'!AH13)-'BRAWLERS OFICIAL'!AH13)/($BN13)</f>
        <v>0</v>
      </c>
      <c r="AI13" s="101">
        <f>((0 + 'BRAWLERS OFICIAL'!AI13)-'BRAWLERS OFICIAL'!AI13)/($BN13)</f>
        <v>0</v>
      </c>
      <c r="AJ13" s="101">
        <f>(((BH13/5+1)*AI13 + 'BRAWLERS OFICIAL'!AJ13)-'BRAWLERS OFICIAL'!AJ13)/($BN13)</f>
        <v>0</v>
      </c>
      <c r="AK13" s="101">
        <f>IF( 0 = (1-1), (1-1), ((0 + 'BRAWLERS OFICIAL'!AK13)/1.5)-'BRAWLERS OFICIAL'!AK13 )</f>
        <v>0</v>
      </c>
      <c r="AL13" s="101">
        <f t="shared" si="0"/>
        <v>0</v>
      </c>
      <c r="AM13" s="101">
        <f>((0 + 'BRAWLERS OFICIAL'!AM13)-'BRAWLERS OFICIAL'!AM13)/($BN13)</f>
        <v>0</v>
      </c>
      <c r="AN13" s="101">
        <f>((0/1000 + 'BRAWLERS OFICIAL'!AN13)-'BRAWLERS OFICIAL'!AN13)</f>
        <v>0</v>
      </c>
      <c r="AO13" s="101">
        <f>((0 + 'BRAWLERS OFICIAL'!AO13)-'BRAWLERS OFICIAL'!AO13)</f>
        <v>0</v>
      </c>
      <c r="AP13" s="101">
        <f>IF( 0 = (1-1), (1-1), ((0 + 'BRAWLERS OFICIAL'!AP13)/1.5) )</f>
        <v>0</v>
      </c>
      <c r="AQ13" s="101">
        <f>IF( 0 = (1-1), (1-1), ((0 + 'BRAWLERS OFICIAL'!AQ13)/1.5) )</f>
        <v>0</v>
      </c>
      <c r="AR13" s="101">
        <f>IF( 0 = (1-1), (1-1), ((0 + 'BRAWLERS OFICIAL'!AR13)/2) )</f>
        <v>0</v>
      </c>
      <c r="AS13" s="101">
        <f>((0 + 'BRAWLERS OFICIAL'!AS13)-'BRAWLERS OFICIAL'!AS13)/($BN13)</f>
        <v>0</v>
      </c>
      <c r="AT13" s="101">
        <f>(10 + 10 + 3 + 5)/4</f>
        <v>7</v>
      </c>
      <c r="AU13" s="101">
        <v>0</v>
      </c>
      <c r="AV13" s="100">
        <f>((( 0 )/3 + 'BRAWLERS OFICIAL'!AV13)-'BRAWLERS OFICIAL'!AV13)</f>
        <v>0</v>
      </c>
      <c r="AW13" s="100">
        <f>((( 0 )/2 + 'BRAWLERS OFICIAL'!AW13)-'BRAWLERS OFICIAL'!AW13)/($BN13)</f>
        <v>0</v>
      </c>
      <c r="AX13" s="100">
        <f>((( 0 )/2 + 'BRAWLERS OFICIAL'!AX13)-'BRAWLERS OFICIAL'!AX13)</f>
        <v>0</v>
      </c>
      <c r="AY13" s="100">
        <f>((( 0 )/3 + 'BRAWLERS OFICIAL'!AY13)-'BRAWLERS OFICIAL'!AY13)</f>
        <v>0</v>
      </c>
      <c r="AZ13" s="100">
        <f>((( 0 )/2 + 'BRAWLERS OFICIAL'!AZ13)-'BRAWLERS OFICIAL'!AZ13)/($BN13)</f>
        <v>0</v>
      </c>
      <c r="BA13" s="100">
        <f>((( 0 )/3 + 'BRAWLERS OFICIAL'!BA13)-'BRAWLERS OFICIAL'!BA13)</f>
        <v>0</v>
      </c>
      <c r="BB13" s="100">
        <f>((( 0 )/3 + 'BRAWLERS OFICIAL'!BB13)-'BRAWLERS OFICIAL'!BB13)</f>
        <v>0</v>
      </c>
      <c r="BC13" s="100">
        <f>((0 + 'BRAWLERS OFICIAL'!BC13)-'BRAWLERS OFICIAL'!BC13)/($BN13)</f>
        <v>0</v>
      </c>
      <c r="BD13" s="100">
        <f>((0 + 'BRAWLERS OFICIAL'!BD13)-'BRAWLERS OFICIAL'!BD13)/($BN13)</f>
        <v>0</v>
      </c>
      <c r="BE13" s="100">
        <f>((( 0 )/2 + 'BRAWLERS OFICIAL'!BE13)-'BRAWLERS OFICIAL'!BE13)</f>
        <v>0</v>
      </c>
      <c r="BF13" s="100">
        <f>((0 + 'BRAWLERS OFICIAL'!BF13)-'BRAWLERS OFICIAL'!BF13)/($BN13)</f>
        <v>0</v>
      </c>
      <c r="BG13" s="100">
        <f>((( 0 )/2 + 'BRAWLERS OFICIAL'!BG13)-'BRAWLERS OFICIAL'!BG13)</f>
        <v>0</v>
      </c>
      <c r="BH13" s="100">
        <f>((( 0 )/3 + 'BRAWLERS OFICIAL'!BH13)-'BRAWLERS OFICIAL'!BH13)</f>
        <v>0</v>
      </c>
      <c r="BI13" s="100">
        <f>((( 0 )/2 + 'BRAWLERS OFICIAL'!BI13)-'BRAWLERS OFICIAL'!BI13)</f>
        <v>0</v>
      </c>
      <c r="BJ13" s="100">
        <f>((0 + 'BRAWLERS OFICIAL'!BJ13)-'BRAWLERS OFICIAL'!BJ13)/($BN13)</f>
        <v>0</v>
      </c>
      <c r="BK13" s="100">
        <f>((0 + 'BRAWLERS OFICIAL'!BK13)-'BRAWLERS OFICIAL'!BK13)/($BN13)</f>
        <v>0</v>
      </c>
      <c r="BL13" s="100">
        <f>((0 + 'BRAWLERS OFICIAL'!BL13)-'BRAWLERS OFICIAL'!BL13)/($BN13)</f>
        <v>0</v>
      </c>
      <c r="BN13" s="100">
        <f>('BRAWLERS OFICIAL'!D13 / 'BRAWLERS OFICIAL'!H13 / (1 + ('BRAWLERS OFICIAL'!Y13/5)))</f>
        <v>3</v>
      </c>
    </row>
    <row r="14" spans="1:66">
      <c r="B14" s="97" t="s">
        <v>445</v>
      </c>
      <c r="C14" s="98" t="s">
        <v>53</v>
      </c>
      <c r="D14" s="100">
        <f>((0 + 'BRAWLERS OFICIAL'!D14)-'BRAWLERS OFICIAL'!D14)</f>
        <v>0</v>
      </c>
      <c r="E14" s="100">
        <f>((0 + 'BRAWLERS OFICIAL'!E14)-'BRAWLERS OFICIAL'!E14)</f>
        <v>0</v>
      </c>
      <c r="F14" s="100">
        <f>((0 + 'BRAWLERS OFICIAL'!F14)-'BRAWLERS OFICIAL'!F14)</f>
        <v>0</v>
      </c>
      <c r="G14" s="100">
        <f>((0 + 'BRAWLERS OFICIAL'!G14)-'BRAWLERS OFICIAL'!G14)</f>
        <v>0</v>
      </c>
      <c r="H14" s="100">
        <f>((0.3 + 'BRAWLERS OFICIAL'!H14)-'BRAWLERS OFICIAL'!H14)</f>
        <v>0.30000000000000004</v>
      </c>
      <c r="I14" s="100">
        <f>((0.3 + 'BRAWLERS OFICIAL'!I14)-'BRAWLERS OFICIAL'!I14)</f>
        <v>0.30000000000000004</v>
      </c>
      <c r="J14" s="100">
        <f>((0.2 + 'BRAWLERS OFICIAL'!J14)-'BRAWLERS OFICIAL'!J14)</f>
        <v>0.19999999999999996</v>
      </c>
      <c r="K14" s="100">
        <f>((0 + 'BRAWLERS OFICIAL'!K14)-'BRAWLERS OFICIAL'!K14)</f>
        <v>0</v>
      </c>
      <c r="L14" s="100">
        <f>((0 + 'BRAWLERS OFICIAL'!L14)-'BRAWLERS OFICIAL'!L14)</f>
        <v>0</v>
      </c>
      <c r="M14" s="100">
        <f>((0 + 'BRAWLERS OFICIAL'!M14)-'BRAWLERS OFICIAL'!M14)</f>
        <v>0</v>
      </c>
      <c r="N14" s="100">
        <f>((0 + 'BRAWLERS OFICIAL'!N14)-'BRAWLERS OFICIAL'!N14)</f>
        <v>0</v>
      </c>
      <c r="O14" s="100">
        <f>((0 + 'BRAWLERS OFICIAL'!O14)-'BRAWLERS OFICIAL'!O14)</f>
        <v>0</v>
      </c>
      <c r="P14" s="100">
        <f>((0 + 'BRAWLERS OFICIAL'!P14)-'BRAWLERS OFICIAL'!P14)</f>
        <v>0</v>
      </c>
      <c r="Q14" s="100">
        <f>((0 + 'BRAWLERS OFICIAL'!Q14)-'BRAWLERS OFICIAL'!Q14)</f>
        <v>0</v>
      </c>
      <c r="R14" s="100">
        <f>((0 + 'BRAWLERS OFICIAL'!R14)-'BRAWLERS OFICIAL'!R14)</f>
        <v>0</v>
      </c>
      <c r="S14" s="100">
        <f>((0 + 'BRAWLERS OFICIAL'!S14)-'BRAWLERS OFICIAL'!S14)</f>
        <v>0</v>
      </c>
      <c r="T14" s="100">
        <f>((0 + 'BRAWLERS OFICIAL'!T14)-'BRAWLERS OFICIAL'!T14)</f>
        <v>0</v>
      </c>
      <c r="U14" s="100">
        <f>(0 + 'BRAWLERS OFICIAL'!U14)-'BRAWLERS OFICIAL'!U14</f>
        <v>0</v>
      </c>
      <c r="V14" s="103">
        <f>(( 0 + 'BRAWLERS OFICIAL'!V14 + AN14 + AV14/3.5 )-'BRAWLERS OFICIAL'!V14)/($BN14)</f>
        <v>0</v>
      </c>
      <c r="W14" s="101">
        <f>((0.5 + 'BRAWLERS OFICIAL'!W14)-'BRAWLERS OFICIAL'!W14)/($BN14)</f>
        <v>0.25</v>
      </c>
      <c r="X14" s="101">
        <f>(((0)/3 + 'BRAWLERS OFICIAL'!X14)-'BRAWLERS OFICIAL'!X14)</f>
        <v>0</v>
      </c>
      <c r="Y14" s="101">
        <f>((0 + 'BRAWLERS OFICIAL'!Y14)-'BRAWLERS OFICIAL'!Y14)/($BN14)</f>
        <v>0</v>
      </c>
      <c r="Z14" s="101">
        <f>((0 + 'BRAWLERS OFICIAL'!Z14)-'BRAWLERS OFICIAL'!Z14)</f>
        <v>0</v>
      </c>
      <c r="AA14" s="101">
        <f>(((0)/4 + 'BRAWLERS OFICIAL'!AA14)-'BRAWLERS OFICIAL'!AA14)/($BN14)</f>
        <v>0</v>
      </c>
      <c r="AB14" s="101">
        <f>((0 + 'BRAWLERS OFICIAL'!AB14)-'BRAWLERS OFICIAL'!AB14)/($BN14)</f>
        <v>0</v>
      </c>
      <c r="AC14" s="101">
        <f>((0 + 'BRAWLERS OFICIAL'!AC14)-'BRAWLERS OFICIAL'!AC14)/($BN14)</f>
        <v>0</v>
      </c>
      <c r="AD14" s="101">
        <f>((0 + 'BRAWLERS OFICIAL'!AD14)-'BRAWLERS OFICIAL'!AD14)/($BN14)</f>
        <v>0</v>
      </c>
      <c r="AE14" s="101">
        <f>((0 + 'BRAWLERS OFICIAL'!AE14)-'BRAWLERS OFICIAL'!AE14)</f>
        <v>0</v>
      </c>
      <c r="AF14" s="101">
        <f>((0 + 'BRAWLERS OFICIAL'!AF14)-'BRAWLERS OFICIAL'!AF14)</f>
        <v>0</v>
      </c>
      <c r="AG14" s="101">
        <f>((0 + 'BRAWLERS OFICIAL'!AG14)-'BRAWLERS OFICIAL'!AG14)</f>
        <v>0</v>
      </c>
      <c r="AH14" s="101">
        <f>((0 + 'BRAWLERS OFICIAL'!AH14)-'BRAWLERS OFICIAL'!AH14)/($BN14)</f>
        <v>0</v>
      </c>
      <c r="AI14" s="101">
        <f>((0 + 'BRAWLERS OFICIAL'!AI14)-'BRAWLERS OFICIAL'!AI14)/($BN14)</f>
        <v>0</v>
      </c>
      <c r="AJ14" s="101">
        <f>(((BH14/5+1)*AI14 + 'BRAWLERS OFICIAL'!AJ14)-'BRAWLERS OFICIAL'!AJ14)/($BN14)</f>
        <v>0</v>
      </c>
      <c r="AK14" s="101">
        <f>IF( 0 = (1-1), (1-1), ((0 + 'BRAWLERS OFICIAL'!AK14)/1.5)-'BRAWLERS OFICIAL'!AK14 )</f>
        <v>0</v>
      </c>
      <c r="AL14" s="101">
        <f t="shared" si="0"/>
        <v>0</v>
      </c>
      <c r="AM14" s="101">
        <f>((0 + 'BRAWLERS OFICIAL'!AM14)-'BRAWLERS OFICIAL'!AM14)/($BN14)</f>
        <v>0</v>
      </c>
      <c r="AN14" s="101">
        <f>((0/1000 + 'BRAWLERS OFICIAL'!AN14)-'BRAWLERS OFICIAL'!AN14)</f>
        <v>0</v>
      </c>
      <c r="AO14" s="101">
        <f>((0 + 'BRAWLERS OFICIAL'!AO14)-'BRAWLERS OFICIAL'!AO14)</f>
        <v>0</v>
      </c>
      <c r="AP14" s="101">
        <f>IF( 0 = (1-1), (1-1), ((0 + 'BRAWLERS OFICIAL'!AP14)/1.5) )</f>
        <v>0</v>
      </c>
      <c r="AQ14" s="101">
        <f>IF( 0 = (1-1), (1-1), ((0 + 'BRAWLERS OFICIAL'!AQ14)/1.5) )</f>
        <v>0</v>
      </c>
      <c r="AR14" s="101">
        <f>IF( 0 = (1-1), (1-1), ((0 + 'BRAWLERS OFICIAL'!AR14)/2) )</f>
        <v>0</v>
      </c>
      <c r="AS14" s="101">
        <f>((0 + 'BRAWLERS OFICIAL'!AS14)-'BRAWLERS OFICIAL'!AS14)/($BN14)</f>
        <v>0</v>
      </c>
      <c r="AT14" s="101">
        <f>(((0)/4 + 'BRAWLERS OFICIAL'!AT14)-'BRAWLERS OFICIAL'!AT14)</f>
        <v>0</v>
      </c>
      <c r="AU14" s="101">
        <v>0</v>
      </c>
      <c r="AV14" s="100">
        <f>((( 0 )/3 + 'BRAWLERS OFICIAL'!AV14)-'BRAWLERS OFICIAL'!AV14)</f>
        <v>0</v>
      </c>
      <c r="AW14" s="100">
        <f>((( 0 )/2 + 'BRAWLERS OFICIAL'!AW14)-'BRAWLERS OFICIAL'!AW14)/($BN14)</f>
        <v>0</v>
      </c>
      <c r="AX14" s="100">
        <f>((( 0 )/2 + 'BRAWLERS OFICIAL'!AX14)-'BRAWLERS OFICIAL'!AX14)</f>
        <v>0</v>
      </c>
      <c r="AY14" s="100">
        <f>((( 0 )/3 + 'BRAWLERS OFICIAL'!AY14)-'BRAWLERS OFICIAL'!AY14)</f>
        <v>0</v>
      </c>
      <c r="AZ14" s="100">
        <f>((( 0 )/2 + 'BRAWLERS OFICIAL'!AZ14)-'BRAWLERS OFICIAL'!AZ14)/($BN14)</f>
        <v>0</v>
      </c>
      <c r="BA14" s="100">
        <f>((( 0 )/3 + 'BRAWLERS OFICIAL'!BA14)-'BRAWLERS OFICIAL'!BA14)</f>
        <v>0</v>
      </c>
      <c r="BB14" s="100">
        <f>((( 0 )/3 + 'BRAWLERS OFICIAL'!BB14)-'BRAWLERS OFICIAL'!BB14)</f>
        <v>0</v>
      </c>
      <c r="BC14" s="100">
        <f>((0 + 'BRAWLERS OFICIAL'!BC14)-'BRAWLERS OFICIAL'!BC14)/($BN14)</f>
        <v>0</v>
      </c>
      <c r="BD14" s="100">
        <f>((0 + 'BRAWLERS OFICIAL'!BD14)-'BRAWLERS OFICIAL'!BD14)/($BN14)</f>
        <v>0</v>
      </c>
      <c r="BE14" s="100">
        <f>((( 0 )/2 + 'BRAWLERS OFICIAL'!BE14)-'BRAWLERS OFICIAL'!BE14)</f>
        <v>0</v>
      </c>
      <c r="BF14" s="100">
        <f>((0 + 'BRAWLERS OFICIAL'!BF14)-'BRAWLERS OFICIAL'!BF14)/($BN14)</f>
        <v>0</v>
      </c>
      <c r="BG14" s="100">
        <f>((( 0 )/2 + 'BRAWLERS OFICIAL'!BG14)-'BRAWLERS OFICIAL'!BG14)</f>
        <v>0</v>
      </c>
      <c r="BH14" s="100">
        <f>((( 0 )/3 + 'BRAWLERS OFICIAL'!BH14)-'BRAWLERS OFICIAL'!BH14)</f>
        <v>0</v>
      </c>
      <c r="BI14" s="100">
        <f>((( 0 )/2 + 'BRAWLERS OFICIAL'!BI14)-'BRAWLERS OFICIAL'!BI14)</f>
        <v>0</v>
      </c>
      <c r="BJ14" s="100">
        <f>((0 + 'BRAWLERS OFICIAL'!BJ14)-'BRAWLERS OFICIAL'!BJ14)/($BN14)</f>
        <v>0</v>
      </c>
      <c r="BK14" s="100">
        <f>((0 + 'BRAWLERS OFICIAL'!BK14)-'BRAWLERS OFICIAL'!BK14)/($BN14)</f>
        <v>0</v>
      </c>
      <c r="BL14" s="100">
        <f>((0 + 'BRAWLERS OFICIAL'!BL14)-'BRAWLERS OFICIAL'!BL14)/($BN14)</f>
        <v>0</v>
      </c>
      <c r="BN14" s="100">
        <v>2</v>
      </c>
    </row>
    <row r="15" spans="1:66">
      <c r="B15" s="97" t="s">
        <v>446</v>
      </c>
      <c r="C15" s="98" t="s">
        <v>84</v>
      </c>
      <c r="D15" s="100">
        <f>((0 + 'BRAWLERS OFICIAL'!D15)-'BRAWLERS OFICIAL'!D15)</f>
        <v>0</v>
      </c>
      <c r="E15" s="100">
        <f>((0 + 'BRAWLERS OFICIAL'!E15)-'BRAWLERS OFICIAL'!E15)</f>
        <v>0</v>
      </c>
      <c r="F15" s="100">
        <f>((0 + 'BRAWLERS OFICIAL'!F15)-'BRAWLERS OFICIAL'!F15)</f>
        <v>0</v>
      </c>
      <c r="G15" s="100">
        <f>((0 + 'BRAWLERS OFICIAL'!G15)-'BRAWLERS OFICIAL'!G15)</f>
        <v>0</v>
      </c>
      <c r="H15" s="100">
        <f>((0 + 'BRAWLERS OFICIAL'!H15)-'BRAWLERS OFICIAL'!H15)</f>
        <v>0</v>
      </c>
      <c r="I15" s="100">
        <f>((0 + 'BRAWLERS OFICIAL'!I15)-'BRAWLERS OFICIAL'!I15)</f>
        <v>0</v>
      </c>
      <c r="J15" s="100">
        <f>((0 + 'BRAWLERS OFICIAL'!J15)-'BRAWLERS OFICIAL'!J15)</f>
        <v>0</v>
      </c>
      <c r="K15" s="100">
        <f>((0 + 'BRAWLERS OFICIAL'!K15)-'BRAWLERS OFICIAL'!K15)</f>
        <v>0</v>
      </c>
      <c r="L15" s="100">
        <f>((0 + 'BRAWLERS OFICIAL'!L15)-'BRAWLERS OFICIAL'!L15)</f>
        <v>0</v>
      </c>
      <c r="M15" s="100">
        <f>((0 + 'BRAWLERS OFICIAL'!M15)-'BRAWLERS OFICIAL'!M15)</f>
        <v>0</v>
      </c>
      <c r="N15" s="100">
        <f>((0 + 'BRAWLERS OFICIAL'!N15)-'BRAWLERS OFICIAL'!N15)</f>
        <v>0</v>
      </c>
      <c r="O15" s="100">
        <f>((0 + 'BRAWLERS OFICIAL'!O15)-'BRAWLERS OFICIAL'!O15)</f>
        <v>0</v>
      </c>
      <c r="P15" s="100">
        <f>((0 + 'BRAWLERS OFICIAL'!P15)-'BRAWLERS OFICIAL'!P15)</f>
        <v>0</v>
      </c>
      <c r="Q15" s="100">
        <f>((0 + 'BRAWLERS OFICIAL'!Q15)-'BRAWLERS OFICIAL'!Q15)</f>
        <v>0</v>
      </c>
      <c r="R15" s="100">
        <f>((0 + 'BRAWLERS OFICIAL'!R15)-'BRAWLERS OFICIAL'!R15)</f>
        <v>0</v>
      </c>
      <c r="S15" s="100">
        <f>((0 + 'BRAWLERS OFICIAL'!S15)-'BRAWLERS OFICIAL'!S15)</f>
        <v>0</v>
      </c>
      <c r="T15" s="100">
        <f>((0 + 'BRAWLERS OFICIAL'!T15)-'BRAWLERS OFICIAL'!T15)</f>
        <v>0</v>
      </c>
      <c r="U15" s="100">
        <f>(0 + 'BRAWLERS OFICIAL'!U15)-'BRAWLERS OFICIAL'!U15</f>
        <v>0</v>
      </c>
      <c r="V15" s="103">
        <f>(( 0 + 'BRAWLERS OFICIAL'!V15 + AN15 + AV15/3.5 )-'BRAWLERS OFICIAL'!V15)/($BN15)</f>
        <v>0</v>
      </c>
      <c r="W15" s="101">
        <f>((0 + 'BRAWLERS OFICIAL'!W15)-'BRAWLERS OFICIAL'!W15)/($BN15)</f>
        <v>0</v>
      </c>
      <c r="X15" s="101">
        <f>(((0)/3 + 'BRAWLERS OFICIAL'!X15)-'BRAWLERS OFICIAL'!X15)</f>
        <v>0</v>
      </c>
      <c r="Y15" s="101">
        <f>((0 + 'BRAWLERS OFICIAL'!Y15)-'BRAWLERS OFICIAL'!Y15)/($BN15)</f>
        <v>0</v>
      </c>
      <c r="Z15" s="101">
        <f>((0 + 'BRAWLERS OFICIAL'!Z15)-'BRAWLERS OFICIAL'!Z15)</f>
        <v>0</v>
      </c>
      <c r="AA15" s="101">
        <f>(((0)/4 + 'BRAWLERS OFICIAL'!AA15)-'BRAWLERS OFICIAL'!AA15)/($BN15)</f>
        <v>0</v>
      </c>
      <c r="AB15" s="101">
        <f>((0 + 'BRAWLERS OFICIAL'!AB15)-'BRAWLERS OFICIAL'!AB15)/($BN15)</f>
        <v>0</v>
      </c>
      <c r="AC15" s="101">
        <f>((0 + 'BRAWLERS OFICIAL'!AC15)-'BRAWLERS OFICIAL'!AC15)/($BN15)</f>
        <v>0</v>
      </c>
      <c r="AD15" s="101">
        <f>((0 + 'BRAWLERS OFICIAL'!AD15)-'BRAWLERS OFICIAL'!AD15)/($BN15)</f>
        <v>0</v>
      </c>
      <c r="AE15" s="101">
        <f>((0 + 'BRAWLERS OFICIAL'!AE15)-'BRAWLERS OFICIAL'!AE15)</f>
        <v>0</v>
      </c>
      <c r="AF15" s="101">
        <f>((0 + 'BRAWLERS OFICIAL'!AF15)-'BRAWLERS OFICIAL'!AF15)</f>
        <v>0</v>
      </c>
      <c r="AG15" s="101">
        <f>((0 + 'BRAWLERS OFICIAL'!AG15)-'BRAWLERS OFICIAL'!AG15)</f>
        <v>0</v>
      </c>
      <c r="AH15" s="101">
        <f>((0 + 'BRAWLERS OFICIAL'!AH15)-'BRAWLERS OFICIAL'!AH15)/($BN15)</f>
        <v>0</v>
      </c>
      <c r="AI15" s="101">
        <f>((0 + 'BRAWLERS OFICIAL'!AI15)-'BRAWLERS OFICIAL'!AI15)/($BN15)</f>
        <v>0</v>
      </c>
      <c r="AJ15" s="101">
        <f>(((BH15/5+1)*AI15 + 'BRAWLERS OFICIAL'!AJ15)-'BRAWLERS OFICIAL'!AJ15)/($BN15)</f>
        <v>0</v>
      </c>
      <c r="AK15" s="101">
        <f>IF( 0 = (1-1), (1-1), ((0 + 'BRAWLERS OFICIAL'!AK15)/1.5)-'BRAWLERS OFICIAL'!AK15 )</f>
        <v>0</v>
      </c>
      <c r="AL15" s="101">
        <f t="shared" si="0"/>
        <v>0</v>
      </c>
      <c r="AM15" s="101">
        <f>((0 + 'BRAWLERS OFICIAL'!AM15)-'BRAWLERS OFICIAL'!AM15)/($BN15)</f>
        <v>0</v>
      </c>
      <c r="AN15" s="101">
        <f>((0/1000 + 'BRAWLERS OFICIAL'!AN15)-'BRAWLERS OFICIAL'!AN15)</f>
        <v>0</v>
      </c>
      <c r="AO15" s="101">
        <f>((0 + 'BRAWLERS OFICIAL'!AO15)-'BRAWLERS OFICIAL'!AO15)</f>
        <v>0</v>
      </c>
      <c r="AP15" s="101">
        <f>IF( 0 = (1-1), (1-1), ((0 + 'BRAWLERS OFICIAL'!AP15)/1.5) )</f>
        <v>0</v>
      </c>
      <c r="AQ15" s="101">
        <f>IF( 0 = (1-1), (1-1), ((0 + 'BRAWLERS OFICIAL'!AQ15)/1.5) )</f>
        <v>0</v>
      </c>
      <c r="AR15" s="101">
        <f>IF( 0 = (1-1), (1-1), ((0 + 'BRAWLERS OFICIAL'!AR15)/2) )</f>
        <v>0</v>
      </c>
      <c r="AS15" s="101">
        <f>((2 + 'BRAWLERS OFICIAL'!AS15)-'BRAWLERS OFICIAL'!AS15)/($BN15)</f>
        <v>2</v>
      </c>
      <c r="AT15" s="101">
        <f>(((0)/4 + 'BRAWLERS OFICIAL'!AT15)-'BRAWLERS OFICIAL'!AT15)</f>
        <v>0</v>
      </c>
      <c r="AU15" s="101">
        <v>0</v>
      </c>
      <c r="AV15" s="100">
        <f>((( 0 )/3 + 'BRAWLERS OFICIAL'!AV15)-'BRAWLERS OFICIAL'!AV15)</f>
        <v>0</v>
      </c>
      <c r="AW15" s="100">
        <f>((( 0 )/2 + 'BRAWLERS OFICIAL'!AW15)-'BRAWLERS OFICIAL'!AW15)/($BN15)</f>
        <v>0</v>
      </c>
      <c r="AX15" s="100">
        <f>((( 0 )/2 + 'BRAWLERS OFICIAL'!AX15)-'BRAWLERS OFICIAL'!AX15)</f>
        <v>0</v>
      </c>
      <c r="AY15" s="100">
        <f>((( 0 )/3 + 'BRAWLERS OFICIAL'!AY15)-'BRAWLERS OFICIAL'!AY15)</f>
        <v>0</v>
      </c>
      <c r="AZ15" s="100">
        <f>((( 0 )/2 + 'BRAWLERS OFICIAL'!AZ15)-'BRAWLERS OFICIAL'!AZ15)/($BN15)</f>
        <v>0</v>
      </c>
      <c r="BA15" s="100">
        <f>((( 0 )/3 + 'BRAWLERS OFICIAL'!BA15)-'BRAWLERS OFICIAL'!BA15)</f>
        <v>0</v>
      </c>
      <c r="BB15" s="100">
        <f>((( 0 )/3 + 'BRAWLERS OFICIAL'!BB15)-'BRAWLERS OFICIAL'!BB15)</f>
        <v>0</v>
      </c>
      <c r="BC15" s="100">
        <f>((0 + 'BRAWLERS OFICIAL'!BC15)-'BRAWLERS OFICIAL'!BC15)/($BN15)</f>
        <v>0</v>
      </c>
      <c r="BD15" s="100">
        <f>((0 + 'BRAWLERS OFICIAL'!BD15)-'BRAWLERS OFICIAL'!BD15)/($BN15)</f>
        <v>0</v>
      </c>
      <c r="BE15" s="100">
        <f>((( 0 )/2 + 'BRAWLERS OFICIAL'!BE15)-'BRAWLERS OFICIAL'!BE15)</f>
        <v>0</v>
      </c>
      <c r="BF15" s="100">
        <f>((0 + 'BRAWLERS OFICIAL'!BF15)-'BRAWLERS OFICIAL'!BF15)/($BN15)</f>
        <v>0</v>
      </c>
      <c r="BG15" s="100">
        <f>((( 0 )/2 + 'BRAWLERS OFICIAL'!BG15)-'BRAWLERS OFICIAL'!BG15)</f>
        <v>0</v>
      </c>
      <c r="BH15" s="100">
        <f>((( 0 )/3 + 'BRAWLERS OFICIAL'!BH15)-'BRAWLERS OFICIAL'!BH15)</f>
        <v>0</v>
      </c>
      <c r="BI15" s="100">
        <f>((( 0 )/2 + 'BRAWLERS OFICIAL'!BI15)-'BRAWLERS OFICIAL'!BI15)</f>
        <v>0</v>
      </c>
      <c r="BJ15" s="100">
        <f>((0 + 'BRAWLERS OFICIAL'!BJ15)-'BRAWLERS OFICIAL'!BJ15)/($BN15)</f>
        <v>0</v>
      </c>
      <c r="BK15" s="100">
        <f>((0 + 'BRAWLERS OFICIAL'!BK15)-'BRAWLERS OFICIAL'!BK15)/($BN15)</f>
        <v>0</v>
      </c>
      <c r="BL15" s="100">
        <f>((0 + 'BRAWLERS OFICIAL'!BL15)-'BRAWLERS OFICIAL'!BL15)/($BN15)</f>
        <v>0</v>
      </c>
      <c r="BN15" s="100">
        <v>1</v>
      </c>
    </row>
    <row r="16" spans="1:66">
      <c r="B16" s="97" t="s">
        <v>447</v>
      </c>
      <c r="C16" s="70" t="s">
        <v>77</v>
      </c>
      <c r="D16" s="100">
        <f>((0 + 'BRAWLERS OFICIAL'!D16)-'BRAWLERS OFICIAL'!D16)</f>
        <v>0</v>
      </c>
      <c r="E16" s="100">
        <f>((0 + 'BRAWLERS OFICIAL'!E16)-'BRAWLERS OFICIAL'!E16)</f>
        <v>0</v>
      </c>
      <c r="F16" s="100">
        <f>((0 + 'BRAWLERS OFICIAL'!F16)-'BRAWLERS OFICIAL'!F16)</f>
        <v>0</v>
      </c>
      <c r="G16" s="100">
        <f>((0 + 'BRAWLERS OFICIAL'!G16)-'BRAWLERS OFICIAL'!G16)</f>
        <v>0</v>
      </c>
      <c r="H16" s="100">
        <f>((0 + 'BRAWLERS OFICIAL'!H16)-'BRAWLERS OFICIAL'!H16)</f>
        <v>0</v>
      </c>
      <c r="I16" s="100">
        <f>((0 + 'BRAWLERS OFICIAL'!I16)-'BRAWLERS OFICIAL'!I16)</f>
        <v>0</v>
      </c>
      <c r="J16" s="100">
        <f>((0 + 'BRAWLERS OFICIAL'!J16)-'BRAWLERS OFICIAL'!J16)</f>
        <v>0</v>
      </c>
      <c r="K16" s="100">
        <f>((0 + 'BRAWLERS OFICIAL'!K16)-'BRAWLERS OFICIAL'!K16)</f>
        <v>0</v>
      </c>
      <c r="L16" s="100">
        <f>((0 + 'BRAWLERS OFICIAL'!L16)-'BRAWLERS OFICIAL'!L16)</f>
        <v>0</v>
      </c>
      <c r="M16" s="100">
        <f>((0 + 'BRAWLERS OFICIAL'!M16)-'BRAWLERS OFICIAL'!M16)</f>
        <v>0</v>
      </c>
      <c r="N16" s="100">
        <f>((0 + 'BRAWLERS OFICIAL'!N16)-'BRAWLERS OFICIAL'!N16)</f>
        <v>0</v>
      </c>
      <c r="O16" s="100">
        <f>((0 + 'BRAWLERS OFICIAL'!O16)-'BRAWLERS OFICIAL'!O16)</f>
        <v>0</v>
      </c>
      <c r="P16" s="100">
        <f>((0 + 'BRAWLERS OFICIAL'!P16)-'BRAWLERS OFICIAL'!P16)</f>
        <v>0</v>
      </c>
      <c r="Q16" s="100">
        <f>((0 + 'BRAWLERS OFICIAL'!Q16)-'BRAWLERS OFICIAL'!Q16)</f>
        <v>0</v>
      </c>
      <c r="R16" s="100">
        <f>((0 + 'BRAWLERS OFICIAL'!R16)-'BRAWLERS OFICIAL'!R16)</f>
        <v>0</v>
      </c>
      <c r="S16" s="100">
        <f>((0 + 'BRAWLERS OFICIAL'!S16)-'BRAWLERS OFICIAL'!S16)</f>
        <v>0</v>
      </c>
      <c r="T16" s="100">
        <f>((0 + 'BRAWLERS OFICIAL'!T16)-'BRAWLERS OFICIAL'!T16)</f>
        <v>0</v>
      </c>
      <c r="U16" s="100">
        <f>(0 + 'BRAWLERS OFICIAL'!U16)-'BRAWLERS OFICIAL'!U16</f>
        <v>0</v>
      </c>
      <c r="V16" s="103">
        <f>(( 1000/1400 + 'BRAWLERS OFICIAL'!V16 + AN16 + ( 4 + ('BRAWLERS OFICIAL'!V16*1400/500/5) + 9)/3/3.5 )-'BRAWLERS OFICIAL'!V16)/($BN16)</f>
        <v>1.1717460317460313</v>
      </c>
      <c r="W16" s="101">
        <f>((0 + 'BRAWLERS OFICIAL'!W16)-'BRAWLERS OFICIAL'!W16)/($BN16)</f>
        <v>0</v>
      </c>
      <c r="X16" s="101">
        <f>(((0)/3 + 'BRAWLERS OFICIAL'!X16)-'BRAWLERS OFICIAL'!X16)</f>
        <v>0</v>
      </c>
      <c r="Y16" s="101">
        <f>((0 + 'BRAWLERS OFICIAL'!Y16)-'BRAWLERS OFICIAL'!Y16)/($BN16)</f>
        <v>0</v>
      </c>
      <c r="Z16" s="101">
        <f>((0 + 'BRAWLERS OFICIAL'!Z16)-'BRAWLERS OFICIAL'!Z16)</f>
        <v>0</v>
      </c>
      <c r="AA16" s="101">
        <f>(((0)/4 + 'BRAWLERS OFICIAL'!AA16)-'BRAWLERS OFICIAL'!AA16)/($BN16)</f>
        <v>0</v>
      </c>
      <c r="AB16" s="101">
        <f>((0 + 'BRAWLERS OFICIAL'!AB16)-'BRAWLERS OFICIAL'!AB16)/($BN16)</f>
        <v>0</v>
      </c>
      <c r="AC16" s="101">
        <f>((0 + 'BRAWLERS OFICIAL'!AC16)-'BRAWLERS OFICIAL'!AC16)/($BN16)</f>
        <v>0</v>
      </c>
      <c r="AD16" s="101">
        <f>((0 + 'BRAWLERS OFICIAL'!AD16)-'BRAWLERS OFICIAL'!AD16)/($BN16)</f>
        <v>0</v>
      </c>
      <c r="AE16" s="101">
        <f>((0 + 'BRAWLERS OFICIAL'!AE16)-'BRAWLERS OFICIAL'!AE16)</f>
        <v>0</v>
      </c>
      <c r="AF16" s="101">
        <f>((0 + 'BRAWLERS OFICIAL'!AF16)-'BRAWLERS OFICIAL'!AF16)</f>
        <v>0</v>
      </c>
      <c r="AG16" s="101">
        <f>((0 + 'BRAWLERS OFICIAL'!AG16)-'BRAWLERS OFICIAL'!AG16)</f>
        <v>0</v>
      </c>
      <c r="AH16" s="101">
        <f>((0 + 'BRAWLERS OFICIAL'!AH16)-'BRAWLERS OFICIAL'!AH16)/($BN16)</f>
        <v>0</v>
      </c>
      <c r="AI16" s="101">
        <f>((0 + 'BRAWLERS OFICIAL'!AI16)-'BRAWLERS OFICIAL'!AI16)/($BN16)</f>
        <v>0</v>
      </c>
      <c r="AJ16" s="101">
        <f>(((BH16/5+1)*AI16 + 'BRAWLERS OFICIAL'!AJ16)-'BRAWLERS OFICIAL'!AJ16)/($BN16)</f>
        <v>0</v>
      </c>
      <c r="AK16" s="101">
        <f>IF( 0 = (1-1), (1-1), ((0 + 'BRAWLERS OFICIAL'!AK16)/1.5)-'BRAWLERS OFICIAL'!AK16 )</f>
        <v>0</v>
      </c>
      <c r="AL16" s="101">
        <f t="shared" si="0"/>
        <v>0</v>
      </c>
      <c r="AM16" s="101">
        <f>((0 + 'BRAWLERS OFICIAL'!AM16)-'BRAWLERS OFICIAL'!AM16)/($BN16)</f>
        <v>0</v>
      </c>
      <c r="AN16" s="101">
        <f>((0/1000 + 'BRAWLERS OFICIAL'!AN16)-'BRAWLERS OFICIAL'!AN16)</f>
        <v>0</v>
      </c>
      <c r="AO16" s="101">
        <f>((0 + 'BRAWLERS OFICIAL'!AO16)-'BRAWLERS OFICIAL'!AO16)</f>
        <v>0</v>
      </c>
      <c r="AP16" s="101">
        <f>IF( 0 = (1-1), (1-1), ((0 + 'BRAWLERS OFICIAL'!AP16)/1.5) )</f>
        <v>0</v>
      </c>
      <c r="AQ16" s="101">
        <f>IF( 0 = (1-1), (1-1), ((0 + 'BRAWLERS OFICIAL'!AQ16)/1.5) )</f>
        <v>0</v>
      </c>
      <c r="AR16" s="101">
        <f>IF( 0 = (1-1), (1-1), ((0 + 'BRAWLERS OFICIAL'!AR16)/2) )</f>
        <v>0</v>
      </c>
      <c r="AS16" s="101">
        <f>((0 + 'BRAWLERS OFICIAL'!AS16)-'BRAWLERS OFICIAL'!AS16)/($BN16)</f>
        <v>0</v>
      </c>
      <c r="AT16" s="101">
        <f>(((0)/4 + 'BRAWLERS OFICIAL'!AT16)-'BRAWLERS OFICIAL'!AT16)</f>
        <v>0</v>
      </c>
      <c r="AU16" s="101">
        <v>0</v>
      </c>
      <c r="AV16" s="100">
        <f>((( 0 )/3 + 'BRAWLERS OFICIAL'!AV16)-'BRAWLERS OFICIAL'!AV16)</f>
        <v>0</v>
      </c>
      <c r="AW16" s="100">
        <f>((( 0 )/2 + 'BRAWLERS OFICIAL'!AW16)-'BRAWLERS OFICIAL'!AW16)/($BN16)</f>
        <v>0</v>
      </c>
      <c r="AX16" s="100">
        <f>((( 0 )/2 + 'BRAWLERS OFICIAL'!AX16)-'BRAWLERS OFICIAL'!AX16)</f>
        <v>0</v>
      </c>
      <c r="AY16" s="100">
        <f>((( 0 )/3 + 'BRAWLERS OFICIAL'!AY16)-'BRAWLERS OFICIAL'!AY16)</f>
        <v>0</v>
      </c>
      <c r="AZ16" s="100">
        <f>((( 0 )/2 + 'BRAWLERS OFICIAL'!AZ16)-'BRAWLERS OFICIAL'!AZ16)/($BN16)</f>
        <v>0</v>
      </c>
      <c r="BA16" s="100">
        <f>((( 0 )/3 + 'BRAWLERS OFICIAL'!BA16)-'BRAWLERS OFICIAL'!BA16)</f>
        <v>0</v>
      </c>
      <c r="BB16" s="100">
        <f>((( 0 )/3 + 'BRAWLERS OFICIAL'!BB16)-'BRAWLERS OFICIAL'!BB16)</f>
        <v>0</v>
      </c>
      <c r="BC16" s="100">
        <f>((0 + 'BRAWLERS OFICIAL'!BC16)-'BRAWLERS OFICIAL'!BC16)/($BN16)</f>
        <v>0</v>
      </c>
      <c r="BD16" s="100">
        <f>((0 + 'BRAWLERS OFICIAL'!BD16)-'BRAWLERS OFICIAL'!BD16)/($BN16)</f>
        <v>0</v>
      </c>
      <c r="BE16" s="100">
        <f>((( 0 )/2 + 'BRAWLERS OFICIAL'!BE16)-'BRAWLERS OFICIAL'!BE16)</f>
        <v>0</v>
      </c>
      <c r="BF16" s="100">
        <f>((0 + 'BRAWLERS OFICIAL'!BF16)-'BRAWLERS OFICIAL'!BF16)/($BN16)</f>
        <v>0</v>
      </c>
      <c r="BG16" s="100">
        <f>((( 0 )/2 + 'BRAWLERS OFICIAL'!BG16)-'BRAWLERS OFICIAL'!BG16)</f>
        <v>0</v>
      </c>
      <c r="BH16" s="100">
        <f>((( 0 )/3 + 'BRAWLERS OFICIAL'!BH16)-'BRAWLERS OFICIAL'!BH16)</f>
        <v>0</v>
      </c>
      <c r="BI16" s="100">
        <f>((( 0 )/2 + 'BRAWLERS OFICIAL'!BI16)-'BRAWLERS OFICIAL'!BI16)</f>
        <v>0</v>
      </c>
      <c r="BJ16" s="100">
        <f>((0 + 'BRAWLERS OFICIAL'!BJ16)-'BRAWLERS OFICIAL'!BJ16)/($BN16)</f>
        <v>0</v>
      </c>
      <c r="BK16" s="100">
        <f>((0 + 'BRAWLERS OFICIAL'!BK16)-'BRAWLERS OFICIAL'!BK16)/($BN16)</f>
        <v>0</v>
      </c>
      <c r="BL16" s="100">
        <f>((0 + 'BRAWLERS OFICIAL'!BL16)-'BRAWLERS OFICIAL'!BL16)/($BN16)</f>
        <v>0</v>
      </c>
      <c r="BN16" s="100">
        <v>2</v>
      </c>
    </row>
    <row r="17" spans="2:66">
      <c r="B17" s="97" t="s">
        <v>216</v>
      </c>
      <c r="C17" s="98" t="s">
        <v>101</v>
      </c>
      <c r="D17" s="100">
        <f>((0 + 'BRAWLERS OFICIAL'!D17)-'BRAWLERS OFICIAL'!D17)</f>
        <v>0</v>
      </c>
      <c r="E17" s="100">
        <f>((0 + 'BRAWLERS OFICIAL'!E17)-'BRAWLERS OFICIAL'!E17)</f>
        <v>0</v>
      </c>
      <c r="F17" s="100">
        <f>((0 + 'BRAWLERS OFICIAL'!F17)-'BRAWLERS OFICIAL'!F17)</f>
        <v>0</v>
      </c>
      <c r="G17" s="100">
        <f>((0 + 'BRAWLERS OFICIAL'!G17)-'BRAWLERS OFICIAL'!G17)</f>
        <v>0</v>
      </c>
      <c r="H17" s="100">
        <f>((0 + 'BRAWLERS OFICIAL'!H17)-'BRAWLERS OFICIAL'!H17)</f>
        <v>0</v>
      </c>
      <c r="I17" s="100">
        <f>((0 + 'BRAWLERS OFICIAL'!I17)-'BRAWLERS OFICIAL'!I17)</f>
        <v>0</v>
      </c>
      <c r="J17" s="100">
        <f>((0 + 'BRAWLERS OFICIAL'!J17)-'BRAWLERS OFICIAL'!J17)</f>
        <v>0</v>
      </c>
      <c r="K17" s="100">
        <f>((0 + 'BRAWLERS OFICIAL'!K17)-'BRAWLERS OFICIAL'!K17)</f>
        <v>0</v>
      </c>
      <c r="L17" s="100">
        <f>((0 + 'BRAWLERS OFICIAL'!L17)-'BRAWLERS OFICIAL'!L17)</f>
        <v>0</v>
      </c>
      <c r="M17" s="100">
        <f>((0 + 'BRAWLERS OFICIAL'!M17)-'BRAWLERS OFICIAL'!M17)</f>
        <v>0</v>
      </c>
      <c r="N17" s="100">
        <f>((0 + 'BRAWLERS OFICIAL'!N17)-'BRAWLERS OFICIAL'!N17)</f>
        <v>0</v>
      </c>
      <c r="O17" s="100">
        <f>((0 + 'BRAWLERS OFICIAL'!O17)-'BRAWLERS OFICIAL'!O17)</f>
        <v>0</v>
      </c>
      <c r="P17" s="100">
        <f>((0 + 'BRAWLERS OFICIAL'!P17)-'BRAWLERS OFICIAL'!P17)</f>
        <v>0</v>
      </c>
      <c r="Q17" s="100">
        <f>((0 + 'BRAWLERS OFICIAL'!Q17)-'BRAWLERS OFICIAL'!Q17)</f>
        <v>0</v>
      </c>
      <c r="R17" s="100">
        <f>((0 + 'BRAWLERS OFICIAL'!R17)-'BRAWLERS OFICIAL'!R17)</f>
        <v>0</v>
      </c>
      <c r="S17" s="100">
        <f>((0 + 'BRAWLERS OFICIAL'!S17)-'BRAWLERS OFICIAL'!S17)</f>
        <v>0</v>
      </c>
      <c r="T17" s="100">
        <f>((0 + 'BRAWLERS OFICIAL'!T17)-'BRAWLERS OFICIAL'!T17)</f>
        <v>0</v>
      </c>
      <c r="U17" s="100">
        <f>(0 + 'BRAWLERS OFICIAL'!U17)-'BRAWLERS OFICIAL'!U17</f>
        <v>0</v>
      </c>
      <c r="V17" s="103">
        <f>(( 0.8 + 'BRAWLERS OFICIAL'!V17 + AN17 + AV17/3.5 )-'BRAWLERS OFICIAL'!V17)/($BN17)</f>
        <v>0.80000000000000027</v>
      </c>
      <c r="W17" s="101">
        <f>((0 + 'BRAWLERS OFICIAL'!W17)-'BRAWLERS OFICIAL'!W17)/($BN17)</f>
        <v>0</v>
      </c>
      <c r="X17" s="101">
        <f>(((0)/3 + 'BRAWLERS OFICIAL'!X17)-'BRAWLERS OFICIAL'!X17)</f>
        <v>0</v>
      </c>
      <c r="Y17" s="101">
        <f>((0 + 'BRAWLERS OFICIAL'!Y17)-'BRAWLERS OFICIAL'!Y17)/($BN17)</f>
        <v>0</v>
      </c>
      <c r="Z17" s="101">
        <f>((0 + 'BRAWLERS OFICIAL'!Z17)-'BRAWLERS OFICIAL'!Z17)</f>
        <v>0</v>
      </c>
      <c r="AA17" s="101">
        <f>(((0)/4 + 'BRAWLERS OFICIAL'!AA17)-'BRAWLERS OFICIAL'!AA17)/($BN17)</f>
        <v>0</v>
      </c>
      <c r="AB17" s="101">
        <f>((0 + 'BRAWLERS OFICIAL'!AB17)-'BRAWLERS OFICIAL'!AB17)/($BN17)</f>
        <v>0</v>
      </c>
      <c r="AC17" s="101">
        <f>((0 + 'BRAWLERS OFICIAL'!AC17)-'BRAWLERS OFICIAL'!AC17)/($BN17)</f>
        <v>0</v>
      </c>
      <c r="AD17" s="101">
        <f>((0 + 'BRAWLERS OFICIAL'!AD17)-'BRAWLERS OFICIAL'!AD17)/($BN17)</f>
        <v>0</v>
      </c>
      <c r="AE17" s="101">
        <f>((0 + 'BRAWLERS OFICIAL'!AE17)-'BRAWLERS OFICIAL'!AE17)</f>
        <v>0</v>
      </c>
      <c r="AF17" s="101">
        <f>((0 + 'BRAWLERS OFICIAL'!AF17)-'BRAWLERS OFICIAL'!AF17)</f>
        <v>0</v>
      </c>
      <c r="AG17" s="101">
        <f>((0 + 'BRAWLERS OFICIAL'!AG17)-'BRAWLERS OFICIAL'!AG17)</f>
        <v>0</v>
      </c>
      <c r="AH17" s="101">
        <f>((0 + 'BRAWLERS OFICIAL'!AH17)-'BRAWLERS OFICIAL'!AH17)/($BN17)</f>
        <v>0</v>
      </c>
      <c r="AI17" s="101">
        <f>((0 + 'BRAWLERS OFICIAL'!AI17)-'BRAWLERS OFICIAL'!AI17)/($BN17)</f>
        <v>0</v>
      </c>
      <c r="AJ17" s="101">
        <f>(((BH17/5+1)*AI17 + 'BRAWLERS OFICIAL'!AJ17)-'BRAWLERS OFICIAL'!AJ17)/($BN17)</f>
        <v>0</v>
      </c>
      <c r="AK17" s="101">
        <f>IF( 0 = (1-1), (1-1), ((0 + 'BRAWLERS OFICIAL'!AK17)/1.5)-'BRAWLERS OFICIAL'!AK17 )</f>
        <v>0</v>
      </c>
      <c r="AL17" s="101">
        <f t="shared" si="0"/>
        <v>0</v>
      </c>
      <c r="AM17" s="101">
        <f>((0 + 'BRAWLERS OFICIAL'!AM17)-'BRAWLERS OFICIAL'!AM17)/($BN17)</f>
        <v>0</v>
      </c>
      <c r="AN17" s="101">
        <f>((0/1000 + 'BRAWLERS OFICIAL'!AN17)-'BRAWLERS OFICIAL'!AN17)</f>
        <v>0</v>
      </c>
      <c r="AO17" s="101">
        <f>((0 + 'BRAWLERS OFICIAL'!AO17)-'BRAWLERS OFICIAL'!AO17)</f>
        <v>0</v>
      </c>
      <c r="AP17" s="101">
        <f>IF( 0 = (1-1), (1-1), ((0 + 'BRAWLERS OFICIAL'!AP17)/1.5) )</f>
        <v>0</v>
      </c>
      <c r="AQ17" s="101">
        <f>IF( 0 = (1-1), (1-1), ((0 + 'BRAWLERS OFICIAL'!AQ17)/1.5) )</f>
        <v>0</v>
      </c>
      <c r="AR17" s="101">
        <f>IF( 0 = (1-1), (1-1), ((0 + 'BRAWLERS OFICIAL'!AR17)/2) )</f>
        <v>0</v>
      </c>
      <c r="AS17" s="101">
        <f>((0 + 'BRAWLERS OFICIAL'!AS17)-'BRAWLERS OFICIAL'!AS17)/($BN17)</f>
        <v>0</v>
      </c>
      <c r="AT17" s="101">
        <f>(((0)/4 + 'BRAWLERS OFICIAL'!AT17)-'BRAWLERS OFICIAL'!AT17)</f>
        <v>0</v>
      </c>
      <c r="AU17" s="101">
        <v>0</v>
      </c>
      <c r="AV17" s="100">
        <f>((( 0 )/3 + 'BRAWLERS OFICIAL'!AV17)-'BRAWLERS OFICIAL'!AV17)</f>
        <v>0</v>
      </c>
      <c r="AW17" s="100">
        <f>((( 0 )/2 + 'BRAWLERS OFICIAL'!AW17)-'BRAWLERS OFICIAL'!AW17)/($BN17)</f>
        <v>0</v>
      </c>
      <c r="AX17" s="100">
        <f>((( 0 )/2 + 'BRAWLERS OFICIAL'!AX17)-'BRAWLERS OFICIAL'!AX17)</f>
        <v>0</v>
      </c>
      <c r="AY17" s="100">
        <f>((( 0 )/3 + 'BRAWLERS OFICIAL'!AY17)-'BRAWLERS OFICIAL'!AY17)</f>
        <v>0</v>
      </c>
      <c r="AZ17" s="100">
        <f>((( 0 )/2 + 'BRAWLERS OFICIAL'!AZ17)-'BRAWLERS OFICIAL'!AZ17)/($BN17)</f>
        <v>0</v>
      </c>
      <c r="BA17" s="100">
        <f>((( 0 )/3 + 'BRAWLERS OFICIAL'!BA17)-'BRAWLERS OFICIAL'!BA17)</f>
        <v>0</v>
      </c>
      <c r="BB17" s="100">
        <f>((( 0 )/3 + 'BRAWLERS OFICIAL'!BB17)-'BRAWLERS OFICIAL'!BB17)</f>
        <v>0</v>
      </c>
      <c r="BC17" s="100">
        <f>((0 + 'BRAWLERS OFICIAL'!BC17)-'BRAWLERS OFICIAL'!BC17)/($BN17)</f>
        <v>0</v>
      </c>
      <c r="BD17" s="100">
        <f>((0 + 'BRAWLERS OFICIAL'!BD17)-'BRAWLERS OFICIAL'!BD17)/($BN17)</f>
        <v>0</v>
      </c>
      <c r="BE17" s="100">
        <f>((( 0 )/2 + 'BRAWLERS OFICIAL'!BE17)-'BRAWLERS OFICIAL'!BE17)</f>
        <v>0</v>
      </c>
      <c r="BF17" s="100">
        <f>((0 + 'BRAWLERS OFICIAL'!BF17)-'BRAWLERS OFICIAL'!BF17)/($BN17)</f>
        <v>0</v>
      </c>
      <c r="BG17" s="100">
        <f>((( 0 )/2 + 'BRAWLERS OFICIAL'!BG17)-'BRAWLERS OFICIAL'!BG17)</f>
        <v>0</v>
      </c>
      <c r="BH17" s="100">
        <f>((( 0 )/3 + 'BRAWLERS OFICIAL'!BH17)-'BRAWLERS OFICIAL'!BH17)</f>
        <v>0</v>
      </c>
      <c r="BI17" s="100">
        <f>((( 0 )/2 + 'BRAWLERS OFICIAL'!BI17)-'BRAWLERS OFICIAL'!BI17)</f>
        <v>0</v>
      </c>
      <c r="BJ17" s="100">
        <f>((0 + 'BRAWLERS OFICIAL'!BJ17)-'BRAWLERS OFICIAL'!BJ17)/($BN17)</f>
        <v>0</v>
      </c>
      <c r="BK17" s="100">
        <f>((0 + 'BRAWLERS OFICIAL'!BK17)-'BRAWLERS OFICIAL'!BK17)/($BN17)</f>
        <v>0</v>
      </c>
      <c r="BL17" s="100">
        <f>((0 + 'BRAWLERS OFICIAL'!BL17)-'BRAWLERS OFICIAL'!BL17)/($BN17)</f>
        <v>0</v>
      </c>
      <c r="BN17" s="100">
        <v>1</v>
      </c>
    </row>
    <row r="18" spans="2:66">
      <c r="B18" s="97" t="s">
        <v>448</v>
      </c>
      <c r="C18" s="70" t="s">
        <v>57</v>
      </c>
      <c r="D18" s="100">
        <f>((0 + 'BRAWLERS OFICIAL'!D18)-'BRAWLERS OFICIAL'!D18)</f>
        <v>0</v>
      </c>
      <c r="E18" s="100">
        <f>((0 + 'BRAWLERS OFICIAL'!E18)-'BRAWLERS OFICIAL'!E18)</f>
        <v>0</v>
      </c>
      <c r="F18" s="100">
        <f>((0 + 'BRAWLERS OFICIAL'!F18)-'BRAWLERS OFICIAL'!F18)</f>
        <v>0</v>
      </c>
      <c r="G18" s="100">
        <f>((0 + 'BRAWLERS OFICIAL'!G18)-'BRAWLERS OFICIAL'!G18)</f>
        <v>0</v>
      </c>
      <c r="H18" s="100">
        <f>((0 + 'BRAWLERS OFICIAL'!H18)-'BRAWLERS OFICIAL'!H18)</f>
        <v>0</v>
      </c>
      <c r="I18" s="100">
        <f>((0 + 'BRAWLERS OFICIAL'!I18)-'BRAWLERS OFICIAL'!I18)</f>
        <v>0</v>
      </c>
      <c r="J18" s="100">
        <f>((0 + 'BRAWLERS OFICIAL'!J18)-'BRAWLERS OFICIAL'!J18)</f>
        <v>0</v>
      </c>
      <c r="K18" s="100">
        <f>((0 + 'BRAWLERS OFICIAL'!K18)-'BRAWLERS OFICIAL'!K18)</f>
        <v>0</v>
      </c>
      <c r="L18" s="100">
        <f>((0 + 'BRAWLERS OFICIAL'!L18)-'BRAWLERS OFICIAL'!L18)</f>
        <v>0</v>
      </c>
      <c r="M18" s="100">
        <f>((0 + 'BRAWLERS OFICIAL'!M18)-'BRAWLERS OFICIAL'!M18)</f>
        <v>0</v>
      </c>
      <c r="N18" s="100">
        <f>((0 + 'BRAWLERS OFICIAL'!N18)-'BRAWLERS OFICIAL'!N18)</f>
        <v>0</v>
      </c>
      <c r="O18" s="100">
        <f>((0 + 'BRAWLERS OFICIAL'!O18)-'BRAWLERS OFICIAL'!O18)</f>
        <v>0</v>
      </c>
      <c r="P18" s="100">
        <f>((0 + 'BRAWLERS OFICIAL'!P18)-'BRAWLERS OFICIAL'!P18)</f>
        <v>0</v>
      </c>
      <c r="Q18" s="100">
        <f>((0 + 'BRAWLERS OFICIAL'!Q18)-'BRAWLERS OFICIAL'!Q18)</f>
        <v>0</v>
      </c>
      <c r="R18" s="100">
        <f>((0 + 'BRAWLERS OFICIAL'!R18)-'BRAWLERS OFICIAL'!R18)</f>
        <v>0</v>
      </c>
      <c r="S18" s="100">
        <f>((0 + 'BRAWLERS OFICIAL'!S18)-'BRAWLERS OFICIAL'!S18)</f>
        <v>0</v>
      </c>
      <c r="T18" s="100">
        <f>((0 + 'BRAWLERS OFICIAL'!T18)-'BRAWLERS OFICIAL'!T18)</f>
        <v>0</v>
      </c>
      <c r="U18" s="100">
        <f>(0 + 'BRAWLERS OFICIAL'!U18)-'BRAWLERS OFICIAL'!U18</f>
        <v>0</v>
      </c>
      <c r="V18" s="103">
        <f>(( 0 + 'BRAWLERS OFICIAL'!V18 + AN18 + AV18/3.5 )-'BRAWLERS OFICIAL'!V18)/($BN18)</f>
        <v>0.12857142857142856</v>
      </c>
      <c r="W18" s="101">
        <f>((0 + 'BRAWLERS OFICIAL'!W18)-'BRAWLERS OFICIAL'!W18)/($BN18)</f>
        <v>0</v>
      </c>
      <c r="X18" s="101">
        <f>(((0)/3 + 'BRAWLERS OFICIAL'!X18)-'BRAWLERS OFICIAL'!X18)</f>
        <v>0</v>
      </c>
      <c r="Y18" s="101">
        <f>((0 + 'BRAWLERS OFICIAL'!Y18)-'BRAWLERS OFICIAL'!Y18)/($BN18)</f>
        <v>0</v>
      </c>
      <c r="Z18" s="101">
        <f>((0 + 'BRAWLERS OFICIAL'!Z18)-'BRAWLERS OFICIAL'!Z18)</f>
        <v>0</v>
      </c>
      <c r="AA18" s="101">
        <f>(((0)/4 + 'BRAWLERS OFICIAL'!AA18)-'BRAWLERS OFICIAL'!AA18)/($BN18)</f>
        <v>0</v>
      </c>
      <c r="AB18" s="101">
        <f>((0 + 'BRAWLERS OFICIAL'!AB18)-'BRAWLERS OFICIAL'!AB18)/($BN18)</f>
        <v>0</v>
      </c>
      <c r="AC18" s="101">
        <f>((0 + 'BRAWLERS OFICIAL'!AC18)-'BRAWLERS OFICIAL'!AC18)/($BN18)</f>
        <v>0</v>
      </c>
      <c r="AD18" s="101">
        <f>((0 + 'BRAWLERS OFICIAL'!AD18)-'BRAWLERS OFICIAL'!AD18)/($BN18)</f>
        <v>0</v>
      </c>
      <c r="AE18" s="101">
        <f>((0 + 'BRAWLERS OFICIAL'!AE18)-'BRAWLERS OFICIAL'!AE18)</f>
        <v>0</v>
      </c>
      <c r="AF18" s="101">
        <f>((0 + 'BRAWLERS OFICIAL'!AF18)-'BRAWLERS OFICIAL'!AF18)</f>
        <v>0</v>
      </c>
      <c r="AG18" s="101">
        <f>((0 + 'BRAWLERS OFICIAL'!AG18)-'BRAWLERS OFICIAL'!AG18)</f>
        <v>0</v>
      </c>
      <c r="AH18" s="101">
        <f>((0 + 'BRAWLERS OFICIAL'!AH18)-'BRAWLERS OFICIAL'!AH18)/($BN18)</f>
        <v>0</v>
      </c>
      <c r="AI18" s="101">
        <f>((0 + 'BRAWLERS OFICIAL'!AI18)-'BRAWLERS OFICIAL'!AI18)/($BN18)</f>
        <v>0</v>
      </c>
      <c r="AJ18" s="101">
        <f>(((BH18/5+1)*AI18 + 'BRAWLERS OFICIAL'!AJ18)-'BRAWLERS OFICIAL'!AJ18)/($BN18)</f>
        <v>0</v>
      </c>
      <c r="AK18" s="101">
        <f>IF( 0 = (1-1), (1-1), ((0 + 'BRAWLERS OFICIAL'!AK18)/1.5)-'BRAWLERS OFICIAL'!AK18 )</f>
        <v>0</v>
      </c>
      <c r="AL18" s="101">
        <f t="shared" si="0"/>
        <v>0</v>
      </c>
      <c r="AM18" s="101">
        <f>((0 + 'BRAWLERS OFICIAL'!AM18)-'BRAWLERS OFICIAL'!AM18)/($BN18)</f>
        <v>0</v>
      </c>
      <c r="AN18" s="101">
        <f>(1500/1000/2 + 'BRAWLERS OFICIAL'!AN18)-'BRAWLERS OFICIAL'!AN18</f>
        <v>0.75</v>
      </c>
      <c r="AO18" s="101">
        <f>((0 + 'BRAWLERS OFICIAL'!AO18)-'BRAWLERS OFICIAL'!AO18)</f>
        <v>0</v>
      </c>
      <c r="AP18" s="101">
        <f>IF( 0 = (1-1), (1-1), ((0 + 'BRAWLERS OFICIAL'!AP18)/1.5) )</f>
        <v>0</v>
      </c>
      <c r="AQ18" s="101">
        <f>IF( 0 = (1-1), (1-1), ((0 + 'BRAWLERS OFICIAL'!AQ18)/1.5) )</f>
        <v>0</v>
      </c>
      <c r="AR18" s="101">
        <f>IF( 0 = (1-1), (1-1), ((0 + 'BRAWLERS OFICIAL'!AR18)/2) )</f>
        <v>0</v>
      </c>
      <c r="AS18" s="101">
        <f>((0 + 'BRAWLERS OFICIAL'!AS18)-'BRAWLERS OFICIAL'!AS18)/($BN18)</f>
        <v>0</v>
      </c>
      <c r="AT18" s="101">
        <f>(((0)/4 + 'BRAWLERS OFICIAL'!AT18)-'BRAWLERS OFICIAL'!AT18)</f>
        <v>0</v>
      </c>
      <c r="AU18" s="101">
        <v>0</v>
      </c>
      <c r="AV18" s="100">
        <f>((( 0 )/3 + 'BRAWLERS OFICIAL'!AV18)-'BRAWLERS OFICIAL'!AV18)</f>
        <v>0</v>
      </c>
      <c r="AW18" s="100">
        <f>((( 0 )/2 + 'BRAWLERS OFICIAL'!AW18)-'BRAWLERS OFICIAL'!AW18)/($BN18)</f>
        <v>0</v>
      </c>
      <c r="AX18" s="100">
        <f>((( 0 )/2 + 'BRAWLERS OFICIAL'!AX18)-'BRAWLERS OFICIAL'!AX18)</f>
        <v>0</v>
      </c>
      <c r="AY18" s="100">
        <f>((( 0 )/3 + 'BRAWLERS OFICIAL'!AY18)-'BRAWLERS OFICIAL'!AY18)</f>
        <v>0</v>
      </c>
      <c r="AZ18" s="100">
        <f>((( 0 )/2 + 'BRAWLERS OFICIAL'!AZ18)-'BRAWLERS OFICIAL'!AZ18)/($BN18)</f>
        <v>0</v>
      </c>
      <c r="BA18" s="100">
        <f>((( 0 )/3 + 'BRAWLERS OFICIAL'!BA18)-'BRAWLERS OFICIAL'!BA18)</f>
        <v>0</v>
      </c>
      <c r="BB18" s="100">
        <f>((( 0 )/3 + 'BRAWLERS OFICIAL'!BB18)-'BRAWLERS OFICIAL'!BB18)</f>
        <v>0</v>
      </c>
      <c r="BC18" s="100">
        <f>((0 + 'BRAWLERS OFICIAL'!BC18)-'BRAWLERS OFICIAL'!BC18)/($BN18)</f>
        <v>0</v>
      </c>
      <c r="BD18" s="100">
        <f>((0 + 'BRAWLERS OFICIAL'!BD18)-'BRAWLERS OFICIAL'!BD18)/($BN18)</f>
        <v>0</v>
      </c>
      <c r="BE18" s="100">
        <f>((( 0 )/2 + 'BRAWLERS OFICIAL'!BE18)-'BRAWLERS OFICIAL'!BE18)</f>
        <v>0</v>
      </c>
      <c r="BF18" s="100">
        <f>((0 + 'BRAWLERS OFICIAL'!BF18)-'BRAWLERS OFICIAL'!BF18)/($BN18)</f>
        <v>0</v>
      </c>
      <c r="BG18" s="100">
        <f>((( 0 )/2 + 'BRAWLERS OFICIAL'!BG18)-'BRAWLERS OFICIAL'!BG18)</f>
        <v>0</v>
      </c>
      <c r="BH18" s="100">
        <f>((( 0 )/3 + 'BRAWLERS OFICIAL'!BH18)-'BRAWLERS OFICIAL'!BH18)</f>
        <v>0</v>
      </c>
      <c r="BI18" s="100">
        <f>((( 0 )/2 + 'BRAWLERS OFICIAL'!BI18)-'BRAWLERS OFICIAL'!BI18)</f>
        <v>0</v>
      </c>
      <c r="BJ18" s="100">
        <f>((0 + 'BRAWLERS OFICIAL'!BJ18)-'BRAWLERS OFICIAL'!BJ18)/($BN18)</f>
        <v>0</v>
      </c>
      <c r="BK18" s="100">
        <f>((0 + 'BRAWLERS OFICIAL'!BK18)-'BRAWLERS OFICIAL'!BK18)/($BN18)</f>
        <v>0</v>
      </c>
      <c r="BL18" s="100">
        <f>((0 + 'BRAWLERS OFICIAL'!BL18)-'BRAWLERS OFICIAL'!BL18)/($BN18)</f>
        <v>0</v>
      </c>
      <c r="BN18" s="100">
        <f>('BRAWLERS OFICIAL'!D18 / 'BRAWLERS OFICIAL'!H18 / (1 + ('BRAWLERS OFICIAL'!Y18/5)))</f>
        <v>5.8333333333333339</v>
      </c>
    </row>
    <row r="19" spans="2:66">
      <c r="B19" s="97" t="s">
        <v>449</v>
      </c>
      <c r="C19" s="70" t="s">
        <v>40</v>
      </c>
      <c r="D19" s="100">
        <f>((0 + 'BRAWLERS OFICIAL'!D19)-'BRAWLERS OFICIAL'!D19)</f>
        <v>0</v>
      </c>
      <c r="E19" s="100">
        <f>((0 + 'BRAWLERS OFICIAL'!E19)-'BRAWLERS OFICIAL'!E19)</f>
        <v>0</v>
      </c>
      <c r="F19" s="100">
        <f>((160 + 'BRAWLERS OFICIAL'!F19)-'BRAWLERS OFICIAL'!F19)</f>
        <v>160</v>
      </c>
      <c r="G19" s="100">
        <f>((0 + 'BRAWLERS OFICIAL'!G19)-'BRAWLERS OFICIAL'!G19)</f>
        <v>0</v>
      </c>
      <c r="H19" s="100">
        <f>((0 + 'BRAWLERS OFICIAL'!H19)-'BRAWLERS OFICIAL'!H19)</f>
        <v>0</v>
      </c>
      <c r="I19" s="100">
        <f>((0 + 'BRAWLERS OFICIAL'!I19)-'BRAWLERS OFICIAL'!I19)</f>
        <v>0</v>
      </c>
      <c r="J19" s="100">
        <f>((0 + 'BRAWLERS OFICIAL'!J19)-'BRAWLERS OFICIAL'!J19)</f>
        <v>0</v>
      </c>
      <c r="K19" s="100">
        <f>((0 + 'BRAWLERS OFICIAL'!K19)-'BRAWLERS OFICIAL'!K19)</f>
        <v>0</v>
      </c>
      <c r="L19" s="100">
        <f>((0 + 'BRAWLERS OFICIAL'!L19)-'BRAWLERS OFICIAL'!L19)</f>
        <v>0</v>
      </c>
      <c r="M19" s="100">
        <f>((0 + 'BRAWLERS OFICIAL'!M19)-'BRAWLERS OFICIAL'!M19)</f>
        <v>0</v>
      </c>
      <c r="N19" s="100">
        <f>((0 + 'BRAWLERS OFICIAL'!N19)-'BRAWLERS OFICIAL'!N19)</f>
        <v>0</v>
      </c>
      <c r="O19" s="100">
        <f>((0 + 'BRAWLERS OFICIAL'!O19)-'BRAWLERS OFICIAL'!O19)</f>
        <v>0</v>
      </c>
      <c r="P19" s="100">
        <f>((0 + 'BRAWLERS OFICIAL'!P19)-'BRAWLERS OFICIAL'!P19)</f>
        <v>0</v>
      </c>
      <c r="Q19" s="100">
        <f>((0 + 'BRAWLERS OFICIAL'!Q19)-'BRAWLERS OFICIAL'!Q19)</f>
        <v>0</v>
      </c>
      <c r="R19" s="100">
        <f>((0 + 'BRAWLERS OFICIAL'!R19)-'BRAWLERS OFICIAL'!R19)</f>
        <v>0</v>
      </c>
      <c r="S19" s="100">
        <f>((0 + 'BRAWLERS OFICIAL'!S19)-'BRAWLERS OFICIAL'!S19)</f>
        <v>0</v>
      </c>
      <c r="T19" s="100">
        <f>((0 + 'BRAWLERS OFICIAL'!T19)-'BRAWLERS OFICIAL'!T19)</f>
        <v>0</v>
      </c>
      <c r="U19" s="100">
        <f>(0 + 'BRAWLERS OFICIAL'!U19)-'BRAWLERS OFICIAL'!U19</f>
        <v>0</v>
      </c>
      <c r="V19" s="103">
        <f>(( 0 + 'BRAWLERS OFICIAL'!V19 + AN19 + AV19/3.5 )-'BRAWLERS OFICIAL'!V19)/($BN19)</f>
        <v>0</v>
      </c>
      <c r="W19" s="101">
        <f>((0 + 'BRAWLERS OFICIAL'!W19)-'BRAWLERS OFICIAL'!W19)/($BN19)</f>
        <v>0</v>
      </c>
      <c r="X19" s="101">
        <f>(((0)/3 + 'BRAWLERS OFICIAL'!X19)-'BRAWLERS OFICIAL'!X19)</f>
        <v>0</v>
      </c>
      <c r="Y19" s="101">
        <f>((0 + 'BRAWLERS OFICIAL'!Y19)-'BRAWLERS OFICIAL'!Y19)/($BN19)</f>
        <v>0</v>
      </c>
      <c r="Z19" s="101">
        <f>((0 + 'BRAWLERS OFICIAL'!Z19)-'BRAWLERS OFICIAL'!Z19)</f>
        <v>0</v>
      </c>
      <c r="AA19" s="101">
        <f>(((0)/4 + 'BRAWLERS OFICIAL'!AA19)-'BRAWLERS OFICIAL'!AA19)/($BN19)</f>
        <v>0</v>
      </c>
      <c r="AB19" s="101">
        <f>((0 + 'BRAWLERS OFICIAL'!AB19)-'BRAWLERS OFICIAL'!AB19)/($BN19)</f>
        <v>0</v>
      </c>
      <c r="AC19" s="101">
        <f>((0 + 'BRAWLERS OFICIAL'!AC19)-'BRAWLERS OFICIAL'!AC19)/($BN19)</f>
        <v>0</v>
      </c>
      <c r="AD19" s="101">
        <f>((0 + 'BRAWLERS OFICIAL'!AD19)-'BRAWLERS OFICIAL'!AD19)/($BN19)</f>
        <v>0</v>
      </c>
      <c r="AE19" s="101">
        <f>((0 + 'BRAWLERS OFICIAL'!AE19)-'BRAWLERS OFICIAL'!AE19)</f>
        <v>0</v>
      </c>
      <c r="AF19" s="101">
        <f>((0 + 'BRAWLERS OFICIAL'!AF19)-'BRAWLERS OFICIAL'!AF19)</f>
        <v>0</v>
      </c>
      <c r="AG19" s="101">
        <f>((0 + 'BRAWLERS OFICIAL'!AG19)-'BRAWLERS OFICIAL'!AG19)</f>
        <v>0</v>
      </c>
      <c r="AH19" s="101">
        <f>((0 + 'BRAWLERS OFICIAL'!AH19)-'BRAWLERS OFICIAL'!AH19)/($BN19)</f>
        <v>0</v>
      </c>
      <c r="AI19" s="101">
        <f>((0 + 'BRAWLERS OFICIAL'!AI19)-'BRAWLERS OFICIAL'!AI19)/($BN19)</f>
        <v>0</v>
      </c>
      <c r="AJ19" s="101">
        <f>(((BH19/5+1)*AI19 + 'BRAWLERS OFICIAL'!AJ19)-'BRAWLERS OFICIAL'!AJ19)/($BN19)</f>
        <v>0</v>
      </c>
      <c r="AK19" s="101">
        <f>IF( 0 = (1-1), (1-1), ((0 + 'BRAWLERS OFICIAL'!AK19)/1.5)-'BRAWLERS OFICIAL'!AK19 )</f>
        <v>0</v>
      </c>
      <c r="AL19" s="101">
        <f t="shared" si="0"/>
        <v>0</v>
      </c>
      <c r="AM19" s="101">
        <f>((0 + 'BRAWLERS OFICIAL'!AM19)-'BRAWLERS OFICIAL'!AM19)/($BN19)</f>
        <v>0</v>
      </c>
      <c r="AN19" s="101">
        <f>((0/1000 + 'BRAWLERS OFICIAL'!AN19)-'BRAWLERS OFICIAL'!AN19)</f>
        <v>0</v>
      </c>
      <c r="AO19" s="101">
        <f>((0 + 'BRAWLERS OFICIAL'!AO19)-'BRAWLERS OFICIAL'!AO19)</f>
        <v>0</v>
      </c>
      <c r="AP19" s="101">
        <f>IF( 0 = (1-1), (1-1), ((0 + 'BRAWLERS OFICIAL'!AP19)/1.5) )</f>
        <v>0</v>
      </c>
      <c r="AQ19" s="101">
        <f>IF( 0 = (1-1), (1-1), ((0 + 'BRAWLERS OFICIAL'!AQ19)/1.5) )</f>
        <v>0</v>
      </c>
      <c r="AR19" s="101">
        <f>IF( 0 = (1-1), (1-1), ((0 + 'BRAWLERS OFICIAL'!AR19)/2) )</f>
        <v>0</v>
      </c>
      <c r="AS19" s="101">
        <f>((0 + 'BRAWLERS OFICIAL'!AS19)-'BRAWLERS OFICIAL'!AS19)/($BN19)</f>
        <v>0</v>
      </c>
      <c r="AT19" s="101">
        <f>(((0)/4 + 'BRAWLERS OFICIAL'!AT19)-'BRAWLERS OFICIAL'!AT19)</f>
        <v>0</v>
      </c>
      <c r="AU19" s="101">
        <v>0</v>
      </c>
      <c r="AV19" s="100">
        <f>((( 0 )/3 + 'BRAWLERS OFICIAL'!AV19)-'BRAWLERS OFICIAL'!AV19)</f>
        <v>0</v>
      </c>
      <c r="AW19" s="100">
        <f>((( 0 )/2 + 'BRAWLERS OFICIAL'!AW19)-'BRAWLERS OFICIAL'!AW19)/($BN19)</f>
        <v>0</v>
      </c>
      <c r="AX19" s="100">
        <f>((( 0 )/2 + 'BRAWLERS OFICIAL'!AX19)-'BRAWLERS OFICIAL'!AX19)</f>
        <v>0</v>
      </c>
      <c r="AY19" s="100">
        <f>((( 0 )/3 + 'BRAWLERS OFICIAL'!AY19)-'BRAWLERS OFICIAL'!AY19)</f>
        <v>0</v>
      </c>
      <c r="AZ19" s="100">
        <f>((( 0 )/2 + 'BRAWLERS OFICIAL'!AZ19)-'BRAWLERS OFICIAL'!AZ19)/($BN19)</f>
        <v>0</v>
      </c>
      <c r="BA19" s="100">
        <f>((( 0 )/3 + 'BRAWLERS OFICIAL'!BA19)-'BRAWLERS OFICIAL'!BA19)</f>
        <v>0</v>
      </c>
      <c r="BB19" s="100">
        <f>((( 0 )/3 + 'BRAWLERS OFICIAL'!BB19)-'BRAWLERS OFICIAL'!BB19)</f>
        <v>0</v>
      </c>
      <c r="BC19" s="100">
        <f>((0 + 'BRAWLERS OFICIAL'!BC19)-'BRAWLERS OFICIAL'!BC19)/($BN19)</f>
        <v>0</v>
      </c>
      <c r="BD19" s="100">
        <f>((0 + 'BRAWLERS OFICIAL'!BD19)-'BRAWLERS OFICIAL'!BD19)/($BN19)</f>
        <v>0</v>
      </c>
      <c r="BE19" s="100">
        <f>((( 0 )/2 + 'BRAWLERS OFICIAL'!BE19)-'BRAWLERS OFICIAL'!BE19)</f>
        <v>0</v>
      </c>
      <c r="BF19" s="100">
        <f>((0 + 'BRAWLERS OFICIAL'!BF19)-'BRAWLERS OFICIAL'!BF19)/($BN19)</f>
        <v>0</v>
      </c>
      <c r="BG19" s="100">
        <f>((( 0 )/2 + 'BRAWLERS OFICIAL'!BG19)-'BRAWLERS OFICIAL'!BG19)</f>
        <v>0</v>
      </c>
      <c r="BH19" s="100">
        <f>((( 0 )/3 + 'BRAWLERS OFICIAL'!BH19)-'BRAWLERS OFICIAL'!BH19)</f>
        <v>0</v>
      </c>
      <c r="BI19" s="100">
        <f>((( 0 )/2 + 'BRAWLERS OFICIAL'!BI19)-'BRAWLERS OFICIAL'!BI19)</f>
        <v>0</v>
      </c>
      <c r="BJ19" s="100">
        <f>((0 + 'BRAWLERS OFICIAL'!BJ19)-'BRAWLERS OFICIAL'!BJ19)/($BN19)</f>
        <v>0</v>
      </c>
      <c r="BK19" s="100">
        <f>((0 + 'BRAWLERS OFICIAL'!BK19)-'BRAWLERS OFICIAL'!BK19)/($BN19)</f>
        <v>0</v>
      </c>
      <c r="BL19" s="100">
        <f>((0 + 'BRAWLERS OFICIAL'!BL19)-'BRAWLERS OFICIAL'!BL19)/($BN19)</f>
        <v>0</v>
      </c>
      <c r="BN19" s="100">
        <v>1</v>
      </c>
    </row>
    <row r="20" spans="2:66">
      <c r="B20" s="99" t="s">
        <v>450</v>
      </c>
      <c r="C20" s="9" t="s">
        <v>69</v>
      </c>
      <c r="D20" s="100">
        <f>((-3 + 'BRAWLERS OFICIAL'!D20)-'BRAWLERS OFICIAL'!D20)</f>
        <v>-3</v>
      </c>
      <c r="E20" s="100">
        <f>((0 + 'BRAWLERS OFICIAL'!E20)-'BRAWLERS OFICIAL'!E20)</f>
        <v>0</v>
      </c>
      <c r="F20" s="100">
        <f>((0 + 'BRAWLERS OFICIAL'!F20)-'BRAWLERS OFICIAL'!F20)</f>
        <v>0</v>
      </c>
      <c r="G20" s="100">
        <f>((0 + 'BRAWLERS OFICIAL'!G20)-'BRAWLERS OFICIAL'!G20)</f>
        <v>0</v>
      </c>
      <c r="H20" s="100">
        <f>((0 + 'BRAWLERS OFICIAL'!H20)-'BRAWLERS OFICIAL'!H20)</f>
        <v>0</v>
      </c>
      <c r="I20" s="100">
        <f>((0 + 'BRAWLERS OFICIAL'!I20)-'BRAWLERS OFICIAL'!I20)</f>
        <v>0</v>
      </c>
      <c r="J20" s="100">
        <f>((0 + 'BRAWLERS OFICIAL'!J20)-'BRAWLERS OFICIAL'!J20)</f>
        <v>0</v>
      </c>
      <c r="K20" s="100">
        <f>((0 + 'BRAWLERS OFICIAL'!K20)-'BRAWLERS OFICIAL'!K20)</f>
        <v>0</v>
      </c>
      <c r="L20" s="100">
        <f>((0 + 'BRAWLERS OFICIAL'!L20)-'BRAWLERS OFICIAL'!L20)</f>
        <v>0</v>
      </c>
      <c r="M20" s="100">
        <f>((0 + 'BRAWLERS OFICIAL'!M20)-'BRAWLERS OFICIAL'!M20)</f>
        <v>0</v>
      </c>
      <c r="N20" s="100">
        <f>((0 + 'BRAWLERS OFICIAL'!N20)-'BRAWLERS OFICIAL'!N20)</f>
        <v>0</v>
      </c>
      <c r="O20" s="100">
        <f>((0 + 'BRAWLERS OFICIAL'!O20)-'BRAWLERS OFICIAL'!O20)</f>
        <v>0</v>
      </c>
      <c r="P20" s="100">
        <f>((0 + 'BRAWLERS OFICIAL'!P20)-'BRAWLERS OFICIAL'!P20)</f>
        <v>0</v>
      </c>
      <c r="Q20" s="100">
        <f>((0 + 'BRAWLERS OFICIAL'!Q20)-'BRAWLERS OFICIAL'!Q20)</f>
        <v>0</v>
      </c>
      <c r="R20" s="100">
        <f>((0 + 'BRAWLERS OFICIAL'!R20)-'BRAWLERS OFICIAL'!R20)</f>
        <v>0</v>
      </c>
      <c r="S20" s="100">
        <f>((0 + 'BRAWLERS OFICIAL'!S20)-'BRAWLERS OFICIAL'!S20)</f>
        <v>0</v>
      </c>
      <c r="T20" s="100">
        <f>((0 + 'BRAWLERS OFICIAL'!T20)-'BRAWLERS OFICIAL'!T20)</f>
        <v>0</v>
      </c>
      <c r="U20" s="100">
        <f>(0 + 'BRAWLERS OFICIAL'!U20)-'BRAWLERS OFICIAL'!U20</f>
        <v>0</v>
      </c>
      <c r="V20" s="103">
        <f>(( 0 + 'BRAWLERS OFICIAL'!V20 + AN20 + AV20/3.5 )-'BRAWLERS OFICIAL'!V20)/($BN20)</f>
        <v>0</v>
      </c>
      <c r="W20" s="101">
        <f>((0 + 'BRAWLERS OFICIAL'!W20)-'BRAWLERS OFICIAL'!W20)/($BN20)</f>
        <v>0</v>
      </c>
      <c r="X20" s="101">
        <f>(((0)/3 + 'BRAWLERS OFICIAL'!X20)-'BRAWLERS OFICIAL'!X20)</f>
        <v>0</v>
      </c>
      <c r="Y20" s="101">
        <f>((0 + 'BRAWLERS OFICIAL'!Y20)-'BRAWLERS OFICIAL'!Y20)/($BN20)</f>
        <v>0</v>
      </c>
      <c r="Z20" s="101">
        <f>((0 + 'BRAWLERS OFICIAL'!Z20)-'BRAWLERS OFICIAL'!Z20)</f>
        <v>0</v>
      </c>
      <c r="AA20" s="101">
        <f>(((0)/4 + 'BRAWLERS OFICIAL'!AA20)-'BRAWLERS OFICIAL'!AA20)/($BN20)</f>
        <v>0</v>
      </c>
      <c r="AB20" s="101">
        <f>((0 + 'BRAWLERS OFICIAL'!AB20)-'BRAWLERS OFICIAL'!AB20)/($BN20)</f>
        <v>0</v>
      </c>
      <c r="AC20" s="101">
        <f>((0 + 'BRAWLERS OFICIAL'!AC20)-'BRAWLERS OFICIAL'!AC20)/($BN20)</f>
        <v>0</v>
      </c>
      <c r="AD20" s="101">
        <f>((0 + 'BRAWLERS OFICIAL'!AD20)-'BRAWLERS OFICIAL'!AD20)/($BN20)</f>
        <v>0</v>
      </c>
      <c r="AE20" s="101">
        <f>((0 + 'BRAWLERS OFICIAL'!AE20)-'BRAWLERS OFICIAL'!AE20)</f>
        <v>0</v>
      </c>
      <c r="AF20" s="101">
        <f>((0 + 'BRAWLERS OFICIAL'!AF20)-'BRAWLERS OFICIAL'!AF20)</f>
        <v>0</v>
      </c>
      <c r="AG20" s="101">
        <f>((0 + 'BRAWLERS OFICIAL'!AG20)-'BRAWLERS OFICIAL'!AG20)</f>
        <v>0</v>
      </c>
      <c r="AH20" s="101">
        <f>((0 + 'BRAWLERS OFICIAL'!AH20)-'BRAWLERS OFICIAL'!AH20)/($BN20)</f>
        <v>0</v>
      </c>
      <c r="AI20" s="101">
        <f>((0 + 'BRAWLERS OFICIAL'!AI20)-'BRAWLERS OFICIAL'!AI20)/($BN20)</f>
        <v>0</v>
      </c>
      <c r="AJ20" s="101">
        <f>(((BH20/5+1)*AI20 + 'BRAWLERS OFICIAL'!AJ20)-'BRAWLERS OFICIAL'!AJ20)/($BN20)</f>
        <v>0</v>
      </c>
      <c r="AK20" s="101">
        <f>IF( 0 = (1-1), (1-1), ((0 + 'BRAWLERS OFICIAL'!AK20)/1.5)-'BRAWLERS OFICIAL'!AK20 )</f>
        <v>0</v>
      </c>
      <c r="AL20" s="101">
        <f t="shared" ref="AL20" si="1">IF( 0 = (1-1), (1-1), ( 0 ) )</f>
        <v>0</v>
      </c>
      <c r="AM20" s="101">
        <f>((0 + 'BRAWLERS OFICIAL'!AM20)-'BRAWLERS OFICIAL'!AM20)/($BN20)</f>
        <v>0</v>
      </c>
      <c r="AN20" s="101">
        <f>((0/1000 + 'BRAWLERS OFICIAL'!AN20)-'BRAWLERS OFICIAL'!AN20)</f>
        <v>0</v>
      </c>
      <c r="AO20" s="101">
        <f>((0 + 'BRAWLERS OFICIAL'!AO20)-'BRAWLERS OFICIAL'!AO20)</f>
        <v>0</v>
      </c>
      <c r="AP20" s="101">
        <f>IF( 0 = (1-1), (1-1), ((0 + 'BRAWLERS OFICIAL'!AP20)/1.5) )</f>
        <v>0</v>
      </c>
      <c r="AQ20" s="101">
        <f>IF( 0 = (1-1), (1-1), ((0 + 'BRAWLERS OFICIAL'!AQ20)/1.5) )</f>
        <v>0</v>
      </c>
      <c r="AR20" s="101">
        <f>IF( 0 = (1-1), (1-1), ((0 + 'BRAWLERS OFICIAL'!AR20)/2) )</f>
        <v>0</v>
      </c>
      <c r="AS20" s="101">
        <f>((0 + 'BRAWLERS OFICIAL'!AS20)-'BRAWLERS OFICIAL'!AS20)/($BN20)</f>
        <v>0</v>
      </c>
      <c r="AT20" s="101">
        <f>(((0)/4 + 'BRAWLERS OFICIAL'!AT20)-'BRAWLERS OFICIAL'!AT20)</f>
        <v>0</v>
      </c>
      <c r="AU20" s="101">
        <v>0</v>
      </c>
      <c r="AV20" s="100">
        <f>((( 0 )/3 + 'BRAWLERS OFICIAL'!AV20)-'BRAWLERS OFICIAL'!AV20)</f>
        <v>0</v>
      </c>
      <c r="AW20" s="100">
        <f>((( 0 )/2 + 'BRAWLERS OFICIAL'!AW20)-'BRAWLERS OFICIAL'!AW20)/($BN20)</f>
        <v>0</v>
      </c>
      <c r="AX20" s="100">
        <f>((( 0 )/2 + 'BRAWLERS OFICIAL'!AX20)-'BRAWLERS OFICIAL'!AX20)</f>
        <v>0</v>
      </c>
      <c r="AY20" s="100">
        <f>((( 0 )/3 + 'BRAWLERS OFICIAL'!AY20)-'BRAWLERS OFICIAL'!AY20)</f>
        <v>0</v>
      </c>
      <c r="AZ20" s="100">
        <f>((( 0 )/2 + 'BRAWLERS OFICIAL'!AZ20)-'BRAWLERS OFICIAL'!AZ20)/($BN20)</f>
        <v>0</v>
      </c>
      <c r="BA20" s="100">
        <f>((( 0 )/3 + 'BRAWLERS OFICIAL'!BA20)-'BRAWLERS OFICIAL'!BA20)</f>
        <v>0</v>
      </c>
      <c r="BB20" s="100">
        <f>((( 0 )/3 + 'BRAWLERS OFICIAL'!BB20)-'BRAWLERS OFICIAL'!BB20)</f>
        <v>0</v>
      </c>
      <c r="BC20" s="100">
        <f>((0 + 'BRAWLERS OFICIAL'!BC20)-'BRAWLERS OFICIAL'!BC20)/($BN20)</f>
        <v>0</v>
      </c>
      <c r="BD20" s="100">
        <f>((0 + 'BRAWLERS OFICIAL'!BD20)-'BRAWLERS OFICIAL'!BD20)/($BN20)</f>
        <v>0</v>
      </c>
      <c r="BE20" s="100">
        <f>((( 0 )/2 + 'BRAWLERS OFICIAL'!BE20)-'BRAWLERS OFICIAL'!BE20)</f>
        <v>0</v>
      </c>
      <c r="BF20" s="100">
        <f>((0 + 'BRAWLERS OFICIAL'!BF20)-'BRAWLERS OFICIAL'!BF20)/($BN20)</f>
        <v>0</v>
      </c>
      <c r="BG20" s="100">
        <f>((( 0 )/2 + 'BRAWLERS OFICIAL'!BG20)-'BRAWLERS OFICIAL'!BG20)</f>
        <v>0</v>
      </c>
      <c r="BH20" s="100">
        <f>((( 0 )/3 + 'BRAWLERS OFICIAL'!BH20)-'BRAWLERS OFICIAL'!BH20)</f>
        <v>0</v>
      </c>
      <c r="BI20" s="100">
        <f>((( 0 )/2 + 'BRAWLERS OFICIAL'!BI20)-'BRAWLERS OFICIAL'!BI20)</f>
        <v>0</v>
      </c>
      <c r="BJ20" s="100">
        <f>((0 + 'BRAWLERS OFICIAL'!BJ20)-'BRAWLERS OFICIAL'!BJ20)/($BN20)</f>
        <v>0</v>
      </c>
      <c r="BK20" s="100">
        <f>((0 + 'BRAWLERS OFICIAL'!BK20)-'BRAWLERS OFICIAL'!BK20)/($BN20)</f>
        <v>0</v>
      </c>
      <c r="BL20" s="100">
        <f>((0 + 'BRAWLERS OFICIAL'!BL20)-'BRAWLERS OFICIAL'!BL20)/($BN20)</f>
        <v>0</v>
      </c>
      <c r="BN20" s="100">
        <v>1</v>
      </c>
    </row>
    <row r="21" spans="2:66">
      <c r="C21" t="s">
        <v>390</v>
      </c>
    </row>
    <row r="22" spans="2:66">
      <c r="B22" t="s">
        <v>451</v>
      </c>
      <c r="C22" t="s">
        <v>452</v>
      </c>
    </row>
    <row r="23" spans="2:66">
      <c r="B23" t="s">
        <v>453</v>
      </c>
      <c r="C23" t="s">
        <v>454</v>
      </c>
    </row>
  </sheetData>
  <conditionalFormatting sqref="D3:BL20">
    <cfRule type="cellIs" dxfId="6" priority="26" operator="greaterThan">
      <formula>0</formula>
    </cfRule>
  </conditionalFormatting>
  <conditionalFormatting sqref="BN3:BN20">
    <cfRule type="cellIs" dxfId="5" priority="25" operator="greaterThan">
      <formula>0</formula>
    </cfRule>
  </conditionalFormatting>
  <dataValidations count="1">
    <dataValidation allowBlank="1" showInputMessage="1" showErrorMessage="1" sqref="B2:B20" xr:uid="{A27FDCAC-D25D-4502-BDA4-C4175B7AA567}"/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EB2C4-65E2-4618-B9E8-CD1B7FAD0D68}">
  <dimension ref="A1:BN21"/>
  <sheetViews>
    <sheetView workbookViewId="0">
      <pane xSplit="3" topLeftCell="D1" activePane="topRight" state="frozen"/>
      <selection pane="topRight" activeCell="G29" sqref="G29"/>
    </sheetView>
  </sheetViews>
  <sheetFormatPr defaultRowHeight="15"/>
  <cols>
    <col min="1" max="1" width="9.140625" style="94"/>
    <col min="2" max="2" width="23.7109375" bestFit="1" customWidth="1"/>
  </cols>
  <sheetData>
    <row r="1" spans="1:66" s="94" customFormat="1">
      <c r="A1" s="93"/>
      <c r="X1" s="94" t="s">
        <v>394</v>
      </c>
      <c r="Z1" s="94" t="s">
        <v>394</v>
      </c>
      <c r="AE1" s="94" t="s">
        <v>394</v>
      </c>
      <c r="AF1" s="94" t="s">
        <v>394</v>
      </c>
      <c r="AG1" s="94" t="s">
        <v>394</v>
      </c>
      <c r="AK1" s="94" t="s">
        <v>394</v>
      </c>
      <c r="AL1" s="94" t="s">
        <v>394</v>
      </c>
      <c r="AN1" s="94" t="s">
        <v>394</v>
      </c>
      <c r="AO1" s="94" t="s">
        <v>394</v>
      </c>
      <c r="AP1" s="94" t="s">
        <v>394</v>
      </c>
      <c r="AQ1" s="94" t="s">
        <v>394</v>
      </c>
      <c r="AR1" s="94" t="s">
        <v>394</v>
      </c>
      <c r="AT1" s="94" t="s">
        <v>394</v>
      </c>
      <c r="AV1" s="94" t="s">
        <v>394</v>
      </c>
      <c r="AX1" s="94" t="s">
        <v>394</v>
      </c>
      <c r="AY1" s="94" t="s">
        <v>394</v>
      </c>
      <c r="BA1" s="94" t="s">
        <v>394</v>
      </c>
      <c r="BB1" s="94" t="s">
        <v>394</v>
      </c>
      <c r="BE1" s="94" t="s">
        <v>394</v>
      </c>
      <c r="BG1" s="94" t="s">
        <v>394</v>
      </c>
      <c r="BH1" s="94" t="s">
        <v>394</v>
      </c>
      <c r="BI1" s="94" t="s">
        <v>394</v>
      </c>
    </row>
    <row r="2" spans="1:66">
      <c r="B2" s="95" t="s">
        <v>395</v>
      </c>
      <c r="C2" s="95" t="s">
        <v>302</v>
      </c>
      <c r="D2" s="118" t="s">
        <v>303</v>
      </c>
      <c r="E2" s="118" t="s">
        <v>304</v>
      </c>
      <c r="F2" s="118" t="s">
        <v>305</v>
      </c>
      <c r="G2" s="118" t="s">
        <v>306</v>
      </c>
      <c r="H2" s="118" t="s">
        <v>307</v>
      </c>
      <c r="I2" s="118" t="s">
        <v>308</v>
      </c>
      <c r="J2" s="118" t="s">
        <v>309</v>
      </c>
      <c r="K2" s="118" t="s">
        <v>310</v>
      </c>
      <c r="L2" s="118" t="s">
        <v>311</v>
      </c>
      <c r="M2" s="118" t="s">
        <v>312</v>
      </c>
      <c r="N2" s="118" t="s">
        <v>313</v>
      </c>
      <c r="O2" s="118" t="s">
        <v>314</v>
      </c>
      <c r="P2" s="118" t="s">
        <v>315</v>
      </c>
      <c r="Q2" s="118" t="s">
        <v>316</v>
      </c>
      <c r="R2" s="118" t="s">
        <v>317</v>
      </c>
      <c r="S2" s="118" t="s">
        <v>318</v>
      </c>
      <c r="T2" s="118" t="s">
        <v>319</v>
      </c>
      <c r="U2" s="118" t="s">
        <v>320</v>
      </c>
      <c r="V2" s="95" t="s">
        <v>321</v>
      </c>
      <c r="W2" s="95" t="s">
        <v>322</v>
      </c>
      <c r="X2" s="95" t="s">
        <v>323</v>
      </c>
      <c r="Y2" s="95" t="s">
        <v>324</v>
      </c>
      <c r="Z2" s="95" t="s">
        <v>325</v>
      </c>
      <c r="AA2" s="95" t="s">
        <v>326</v>
      </c>
      <c r="AB2" s="95" t="s">
        <v>327</v>
      </c>
      <c r="AC2" s="95" t="s">
        <v>328</v>
      </c>
      <c r="AD2" s="95" t="s">
        <v>329</v>
      </c>
      <c r="AE2" s="95" t="s">
        <v>330</v>
      </c>
      <c r="AF2" s="95" t="s">
        <v>331</v>
      </c>
      <c r="AG2" s="118" t="s">
        <v>332</v>
      </c>
      <c r="AH2" s="118" t="s">
        <v>333</v>
      </c>
      <c r="AI2" s="118" t="s">
        <v>334</v>
      </c>
      <c r="AJ2" s="95" t="s">
        <v>335</v>
      </c>
      <c r="AK2" s="118" t="s">
        <v>336</v>
      </c>
      <c r="AL2" s="118" t="s">
        <v>337</v>
      </c>
      <c r="AM2" s="118" t="s">
        <v>338</v>
      </c>
      <c r="AN2" s="118" t="s">
        <v>339</v>
      </c>
      <c r="AO2" s="118" t="s">
        <v>340</v>
      </c>
      <c r="AP2" s="118" t="s">
        <v>341</v>
      </c>
      <c r="AQ2" s="118" t="s">
        <v>342</v>
      </c>
      <c r="AR2" s="118" t="s">
        <v>343</v>
      </c>
      <c r="AS2" s="118" t="s">
        <v>344</v>
      </c>
      <c r="AT2" s="118" t="s">
        <v>345</v>
      </c>
      <c r="AU2" s="118" t="s">
        <v>346</v>
      </c>
      <c r="AV2" s="95" t="s">
        <v>347</v>
      </c>
      <c r="AW2" s="95" t="s">
        <v>348</v>
      </c>
      <c r="AX2" s="118" t="s">
        <v>349</v>
      </c>
      <c r="AY2" s="95" t="s">
        <v>350</v>
      </c>
      <c r="AZ2" s="95" t="s">
        <v>351</v>
      </c>
      <c r="BA2" s="95" t="s">
        <v>352</v>
      </c>
      <c r="BB2" s="95" t="s">
        <v>353</v>
      </c>
      <c r="BC2" s="95" t="s">
        <v>354</v>
      </c>
      <c r="BD2" s="119" t="s">
        <v>355</v>
      </c>
      <c r="BE2" s="95" t="s">
        <v>356</v>
      </c>
      <c r="BF2" s="95" t="s">
        <v>357</v>
      </c>
      <c r="BG2" s="118" t="s">
        <v>358</v>
      </c>
      <c r="BH2" s="118" t="s">
        <v>359</v>
      </c>
      <c r="BI2" s="95" t="s">
        <v>360</v>
      </c>
      <c r="BJ2" s="95" t="s">
        <v>361</v>
      </c>
      <c r="BK2" s="118" t="s">
        <v>362</v>
      </c>
      <c r="BL2" s="95" t="s">
        <v>363</v>
      </c>
      <c r="BN2" s="95" t="s">
        <v>433</v>
      </c>
    </row>
    <row r="3" spans="1:66">
      <c r="B3" s="97" t="s">
        <v>455</v>
      </c>
      <c r="C3" s="70" t="s">
        <v>78</v>
      </c>
      <c r="D3" s="100">
        <f>(0 + 'BRAWLERS OFICIAL'!D3)-'BRAWLERS OFICIAL'!D3</f>
        <v>0</v>
      </c>
      <c r="E3" s="100">
        <f>(0 + 'BRAWLERS OFICIAL'!E3)-'BRAWLERS OFICIAL'!E3</f>
        <v>0</v>
      </c>
      <c r="F3" s="100">
        <f>(0 + 'BRAWLERS OFICIAL'!F3)-'BRAWLERS OFICIAL'!F3</f>
        <v>0</v>
      </c>
      <c r="G3" s="100">
        <f>(0 + 'BRAWLERS OFICIAL'!G3)-'BRAWLERS OFICIAL'!G3</f>
        <v>0</v>
      </c>
      <c r="H3" s="100">
        <f>(0 + 'BRAWLERS OFICIAL'!H3)-'BRAWLERS OFICIAL'!H3</f>
        <v>0</v>
      </c>
      <c r="I3" s="100">
        <f>(0 + 'BRAWLERS OFICIAL'!I3)-'BRAWLERS OFICIAL'!I3</f>
        <v>0</v>
      </c>
      <c r="J3" s="100">
        <f>(0 + 'BRAWLERS OFICIAL'!J3)-'BRAWLERS OFICIAL'!J3</f>
        <v>0</v>
      </c>
      <c r="K3" s="100">
        <f>(0 + 'BRAWLERS OFICIAL'!K3)-'BRAWLERS OFICIAL'!K3</f>
        <v>0</v>
      </c>
      <c r="L3" s="100">
        <f>(0 + 'BRAWLERS OFICIAL'!L3)-'BRAWLERS OFICIAL'!L3</f>
        <v>0</v>
      </c>
      <c r="M3" s="100">
        <f>(0 + 'BRAWLERS OFICIAL'!M3)-'BRAWLERS OFICIAL'!M3</f>
        <v>0</v>
      </c>
      <c r="N3" s="100">
        <f>(0 + 'BRAWLERS OFICIAL'!N3)-'BRAWLERS OFICIAL'!N3</f>
        <v>0</v>
      </c>
      <c r="O3" s="100">
        <f>(0 + 'BRAWLERS OFICIAL'!O3)-'BRAWLERS OFICIAL'!O3</f>
        <v>0</v>
      </c>
      <c r="P3" s="100">
        <f>(0 + 'BRAWLERS OFICIAL'!P3)-'BRAWLERS OFICIAL'!P3</f>
        <v>0</v>
      </c>
      <c r="Q3" s="100">
        <f>(0 + 'BRAWLERS OFICIAL'!Q3)-'BRAWLERS OFICIAL'!Q3</f>
        <v>0</v>
      </c>
      <c r="R3" s="100">
        <f>(0 + 'BRAWLERS OFICIAL'!R3)-'BRAWLERS OFICIAL'!R3</f>
        <v>0</v>
      </c>
      <c r="S3" s="100">
        <f>(0 + 'BRAWLERS OFICIAL'!S3)-'BRAWLERS OFICIAL'!S3</f>
        <v>0</v>
      </c>
      <c r="T3" s="100">
        <f>(0 + 'BRAWLERS OFICIAL'!T3)-'BRAWLERS OFICIAL'!T3</f>
        <v>0</v>
      </c>
      <c r="U3" s="100">
        <f>(0 + 'BRAWLERS OFICIAL'!U3)-'BRAWLERS OFICIAL'!U3</f>
        <v>0</v>
      </c>
      <c r="V3" s="103">
        <f>(( 'BRAWLERS OFICIAL'!V3/5*4/3 + 'BRAWLERS OFICIAL'!V3 + AN3 + AV3/3.5 )-'BRAWLERS OFICIAL'!V3)/($BN3)</f>
        <v>0.7999999999999996</v>
      </c>
      <c r="W3" s="101">
        <f>((0 + 'BRAWLERS OFICIAL'!W3)-'BRAWLERS OFICIAL'!W3)/($BN3)</f>
        <v>0</v>
      </c>
      <c r="X3" s="101">
        <f>(((0)/3 + 'BRAWLERS OFICIAL'!X3)-'BRAWLERS OFICIAL'!X3)</f>
        <v>0</v>
      </c>
      <c r="Y3" s="101">
        <f>((0 + 'BRAWLERS OFICIAL'!Y3)-'BRAWLERS OFICIAL'!Y3)/($BN3)</f>
        <v>0</v>
      </c>
      <c r="Z3" s="101">
        <f>((0 + 'BRAWLERS OFICIAL'!Z3)-'BRAWLERS OFICIAL'!Z3)</f>
        <v>0</v>
      </c>
      <c r="AA3" s="101">
        <f>(((0)/4 + 'BRAWLERS OFICIAL'!AA3)-'BRAWLERS OFICIAL'!AA3)/($BN3)</f>
        <v>0</v>
      </c>
      <c r="AB3" s="101">
        <f>((0 + 'BRAWLERS OFICIAL'!AB3)-'BRAWLERS OFICIAL'!AB3)/($BN3)</f>
        <v>0</v>
      </c>
      <c r="AC3" s="101">
        <f>((0 + 'BRAWLERS OFICIAL'!AC3)-'BRAWLERS OFICIAL'!AC3)/($BN3)</f>
        <v>0</v>
      </c>
      <c r="AD3" s="101">
        <f>((0 + 'BRAWLERS OFICIAL'!AD3)-'BRAWLERS OFICIAL'!AD3)/($BN3)</f>
        <v>0</v>
      </c>
      <c r="AE3" s="101">
        <f>((0 + 'BRAWLERS OFICIAL'!AE3)-'BRAWLERS OFICIAL'!AE3)</f>
        <v>0</v>
      </c>
      <c r="AF3" s="101">
        <f>((0 + 'BRAWLERS OFICIAL'!AF3)-'BRAWLERS OFICIAL'!AF3)</f>
        <v>0</v>
      </c>
      <c r="AG3" s="101">
        <f>((0 + 'BRAWLERS OFICIAL'!AG3)-'BRAWLERS OFICIAL'!AG3)</f>
        <v>0</v>
      </c>
      <c r="AH3" s="101">
        <f>((0 + 'BRAWLERS OFICIAL'!AH3)-'BRAWLERS OFICIAL'!AH3)/($BN3)</f>
        <v>0</v>
      </c>
      <c r="AI3" s="101">
        <f>((0 + 'BRAWLERS OFICIAL'!AI3)-'BRAWLERS OFICIAL'!AI3)/($BN3)</f>
        <v>0</v>
      </c>
      <c r="AJ3" s="101">
        <f>(((BH3/5+1)*AI3 + 'BRAWLERS OFICIAL'!AJ3)-'BRAWLERS OFICIAL'!AJ3)/($BN3)</f>
        <v>0</v>
      </c>
      <c r="AK3" s="101">
        <f>IF( 0 = (1-1), (1-1), ((0 + 'BRAWLERS OFICIAL'!AK3)/1.5)-'BRAWLERS OFICIAL'!AK3 )</f>
        <v>0</v>
      </c>
      <c r="AL3" s="101">
        <f t="shared" ref="AL3:AL17" si="0">IF( 0 = (1-1), (1-1), ( 0 ) )</f>
        <v>0</v>
      </c>
      <c r="AM3" s="101">
        <f>((0 + 'BRAWLERS OFICIAL'!AM3)-'BRAWLERS OFICIAL'!AM3)/($BN3)</f>
        <v>0</v>
      </c>
      <c r="AN3" s="101">
        <f>((0/1000 + 'BRAWLERS OFICIAL'!AN3)-'BRAWLERS OFICIAL'!AN3)</f>
        <v>0</v>
      </c>
      <c r="AO3" s="101">
        <f>((0 + 'BRAWLERS OFICIAL'!AO3)-'BRAWLERS OFICIAL'!AO3)</f>
        <v>0</v>
      </c>
      <c r="AP3" s="101">
        <f>IF( 0 = (1-1), (1-1), ((0 + 'BRAWLERS OFICIAL'!AP3)/1.5) )</f>
        <v>0</v>
      </c>
      <c r="AQ3" s="101">
        <f>IF( 0 = (1-1), (1-1), ((0 + 'BRAWLERS OFICIAL'!AQ3)/1.5) )</f>
        <v>0</v>
      </c>
      <c r="AR3" s="101">
        <f>IF( 0 = (1-1), (1-1), ((0 + 'BRAWLERS OFICIAL'!AR3)/2) )</f>
        <v>0</v>
      </c>
      <c r="AS3" s="101">
        <f>((0 + 'BRAWLERS OFICIAL'!AS3)-'BRAWLERS OFICIAL'!AS3)/($BN3)</f>
        <v>0</v>
      </c>
      <c r="AT3" s="101">
        <f>(((0)/4 + 'BRAWLERS OFICIAL'!AT3)-'BRAWLERS OFICIAL'!AT3)</f>
        <v>0</v>
      </c>
      <c r="AU3" s="101">
        <v>0</v>
      </c>
      <c r="AV3" s="100">
        <f>((( 0 )/3 + 'BRAWLERS OFICIAL'!AV3)-'BRAWLERS OFICIAL'!AV3)</f>
        <v>0</v>
      </c>
      <c r="AW3" s="100">
        <f>((( 0 )/2 + 'BRAWLERS OFICIAL'!AW3)-'BRAWLERS OFICIAL'!AW3)/($BN3)</f>
        <v>0</v>
      </c>
      <c r="AX3" s="100">
        <f>((( 0 )/2 + 'BRAWLERS OFICIAL'!AX3)-'BRAWLERS OFICIAL'!AX3)</f>
        <v>0</v>
      </c>
      <c r="AY3" s="100">
        <f>((( 0 )/3 + 'BRAWLERS OFICIAL'!AY3)-'BRAWLERS OFICIAL'!AY3)</f>
        <v>0</v>
      </c>
      <c r="AZ3" s="100">
        <f>((( 0 )/2 + 'BRAWLERS OFICIAL'!AZ3)-'BRAWLERS OFICIAL'!AZ3)/($BN3)</f>
        <v>0</v>
      </c>
      <c r="BA3" s="100">
        <f>((( 0 )/3 + 'BRAWLERS OFICIAL'!BA3)-'BRAWLERS OFICIAL'!BA3)</f>
        <v>0</v>
      </c>
      <c r="BB3" s="100">
        <f>((( 0 )/3 + 'BRAWLERS OFICIAL'!BB3)-'BRAWLERS OFICIAL'!BB3)</f>
        <v>0</v>
      </c>
      <c r="BC3" s="100">
        <f>((0 + 'BRAWLERS OFICIAL'!BC3)-'BRAWLERS OFICIAL'!BC3)/($BN3)</f>
        <v>0</v>
      </c>
      <c r="BD3" s="100">
        <f>((0 + 'BRAWLERS OFICIAL'!BD3)-'BRAWLERS OFICIAL'!BD3)/($BN3)</f>
        <v>0</v>
      </c>
      <c r="BE3" s="100">
        <f>((( 0 )/2 + 'BRAWLERS OFICIAL'!BE3)-'BRAWLERS OFICIAL'!BE3)</f>
        <v>0</v>
      </c>
      <c r="BF3" s="100">
        <f>((0 + 'BRAWLERS OFICIAL'!BF3)-'BRAWLERS OFICIAL'!BF3)/($BN3)</f>
        <v>0</v>
      </c>
      <c r="BG3" s="100">
        <f>((( 0 )/2 + 'BRAWLERS OFICIAL'!BG3)-'BRAWLERS OFICIAL'!BG3)</f>
        <v>0</v>
      </c>
      <c r="BH3" s="100">
        <f>((( 0 )/3 + 'BRAWLERS OFICIAL'!BH3)-'BRAWLERS OFICIAL'!BH3)</f>
        <v>0</v>
      </c>
      <c r="BI3" s="100">
        <f>((( 0 )/2 + 'BRAWLERS OFICIAL'!BI3)-'BRAWLERS OFICIAL'!BI3)</f>
        <v>0</v>
      </c>
      <c r="BJ3" s="100">
        <f>((0 + 'BRAWLERS OFICIAL'!BJ3)-'BRAWLERS OFICIAL'!BJ3)/($BN3)</f>
        <v>0</v>
      </c>
      <c r="BK3" s="100">
        <f>((0 + 'BRAWLERS OFICIAL'!BK3)-'BRAWLERS OFICIAL'!BK3)/($BN3)</f>
        <v>0</v>
      </c>
      <c r="BL3" s="100">
        <f>((0 + 'BRAWLERS OFICIAL'!BL3)-'BRAWLERS OFICIAL'!BL3)/($BN3)</f>
        <v>0</v>
      </c>
      <c r="BN3" s="100">
        <f>('BRAWLERS OFICIAL'!D3 / 'BRAWLERS OFICIAL'!H3 / (1 + ('BRAWLERS OFICIAL'!Y3/5)))</f>
        <v>1.1904761904761907</v>
      </c>
    </row>
    <row r="4" spans="1:66">
      <c r="B4" s="97" t="s">
        <v>456</v>
      </c>
      <c r="C4" s="70" t="s">
        <v>10</v>
      </c>
      <c r="D4" s="100">
        <f>(0 + 'BRAWLERS OFICIAL'!D4)-'BRAWLERS OFICIAL'!D4</f>
        <v>0</v>
      </c>
      <c r="E4" s="100">
        <f>(0 + 'BRAWLERS OFICIAL'!E4)-'BRAWLERS OFICIAL'!E4</f>
        <v>0</v>
      </c>
      <c r="F4" s="100">
        <f>(0 + 'BRAWLERS OFICIAL'!F4)-'BRAWLERS OFICIAL'!F4</f>
        <v>0</v>
      </c>
      <c r="G4" s="100">
        <f>(0 + 'BRAWLERS OFICIAL'!G4)-'BRAWLERS OFICIAL'!G4</f>
        <v>0</v>
      </c>
      <c r="H4" s="100">
        <f>(0 + 'BRAWLERS OFICIAL'!H4)-'BRAWLERS OFICIAL'!H4</f>
        <v>0</v>
      </c>
      <c r="I4" s="100">
        <f>(0 + 'BRAWLERS OFICIAL'!I4)-'BRAWLERS OFICIAL'!I4</f>
        <v>0</v>
      </c>
      <c r="J4" s="100">
        <f>(0 + 'BRAWLERS OFICIAL'!J4)-'BRAWLERS OFICIAL'!J4</f>
        <v>0</v>
      </c>
      <c r="K4" s="100">
        <f>(0 + 'BRAWLERS OFICIAL'!K4)-'BRAWLERS OFICIAL'!K4</f>
        <v>0</v>
      </c>
      <c r="L4" s="100">
        <f>(0 + 'BRAWLERS OFICIAL'!L4)-'BRAWLERS OFICIAL'!L4</f>
        <v>0</v>
      </c>
      <c r="M4" s="100">
        <f>(0 + 'BRAWLERS OFICIAL'!M4)-'BRAWLERS OFICIAL'!M4</f>
        <v>0</v>
      </c>
      <c r="N4" s="100">
        <f>(0 + 'BRAWLERS OFICIAL'!N4)-'BRAWLERS OFICIAL'!N4</f>
        <v>0</v>
      </c>
      <c r="O4" s="100">
        <f>(0 + 'BRAWLERS OFICIAL'!O4)-'BRAWLERS OFICIAL'!O4</f>
        <v>0</v>
      </c>
      <c r="P4" s="100">
        <f>(0 + 'BRAWLERS OFICIAL'!P4)-'BRAWLERS OFICIAL'!P4</f>
        <v>0</v>
      </c>
      <c r="Q4" s="100">
        <f>(0 + 'BRAWLERS OFICIAL'!Q4)-'BRAWLERS OFICIAL'!Q4</f>
        <v>0</v>
      </c>
      <c r="R4" s="100">
        <f>(0 + 'BRAWLERS OFICIAL'!R4)-'BRAWLERS OFICIAL'!R4</f>
        <v>0</v>
      </c>
      <c r="S4" s="100">
        <f>(0 + 'BRAWLERS OFICIAL'!S4)-'BRAWLERS OFICIAL'!S4</f>
        <v>0</v>
      </c>
      <c r="T4" s="100">
        <f>(0 + 'BRAWLERS OFICIAL'!T4)-'BRAWLERS OFICIAL'!T4</f>
        <v>0</v>
      </c>
      <c r="U4" s="100">
        <f>(0 + 'BRAWLERS OFICIAL'!U4)-'BRAWLERS OFICIAL'!U4</f>
        <v>0</v>
      </c>
      <c r="V4" s="103">
        <f>(( 0 + 'BRAWLERS OFICIAL'!V4 + AN4 + AV4/3.5 )-'BRAWLERS OFICIAL'!V4)/($BN4)</f>
        <v>0</v>
      </c>
      <c r="W4" s="101">
        <f>((0 + 'BRAWLERS OFICIAL'!W4)-'BRAWLERS OFICIAL'!W4)/($BN4)</f>
        <v>0</v>
      </c>
      <c r="X4" s="101">
        <f>(((0)/3 + 'BRAWLERS OFICIAL'!X4)-'BRAWLERS OFICIAL'!X4)</f>
        <v>0</v>
      </c>
      <c r="Y4" s="101">
        <f>((0 + 'BRAWLERS OFICIAL'!Y4)-'BRAWLERS OFICIAL'!Y4)/($BN4)</f>
        <v>0</v>
      </c>
      <c r="Z4" s="101">
        <f>((0 + 'BRAWLERS OFICIAL'!Z4)-'BRAWLERS OFICIAL'!Z4)</f>
        <v>0</v>
      </c>
      <c r="AA4" s="101">
        <f>(((0)/4 + 'BRAWLERS OFICIAL'!AA4)-'BRAWLERS OFICIAL'!AA4)/($BN4)</f>
        <v>0</v>
      </c>
      <c r="AB4" s="101">
        <f>((0 + 'BRAWLERS OFICIAL'!AB4)-'BRAWLERS OFICIAL'!AB4)/($BN4)</f>
        <v>0</v>
      </c>
      <c r="AC4" s="101">
        <f>((0 + 'BRAWLERS OFICIAL'!AC4)-'BRAWLERS OFICIAL'!AC4)/($BN4)</f>
        <v>0</v>
      </c>
      <c r="AD4" s="101">
        <f>((0 + 'BRAWLERS OFICIAL'!AD4)-'BRAWLERS OFICIAL'!AD4)/($BN4)</f>
        <v>0</v>
      </c>
      <c r="AE4" s="101">
        <f>((0 + 'BRAWLERS OFICIAL'!AE4)-'BRAWLERS OFICIAL'!AE4)</f>
        <v>0</v>
      </c>
      <c r="AF4" s="101">
        <f>((0 + 'BRAWLERS OFICIAL'!AF4)-'BRAWLERS OFICIAL'!AF4)</f>
        <v>0</v>
      </c>
      <c r="AG4" s="101">
        <f>((0 + 'BRAWLERS OFICIAL'!AG4)-'BRAWLERS OFICIAL'!AG4)</f>
        <v>0</v>
      </c>
      <c r="AH4" s="101">
        <f>((1 + 'BRAWLERS OFICIAL'!AH4)-'BRAWLERS OFICIAL'!AH4)/($BN4)</f>
        <v>1</v>
      </c>
      <c r="AI4" s="101">
        <f>((0 + 'BRAWLERS OFICIAL'!AI4)-'BRAWLERS OFICIAL'!AI4)/($BN4)</f>
        <v>0</v>
      </c>
      <c r="AJ4" s="101">
        <f>(((BH4/5+1)*AI4 + 'BRAWLERS OFICIAL'!AJ4)-'BRAWLERS OFICIAL'!AJ4)/($BN4)</f>
        <v>0</v>
      </c>
      <c r="AK4" s="101">
        <f>IF( 0 = (1-1), (1-1), ((0 + 'BRAWLERS OFICIAL'!AK4)/1.5)-'BRAWLERS OFICIAL'!AK4 )</f>
        <v>0</v>
      </c>
      <c r="AL4" s="101">
        <f t="shared" si="0"/>
        <v>0</v>
      </c>
      <c r="AM4" s="101">
        <f>((0 + 'BRAWLERS OFICIAL'!AM4)-'BRAWLERS OFICIAL'!AM4)/($BN4)</f>
        <v>0</v>
      </c>
      <c r="AN4" s="101">
        <f>((0/1000 + 'BRAWLERS OFICIAL'!AN4)-'BRAWLERS OFICIAL'!AN4)</f>
        <v>0</v>
      </c>
      <c r="AO4" s="101">
        <f>((0 + 'BRAWLERS OFICIAL'!AO4)-'BRAWLERS OFICIAL'!AO4)</f>
        <v>0</v>
      </c>
      <c r="AP4" s="101">
        <f>IF( 0 = (1-1), (1-1), ((0 + 'BRAWLERS OFICIAL'!AP4)/1.5) )</f>
        <v>0</v>
      </c>
      <c r="AQ4" s="101">
        <f>IF( 0 = (1-1), (1-1), ((0 + 'BRAWLERS OFICIAL'!AQ4)/1.5) )</f>
        <v>0</v>
      </c>
      <c r="AR4" s="101">
        <f>IF( 0 = (1-1), (1-1), ((0 + 'BRAWLERS OFICIAL'!AR4)/2) )</f>
        <v>0</v>
      </c>
      <c r="AS4" s="101">
        <f>((0 + 'BRAWLERS OFICIAL'!AS4)-'BRAWLERS OFICIAL'!AS4)/($BN4)</f>
        <v>0</v>
      </c>
      <c r="AT4" s="101">
        <f>(((0)/4 + 'BRAWLERS OFICIAL'!AT4)-'BRAWLERS OFICIAL'!AT4)</f>
        <v>0</v>
      </c>
      <c r="AU4" s="101">
        <v>5</v>
      </c>
      <c r="AV4" s="100">
        <f>((( 0 )/3 + 'BRAWLERS OFICIAL'!AV4)-'BRAWLERS OFICIAL'!AV4)</f>
        <v>0</v>
      </c>
      <c r="AW4" s="100">
        <f>((( 0 )/2 + 'BRAWLERS OFICIAL'!AW4)-'BRAWLERS OFICIAL'!AW4)/($BN4)</f>
        <v>0</v>
      </c>
      <c r="AX4" s="100">
        <f>((( 0 )/2 + 'BRAWLERS OFICIAL'!AX4)-'BRAWLERS OFICIAL'!AX4)</f>
        <v>0</v>
      </c>
      <c r="AY4" s="100">
        <f>((( 0 )/3 + 'BRAWLERS OFICIAL'!AY4)-'BRAWLERS OFICIAL'!AY4)</f>
        <v>0</v>
      </c>
      <c r="AZ4" s="100">
        <f>((( 0 )/2 + 'BRAWLERS OFICIAL'!AZ4)-'BRAWLERS OFICIAL'!AZ4)/($BN4)</f>
        <v>0</v>
      </c>
      <c r="BA4" s="100">
        <f>((( 0 )/3 + 'BRAWLERS OFICIAL'!BA4)-'BRAWLERS OFICIAL'!BA4)</f>
        <v>0</v>
      </c>
      <c r="BB4" s="100">
        <f>((( 0 )/3 + 'BRAWLERS OFICIAL'!BB4)-'BRAWLERS OFICIAL'!BB4)</f>
        <v>0</v>
      </c>
      <c r="BC4" s="100">
        <f>((0 + 'BRAWLERS OFICIAL'!BC4)-'BRAWLERS OFICIAL'!BC4)/($BN4)</f>
        <v>0</v>
      </c>
      <c r="BD4" s="100">
        <f>((0 + 'BRAWLERS OFICIAL'!BD4)-'BRAWLERS OFICIAL'!BD4)/($BN4)</f>
        <v>0</v>
      </c>
      <c r="BE4" s="100">
        <f>((( 0 )/2 + 'BRAWLERS OFICIAL'!BE4)-'BRAWLERS OFICIAL'!BE4)</f>
        <v>0</v>
      </c>
      <c r="BF4" s="100">
        <f>((0 + 'BRAWLERS OFICIAL'!BF4)-'BRAWLERS OFICIAL'!BF4)/($BN4)</f>
        <v>0</v>
      </c>
      <c r="BG4" s="100">
        <f>((( 0 )/2 + 'BRAWLERS OFICIAL'!BG4)-'BRAWLERS OFICIAL'!BG4)</f>
        <v>0</v>
      </c>
      <c r="BH4" s="100">
        <f>((( 0 )/3 + 'BRAWLERS OFICIAL'!BH4)-'BRAWLERS OFICIAL'!BH4)</f>
        <v>0</v>
      </c>
      <c r="BI4" s="100">
        <f>((( 0 )/2 + 'BRAWLERS OFICIAL'!BI4)-'BRAWLERS OFICIAL'!BI4)</f>
        <v>0</v>
      </c>
      <c r="BJ4" s="100">
        <f>((0 + 'BRAWLERS OFICIAL'!BJ4)-'BRAWLERS OFICIAL'!BJ4)/($BN4)</f>
        <v>0</v>
      </c>
      <c r="BK4" s="100">
        <f>((0 + 'BRAWLERS OFICIAL'!BK4)-'BRAWLERS OFICIAL'!BK4)/($BN4)</f>
        <v>0</v>
      </c>
      <c r="BL4" s="100">
        <f>((0 + 'BRAWLERS OFICIAL'!BL4)-'BRAWLERS OFICIAL'!BL4)/($BN4)</f>
        <v>0</v>
      </c>
      <c r="BN4" s="100">
        <v>1</v>
      </c>
    </row>
    <row r="5" spans="1:66">
      <c r="B5" s="97" t="s">
        <v>457</v>
      </c>
      <c r="C5" s="98" t="s">
        <v>88</v>
      </c>
      <c r="D5" s="100">
        <f>(0 + 'BRAWLERS OFICIAL'!D5)-'BRAWLERS OFICIAL'!D5</f>
        <v>0</v>
      </c>
      <c r="E5" s="100">
        <f>(0 + 'BRAWLERS OFICIAL'!E5)-'BRAWLERS OFICIAL'!E5</f>
        <v>0</v>
      </c>
      <c r="F5" s="100">
        <f>(0 + 'BRAWLERS OFICIAL'!F5)-'BRAWLERS OFICIAL'!F5</f>
        <v>0</v>
      </c>
      <c r="G5" s="100">
        <f>(0 + 'BRAWLERS OFICIAL'!G5)-'BRAWLERS OFICIAL'!G5</f>
        <v>0</v>
      </c>
      <c r="H5" s="100">
        <f>(0 + 'BRAWLERS OFICIAL'!H5)-'BRAWLERS OFICIAL'!H5</f>
        <v>0</v>
      </c>
      <c r="I5" s="100">
        <f>(0 + 'BRAWLERS OFICIAL'!I5)-'BRAWLERS OFICIAL'!I5</f>
        <v>0</v>
      </c>
      <c r="J5" s="100">
        <f>(0 + 'BRAWLERS OFICIAL'!J5)-'BRAWLERS OFICIAL'!J5</f>
        <v>0</v>
      </c>
      <c r="K5" s="100">
        <f>(0 + 'BRAWLERS OFICIAL'!K5)-'BRAWLERS OFICIAL'!K5</f>
        <v>0</v>
      </c>
      <c r="L5" s="100">
        <f>(0 + 'BRAWLERS OFICIAL'!L5)-'BRAWLERS OFICIAL'!L5</f>
        <v>0</v>
      </c>
      <c r="M5" s="100">
        <f>(0 + 'BRAWLERS OFICIAL'!M5)-'BRAWLERS OFICIAL'!M5</f>
        <v>0</v>
      </c>
      <c r="N5" s="100">
        <f>(0 + 'BRAWLERS OFICIAL'!N5)-'BRAWLERS OFICIAL'!N5</f>
        <v>0</v>
      </c>
      <c r="O5" s="100">
        <f>(0 + 'BRAWLERS OFICIAL'!O5)-'BRAWLERS OFICIAL'!O5</f>
        <v>0</v>
      </c>
      <c r="P5" s="100">
        <f>(0 + 'BRAWLERS OFICIAL'!P5)-'BRAWLERS OFICIAL'!P5</f>
        <v>0</v>
      </c>
      <c r="Q5" s="100">
        <f>(0 + 'BRAWLERS OFICIAL'!Q5)-'BRAWLERS OFICIAL'!Q5</f>
        <v>0</v>
      </c>
      <c r="R5" s="100">
        <f>(0 + 'BRAWLERS OFICIAL'!R5)-'BRAWLERS OFICIAL'!R5</f>
        <v>0</v>
      </c>
      <c r="S5" s="100">
        <f>(0 + 'BRAWLERS OFICIAL'!S5)-'BRAWLERS OFICIAL'!S5</f>
        <v>0</v>
      </c>
      <c r="T5" s="100">
        <f>(0 + 'BRAWLERS OFICIAL'!T5)-'BRAWLERS OFICIAL'!T5</f>
        <v>0</v>
      </c>
      <c r="U5" s="100">
        <f>(0 + 'BRAWLERS OFICIAL'!U5)-'BRAWLERS OFICIAL'!U5</f>
        <v>0</v>
      </c>
      <c r="V5" s="103">
        <f>(( 0 + 'BRAWLERS OFICIAL'!V5 + AN5 + AV5/3.5 )-'BRAWLERS OFICIAL'!V5)/($BN5)</f>
        <v>0</v>
      </c>
      <c r="W5" s="101">
        <f>((0 + 'BRAWLERS OFICIAL'!W5)-'BRAWLERS OFICIAL'!W5)/($BN5)</f>
        <v>0</v>
      </c>
      <c r="X5" s="101">
        <f>(((3 + 2 + 4)/3 + 'BRAWLERS OFICIAL'!X5)-'BRAWLERS OFICIAL'!X5)</f>
        <v>3</v>
      </c>
      <c r="Y5" s="101">
        <f>((0 + 'BRAWLERS OFICIAL'!Y5)-'BRAWLERS OFICIAL'!Y5)/($BN5)</f>
        <v>0</v>
      </c>
      <c r="Z5" s="101">
        <f>((0 + 'BRAWLERS OFICIAL'!Z5)-'BRAWLERS OFICIAL'!Z5)</f>
        <v>0</v>
      </c>
      <c r="AA5" s="101">
        <f>(((0)/4 + 'BRAWLERS OFICIAL'!AA5)-'BRAWLERS OFICIAL'!AA5)/($BN5)</f>
        <v>0</v>
      </c>
      <c r="AB5" s="101">
        <f>((0 + 'BRAWLERS OFICIAL'!AB5)-'BRAWLERS OFICIAL'!AB5)/($BN5)</f>
        <v>0</v>
      </c>
      <c r="AC5" s="101">
        <f>((0 + 'BRAWLERS OFICIAL'!AC5)-'BRAWLERS OFICIAL'!AC5)/($BN5)</f>
        <v>0</v>
      </c>
      <c r="AD5" s="101">
        <f>((0 + 'BRAWLERS OFICIAL'!AD5)-'BRAWLERS OFICIAL'!AD5)/($BN5)</f>
        <v>0</v>
      </c>
      <c r="AE5" s="101">
        <f>((0 + 'BRAWLERS OFICIAL'!AE5)-'BRAWLERS OFICIAL'!AE5)</f>
        <v>0</v>
      </c>
      <c r="AF5" s="101">
        <f>((0 + 'BRAWLERS OFICIAL'!AF5)-'BRAWLERS OFICIAL'!AF5)</f>
        <v>0</v>
      </c>
      <c r="AG5" s="101">
        <f>((0 + 'BRAWLERS OFICIAL'!AG5)-'BRAWLERS OFICIAL'!AG5)</f>
        <v>0</v>
      </c>
      <c r="AH5" s="101">
        <f>((10)-'BRAWLERS OFICIAL'!AH5)/($BN5)</f>
        <v>2</v>
      </c>
      <c r="AI5" s="101">
        <f>((0 + 'BRAWLERS OFICIAL'!AI5)-'BRAWLERS OFICIAL'!AI5)/($BN5)</f>
        <v>0</v>
      </c>
      <c r="AJ5" s="101">
        <f>(((BH5/5+1)*AI5 + 'BRAWLERS OFICIAL'!AJ5)-'BRAWLERS OFICIAL'!AJ5)/($BN5)</f>
        <v>0</v>
      </c>
      <c r="AK5" s="101">
        <f>IF( 0 = (1-1), (1-1), ((0 + 'BRAWLERS OFICIAL'!AK5)/1.5)-'BRAWLERS OFICIAL'!AK5 )</f>
        <v>0</v>
      </c>
      <c r="AL5" s="101">
        <f t="shared" si="0"/>
        <v>0</v>
      </c>
      <c r="AM5" s="101">
        <f>((0 + 'BRAWLERS OFICIAL'!AM5)-'BRAWLERS OFICIAL'!AM5)/($BN5)</f>
        <v>0</v>
      </c>
      <c r="AN5" s="101">
        <f>((0/1000 + 'BRAWLERS OFICIAL'!AN5)-'BRAWLERS OFICIAL'!AN5)</f>
        <v>0</v>
      </c>
      <c r="AO5" s="101">
        <f>((0 + 'BRAWLERS OFICIAL'!AO5)-'BRAWLERS OFICIAL'!AO5)</f>
        <v>0</v>
      </c>
      <c r="AP5" s="101">
        <f>IF( 0 = (1-1), (1-1), ((0 + 'BRAWLERS OFICIAL'!AP5)/1.5) )</f>
        <v>0</v>
      </c>
      <c r="AQ5" s="101">
        <f>IF( 0 = (1-1), (1-1), ((0 + 'BRAWLERS OFICIAL'!AQ5)/1.5) )</f>
        <v>0</v>
      </c>
      <c r="AR5" s="101">
        <f>IF( 0 = (1-1), (1-1), ((0 + 'BRAWLERS OFICIAL'!AR5)/2) )</f>
        <v>0</v>
      </c>
      <c r="AS5" s="101">
        <f>((0 + 'BRAWLERS OFICIAL'!AS5)-'BRAWLERS OFICIAL'!AS5)/($BN5)</f>
        <v>0</v>
      </c>
      <c r="AT5" s="101">
        <f>(((0)/4 + 'BRAWLERS OFICIAL'!AT5)-'BRAWLERS OFICIAL'!AT5)</f>
        <v>0</v>
      </c>
      <c r="AU5" s="101">
        <v>2.5</v>
      </c>
      <c r="AV5" s="100">
        <f>((( 0 )/3 + 'BRAWLERS OFICIAL'!AV5)-'BRAWLERS OFICIAL'!AV5)</f>
        <v>0</v>
      </c>
      <c r="AW5" s="100">
        <f>((( 0 )/2 + 'BRAWLERS OFICIAL'!AW5)-'BRAWLERS OFICIAL'!AW5)/($BN5)</f>
        <v>0</v>
      </c>
      <c r="AX5" s="100">
        <f>((( 0 )/2 + 'BRAWLERS OFICIAL'!AX5)-'BRAWLERS OFICIAL'!AX5)</f>
        <v>0</v>
      </c>
      <c r="AY5" s="100">
        <f>((( 0 )/3 + 'BRAWLERS OFICIAL'!AY5)-'BRAWLERS OFICIAL'!AY5)</f>
        <v>0</v>
      </c>
      <c r="AZ5" s="100">
        <f>((( 0 )/2 + 'BRAWLERS OFICIAL'!AZ5)-'BRAWLERS OFICIAL'!AZ5)/($BN5)</f>
        <v>0</v>
      </c>
      <c r="BA5" s="100">
        <f>((( 0 )/3 + 'BRAWLERS OFICIAL'!BA5)-'BRAWLERS OFICIAL'!BA5)</f>
        <v>0</v>
      </c>
      <c r="BB5" s="100">
        <f>((( 0 )/3 + 'BRAWLERS OFICIAL'!BB5)-'BRAWLERS OFICIAL'!BB5)</f>
        <v>0</v>
      </c>
      <c r="BC5" s="100">
        <f>((0 + 'BRAWLERS OFICIAL'!BC5)-'BRAWLERS OFICIAL'!BC5)/($BN5)</f>
        <v>0</v>
      </c>
      <c r="BD5" s="100">
        <f>((0 + 'BRAWLERS OFICIAL'!BD5)-'BRAWLERS OFICIAL'!BD5)/($BN5)</f>
        <v>0</v>
      </c>
      <c r="BE5" s="100">
        <f>((( 0 )/2 + 'BRAWLERS OFICIAL'!BE5)-'BRAWLERS OFICIAL'!BE5)</f>
        <v>0</v>
      </c>
      <c r="BF5" s="100">
        <f>((0 + 'BRAWLERS OFICIAL'!BF5)-'BRAWLERS OFICIAL'!BF5)/($BN5)</f>
        <v>0</v>
      </c>
      <c r="BG5" s="100">
        <f>((( 0 )/2 + 'BRAWLERS OFICIAL'!BG5)-'BRAWLERS OFICIAL'!BG5)</f>
        <v>0</v>
      </c>
      <c r="BH5" s="100">
        <f>((( 0 )/3 + 'BRAWLERS OFICIAL'!BH5)-'BRAWLERS OFICIAL'!BH5)</f>
        <v>0</v>
      </c>
      <c r="BI5" s="100">
        <f>((( 0 )/2 + 'BRAWLERS OFICIAL'!BI5)-'BRAWLERS OFICIAL'!BI5)</f>
        <v>0</v>
      </c>
      <c r="BJ5" s="100">
        <f>((0 + 'BRAWLERS OFICIAL'!BJ5)-'BRAWLERS OFICIAL'!BJ5)/($BN5)</f>
        <v>0</v>
      </c>
      <c r="BK5" s="100">
        <f>((0 + 'BRAWLERS OFICIAL'!BK5)-'BRAWLERS OFICIAL'!BK5)/($BN5)</f>
        <v>0</v>
      </c>
      <c r="BL5" s="100">
        <f>((0 + 'BRAWLERS OFICIAL'!BL5)-'BRAWLERS OFICIAL'!BL5)/($BN5)</f>
        <v>0</v>
      </c>
      <c r="BN5" s="100">
        <f>1/0.4</f>
        <v>2.5</v>
      </c>
    </row>
    <row r="6" spans="1:66">
      <c r="B6" s="97" t="s">
        <v>458</v>
      </c>
      <c r="C6" s="70" t="s">
        <v>96</v>
      </c>
      <c r="D6" s="100">
        <f>(0 + 'BRAWLERS OFICIAL'!D6)-'BRAWLERS OFICIAL'!D6</f>
        <v>0</v>
      </c>
      <c r="E6" s="100">
        <f>(0 + 'BRAWLERS OFICIAL'!E6)-'BRAWLERS OFICIAL'!E6</f>
        <v>0</v>
      </c>
      <c r="F6" s="100">
        <f>(0 + 'BRAWLERS OFICIAL'!F6)-'BRAWLERS OFICIAL'!F6</f>
        <v>0</v>
      </c>
      <c r="G6" s="100">
        <f>(0 + 'BRAWLERS OFICIAL'!G6)-'BRAWLERS OFICIAL'!G6</f>
        <v>0</v>
      </c>
      <c r="H6" s="100">
        <f>(0 + 'BRAWLERS OFICIAL'!H6)-'BRAWLERS OFICIAL'!H6</f>
        <v>0</v>
      </c>
      <c r="I6" s="100">
        <f>(0 + 'BRAWLERS OFICIAL'!I6)-'BRAWLERS OFICIAL'!I6</f>
        <v>0</v>
      </c>
      <c r="J6" s="100">
        <f>(0.5 + 'BRAWLERS OFICIAL'!J6)-'BRAWLERS OFICIAL'!J6</f>
        <v>0.5</v>
      </c>
      <c r="K6" s="100">
        <f>(0.5 + 'BRAWLERS OFICIAL'!K6)-'BRAWLERS OFICIAL'!K6</f>
        <v>0.5</v>
      </c>
      <c r="L6" s="100">
        <f>(1 + 'BRAWLERS OFICIAL'!L6)-'BRAWLERS OFICIAL'!L6</f>
        <v>1</v>
      </c>
      <c r="M6" s="100">
        <f>(0 + 'BRAWLERS OFICIAL'!M6)-'BRAWLERS OFICIAL'!M6</f>
        <v>0</v>
      </c>
      <c r="N6" s="100">
        <f>(0 + 'BRAWLERS OFICIAL'!N6)-'BRAWLERS OFICIAL'!N6</f>
        <v>0</v>
      </c>
      <c r="O6" s="100">
        <f>(0 + 'BRAWLERS OFICIAL'!O6)-'BRAWLERS OFICIAL'!O6</f>
        <v>0</v>
      </c>
      <c r="P6" s="100">
        <f>(0 + 'BRAWLERS OFICIAL'!P6)-'BRAWLERS OFICIAL'!P6</f>
        <v>0</v>
      </c>
      <c r="Q6" s="100">
        <f>(0 + 'BRAWLERS OFICIAL'!Q6)-'BRAWLERS OFICIAL'!Q6</f>
        <v>0</v>
      </c>
      <c r="R6" s="100">
        <f>(0 + 'BRAWLERS OFICIAL'!R6)-'BRAWLERS OFICIAL'!R6</f>
        <v>0</v>
      </c>
      <c r="S6" s="100">
        <f>(0 + 'BRAWLERS OFICIAL'!S6)-'BRAWLERS OFICIAL'!S6</f>
        <v>0</v>
      </c>
      <c r="T6" s="100">
        <f>(0 + 'BRAWLERS OFICIAL'!T6)-'BRAWLERS OFICIAL'!T6</f>
        <v>0</v>
      </c>
      <c r="U6" s="100">
        <f>(0 + 'BRAWLERS OFICIAL'!U6)-'BRAWLERS OFICIAL'!U6</f>
        <v>0</v>
      </c>
      <c r="V6" s="103">
        <f>(( 0 + 'BRAWLERS OFICIAL'!V6 + AN6 + AV6/3.5 )-'BRAWLERS OFICIAL'!V6)/($BN6)</f>
        <v>0</v>
      </c>
      <c r="W6" s="101">
        <f>((1 + 'BRAWLERS OFICIAL'!W6)-'BRAWLERS OFICIAL'!W6)/($BN6)</f>
        <v>1</v>
      </c>
      <c r="X6" s="101">
        <f>(((0)/3 + 'BRAWLERS OFICIAL'!X6)-'BRAWLERS OFICIAL'!X6)</f>
        <v>0</v>
      </c>
      <c r="Y6" s="101">
        <f>((0 + 'BRAWLERS OFICIAL'!Y6)-'BRAWLERS OFICIAL'!Y6)/($BN6)</f>
        <v>0</v>
      </c>
      <c r="Z6" s="101">
        <f>((1 + 'BRAWLERS OFICIAL'!Z6)-'BRAWLERS OFICIAL'!Z6)</f>
        <v>1</v>
      </c>
      <c r="AA6" s="101">
        <f>(((0)/4 + 'BRAWLERS OFICIAL'!AA6)-'BRAWLERS OFICIAL'!AA6)/($BN6)</f>
        <v>0</v>
      </c>
      <c r="AB6" s="101">
        <f>((0 + 'BRAWLERS OFICIAL'!AB6)-'BRAWLERS OFICIAL'!AB6)/($BN6)</f>
        <v>0</v>
      </c>
      <c r="AC6" s="101">
        <f>((0 + 'BRAWLERS OFICIAL'!AC6)-'BRAWLERS OFICIAL'!AC6)/($BN6)</f>
        <v>0</v>
      </c>
      <c r="AD6" s="101">
        <f>((0 + 'BRAWLERS OFICIAL'!AD6)-'BRAWLERS OFICIAL'!AD6)/($BN6)</f>
        <v>0</v>
      </c>
      <c r="AE6" s="101">
        <f>((0 + 'BRAWLERS OFICIAL'!AE6)-'BRAWLERS OFICIAL'!AE6)</f>
        <v>0</v>
      </c>
      <c r="AF6" s="101">
        <f>((0 + 'BRAWLERS OFICIAL'!AF6)-'BRAWLERS OFICIAL'!AF6)</f>
        <v>0</v>
      </c>
      <c r="AG6" s="101">
        <f>((0 + 'BRAWLERS OFICIAL'!AG6)-'BRAWLERS OFICIAL'!AG6)</f>
        <v>0</v>
      </c>
      <c r="AH6" s="101">
        <f>((0 + 'BRAWLERS OFICIAL'!AH6)-'BRAWLERS OFICIAL'!AH6)/($BN6)</f>
        <v>0</v>
      </c>
      <c r="AI6" s="101">
        <f>((0 + 'BRAWLERS OFICIAL'!AI6)-'BRAWLERS OFICIAL'!AI6)/($BN6)</f>
        <v>0</v>
      </c>
      <c r="AJ6" s="101">
        <f>(((BH6/5+1)*AI6 + 'BRAWLERS OFICIAL'!AJ6)-'BRAWLERS OFICIAL'!AJ6)/($BN6)</f>
        <v>0</v>
      </c>
      <c r="AK6" s="101">
        <f>IF( 0 = (1-1), (1-1), ((0 + 'BRAWLERS OFICIAL'!AK6)/1.5)-'BRAWLERS OFICIAL'!AK6 )</f>
        <v>0</v>
      </c>
      <c r="AL6" s="101">
        <f t="shared" si="0"/>
        <v>0</v>
      </c>
      <c r="AM6" s="101">
        <f>((0 + 'BRAWLERS OFICIAL'!AM6)-'BRAWLERS OFICIAL'!AM6)/($BN6)</f>
        <v>0</v>
      </c>
      <c r="AN6" s="101">
        <f>((0/1000 + 'BRAWLERS OFICIAL'!AN6)-'BRAWLERS OFICIAL'!AN6)</f>
        <v>0</v>
      </c>
      <c r="AO6" s="101">
        <f>((0 + 'BRAWLERS OFICIAL'!AO6)-'BRAWLERS OFICIAL'!AO6)</f>
        <v>0</v>
      </c>
      <c r="AP6" s="101">
        <f>IF( 0 = (1-1), (1-1), ((0 + 'BRAWLERS OFICIAL'!AP6)/1.5) )</f>
        <v>0</v>
      </c>
      <c r="AQ6" s="101">
        <f>IF( 0 = (1-1), (1-1), ((0 + 'BRAWLERS OFICIAL'!AQ6)/1.5) )</f>
        <v>0</v>
      </c>
      <c r="AR6" s="101">
        <f>IF( 0 = (1-1), (1-1), ((0 + 'BRAWLERS OFICIAL'!AR6)/2) )</f>
        <v>0</v>
      </c>
      <c r="AS6" s="101">
        <f>((2 + 'BRAWLERS OFICIAL'!AS6)-'BRAWLERS OFICIAL'!AS6)/($BN6)</f>
        <v>2</v>
      </c>
      <c r="AT6" s="101">
        <f>(((0)/4 + 'BRAWLERS OFICIAL'!AT6)-'BRAWLERS OFICIAL'!AT6)</f>
        <v>0</v>
      </c>
      <c r="AU6" s="101">
        <v>0</v>
      </c>
      <c r="AV6" s="100">
        <f>((( 0 )/3 + 'BRAWLERS OFICIAL'!AV6)-'BRAWLERS OFICIAL'!AV6)</f>
        <v>0</v>
      </c>
      <c r="AW6" s="100">
        <f>((( 0 )/2 + 'BRAWLERS OFICIAL'!AW6)-'BRAWLERS OFICIAL'!AW6)/($BN6)</f>
        <v>0</v>
      </c>
      <c r="AX6" s="100">
        <f>((( 0 )/2 + 'BRAWLERS OFICIAL'!AX6)-'BRAWLERS OFICIAL'!AX6)</f>
        <v>0</v>
      </c>
      <c r="AY6" s="100">
        <f>((( 0 )/3 + 'BRAWLERS OFICIAL'!AY6)-'BRAWLERS OFICIAL'!AY6)</f>
        <v>0</v>
      </c>
      <c r="AZ6" s="100">
        <f>((( 0 )/2 + 'BRAWLERS OFICIAL'!AZ6)-'BRAWLERS OFICIAL'!AZ6)/($BN6)</f>
        <v>0</v>
      </c>
      <c r="BA6" s="100">
        <f>((( 0 )/3 + 'BRAWLERS OFICIAL'!BA6)-'BRAWLERS OFICIAL'!BA6)</f>
        <v>0</v>
      </c>
      <c r="BB6" s="100">
        <f>((( 0 )/3 + 'BRAWLERS OFICIAL'!BB6)-'BRAWLERS OFICIAL'!BB6)</f>
        <v>0</v>
      </c>
      <c r="BC6" s="100">
        <f>((0 + 'BRAWLERS OFICIAL'!BC6)-'BRAWLERS OFICIAL'!BC6)/($BN6)</f>
        <v>0</v>
      </c>
      <c r="BD6" s="100">
        <f>((0 + 'BRAWLERS OFICIAL'!BD6)-'BRAWLERS OFICIAL'!BD6)/($BN6)</f>
        <v>0</v>
      </c>
      <c r="BE6" s="100">
        <f>((( 0 )/2 + 'BRAWLERS OFICIAL'!BE6)-'BRAWLERS OFICIAL'!BE6)</f>
        <v>0</v>
      </c>
      <c r="BF6" s="100">
        <f>((0 + 'BRAWLERS OFICIAL'!BF6)-'BRAWLERS OFICIAL'!BF6)/($BN6)</f>
        <v>0</v>
      </c>
      <c r="BG6" s="100">
        <f>((( 0 )/2 + 'BRAWLERS OFICIAL'!BG6)-'BRAWLERS OFICIAL'!BG6)</f>
        <v>0</v>
      </c>
      <c r="BH6" s="100">
        <f>((( 0 )/3 + 'BRAWLERS OFICIAL'!BH6)-'BRAWLERS OFICIAL'!BH6)</f>
        <v>0</v>
      </c>
      <c r="BI6" s="100">
        <f>((( 0 )/2 + 'BRAWLERS OFICIAL'!BI6)-'BRAWLERS OFICIAL'!BI6)</f>
        <v>0</v>
      </c>
      <c r="BJ6" s="100">
        <f>((0 + 'BRAWLERS OFICIAL'!BJ6)-'BRAWLERS OFICIAL'!BJ6)/($BN6)</f>
        <v>0</v>
      </c>
      <c r="BK6" s="100">
        <f>((0 + 'BRAWLERS OFICIAL'!BK6)-'BRAWLERS OFICIAL'!BK6)/($BN6)</f>
        <v>0</v>
      </c>
      <c r="BL6" s="100">
        <f>((0 + 'BRAWLERS OFICIAL'!BL6)-'BRAWLERS OFICIAL'!BL6)/($BN6)</f>
        <v>0</v>
      </c>
      <c r="BN6" s="100">
        <v>1</v>
      </c>
    </row>
    <row r="7" spans="1:66">
      <c r="B7" s="97" t="s">
        <v>459</v>
      </c>
      <c r="C7" s="70" t="s">
        <v>62</v>
      </c>
      <c r="D7" s="100">
        <f>(0 + 'BRAWLERS OFICIAL'!D7)-'BRAWLERS OFICIAL'!D7</f>
        <v>0</v>
      </c>
      <c r="E7" s="100">
        <f>(0 + 'BRAWLERS OFICIAL'!E7)-'BRAWLERS OFICIAL'!E7</f>
        <v>0</v>
      </c>
      <c r="F7" s="100">
        <f>(0 + 'BRAWLERS OFICIAL'!F7)-'BRAWLERS OFICIAL'!F7</f>
        <v>0</v>
      </c>
      <c r="G7" s="100">
        <f>(0 + 'BRAWLERS OFICIAL'!G7)-'BRAWLERS OFICIAL'!G7</f>
        <v>0</v>
      </c>
      <c r="H7" s="100">
        <f>(0 + 'BRAWLERS OFICIAL'!H7)-'BRAWLERS OFICIAL'!H7</f>
        <v>0</v>
      </c>
      <c r="I7" s="100">
        <f>(0 + 'BRAWLERS OFICIAL'!I7)-'BRAWLERS OFICIAL'!I7</f>
        <v>0</v>
      </c>
      <c r="J7" s="100">
        <f>(0 + 'BRAWLERS OFICIAL'!J7)-'BRAWLERS OFICIAL'!J7</f>
        <v>0</v>
      </c>
      <c r="K7" s="100">
        <f>(0 + 'BRAWLERS OFICIAL'!K7)-'BRAWLERS OFICIAL'!K7</f>
        <v>0</v>
      </c>
      <c r="L7" s="100">
        <f>(0 + 'BRAWLERS OFICIAL'!L7)-'BRAWLERS OFICIAL'!L7</f>
        <v>0</v>
      </c>
      <c r="M7" s="100">
        <f>(0 + 'BRAWLERS OFICIAL'!M7)-'BRAWLERS OFICIAL'!M7</f>
        <v>0</v>
      </c>
      <c r="N7" s="100">
        <f>(0 + 'BRAWLERS OFICIAL'!N7)-'BRAWLERS OFICIAL'!N7</f>
        <v>0</v>
      </c>
      <c r="O7" s="100">
        <f>(0 + 'BRAWLERS OFICIAL'!O7)-'BRAWLERS OFICIAL'!O7</f>
        <v>0</v>
      </c>
      <c r="P7" s="100">
        <f>(0 + 'BRAWLERS OFICIAL'!P7)-'BRAWLERS OFICIAL'!P7</f>
        <v>0</v>
      </c>
      <c r="Q7" s="100">
        <f>(0 + 'BRAWLERS OFICIAL'!Q7)-'BRAWLERS OFICIAL'!Q7</f>
        <v>0</v>
      </c>
      <c r="R7" s="100">
        <f>(0 + 'BRAWLERS OFICIAL'!R7)-'BRAWLERS OFICIAL'!R7</f>
        <v>0</v>
      </c>
      <c r="S7" s="100">
        <f>(0 + 'BRAWLERS OFICIAL'!S7)-'BRAWLERS OFICIAL'!S7</f>
        <v>0</v>
      </c>
      <c r="T7" s="100">
        <f>(0 + 'BRAWLERS OFICIAL'!T7)-'BRAWLERS OFICIAL'!T7</f>
        <v>0</v>
      </c>
      <c r="U7" s="100">
        <f>(0 + 'BRAWLERS OFICIAL'!U7)-'BRAWLERS OFICIAL'!U7</f>
        <v>0</v>
      </c>
      <c r="V7" s="103">
        <f>(( 0 + 'BRAWLERS OFICIAL'!V7 + AN7 + (6 + 10 + 3)/3/3.5 )-'BRAWLERS OFICIAL'!V7)/($BN7)</f>
        <v>1.2867724867724866</v>
      </c>
      <c r="W7" s="101">
        <f>((0 + 'BRAWLERS OFICIAL'!W7)-'BRAWLERS OFICIAL'!W7)/($BN7)</f>
        <v>0</v>
      </c>
      <c r="X7" s="101">
        <f>(((5 + 9 + 5)/3)-'BRAWLERS OFICIAL'!X7)</f>
        <v>0.33333333333333304</v>
      </c>
      <c r="Y7" s="101">
        <f>((0 + 'BRAWLERS OFICIAL'!Y7)-'BRAWLERS OFICIAL'!Y7)/($BN7)</f>
        <v>0</v>
      </c>
      <c r="Z7" s="101">
        <f>((0 + 'BRAWLERS OFICIAL'!Z7)-'BRAWLERS OFICIAL'!Z7)</f>
        <v>0</v>
      </c>
      <c r="AA7" s="101">
        <f>(((0)/4 + 'BRAWLERS OFICIAL'!AA7)-'BRAWLERS OFICIAL'!AA7)/($BN7)</f>
        <v>0</v>
      </c>
      <c r="AB7" s="101">
        <f>((0 + 'BRAWLERS OFICIAL'!AB7)-'BRAWLERS OFICIAL'!AB7)/($BN7)</f>
        <v>0</v>
      </c>
      <c r="AC7" s="101">
        <f>((0 + 'BRAWLERS OFICIAL'!AC7)-'BRAWLERS OFICIAL'!AC7)/($BN7)</f>
        <v>0</v>
      </c>
      <c r="AD7" s="101">
        <f>((0 + 'BRAWLERS OFICIAL'!AD7)-'BRAWLERS OFICIAL'!AD7)/($BN7)</f>
        <v>0</v>
      </c>
      <c r="AE7" s="101">
        <f>((0 + 'BRAWLERS OFICIAL'!AE7)-'BRAWLERS OFICIAL'!AE7)</f>
        <v>0</v>
      </c>
      <c r="AF7" s="101">
        <f>((0 + 'BRAWLERS OFICIAL'!AF7)-'BRAWLERS OFICIAL'!AF7)</f>
        <v>0</v>
      </c>
      <c r="AG7" s="101">
        <f>((0 + 'BRAWLERS OFICIAL'!AG7)-'BRAWLERS OFICIAL'!AG7)</f>
        <v>0</v>
      </c>
      <c r="AH7" s="101">
        <f>((0 + 'BRAWLERS OFICIAL'!AH7)-'BRAWLERS OFICIAL'!AH7)/($BN7)</f>
        <v>0</v>
      </c>
      <c r="AI7" s="101">
        <f>((0.5 + 'BRAWLERS OFICIAL'!AI7)-'BRAWLERS OFICIAL'!AI7)/($BN7)</f>
        <v>0.35555555555555557</v>
      </c>
      <c r="AJ7" s="101">
        <f>(((BH7/5+1)*AI7 + 'BRAWLERS OFICIAL'!AJ7)-'BRAWLERS OFICIAL'!AJ7)/($BN7)</f>
        <v>0.25283950617283923</v>
      </c>
      <c r="AK7" s="101">
        <f>IF( 0 = (1-1), (1-1), ((0 + 'BRAWLERS OFICIAL'!AK7)/1.5)-'BRAWLERS OFICIAL'!AK7 )</f>
        <v>0</v>
      </c>
      <c r="AL7" s="101">
        <f t="shared" si="0"/>
        <v>0</v>
      </c>
      <c r="AM7" s="101">
        <f>((0 + 'BRAWLERS OFICIAL'!AM7)-'BRAWLERS OFICIAL'!AM7)/($BN7)</f>
        <v>0</v>
      </c>
      <c r="AN7" s="101">
        <f>((0/1000 + 'BRAWLERS OFICIAL'!AN7)-'BRAWLERS OFICIAL'!AN7)</f>
        <v>0</v>
      </c>
      <c r="AO7" s="101">
        <f>((0 + 'BRAWLERS OFICIAL'!AO7)-'BRAWLERS OFICIAL'!AO7)</f>
        <v>0</v>
      </c>
      <c r="AP7" s="101">
        <f>IF( 0 = (1-1), (1-1), ((0 + 'BRAWLERS OFICIAL'!AP7)/1.5) )</f>
        <v>0</v>
      </c>
      <c r="AQ7" s="101">
        <f>IF( 0 = (1-1), (1-1), ((0 + 'BRAWLERS OFICIAL'!AQ7)/1.5) )</f>
        <v>0</v>
      </c>
      <c r="AR7" s="101">
        <f>IF( 0 = (1-1), (1-1), ((0 + 'BRAWLERS OFICIAL'!AR7)/2) )</f>
        <v>0</v>
      </c>
      <c r="AS7" s="101">
        <f>((0 + 'BRAWLERS OFICIAL'!AS7)-'BRAWLERS OFICIAL'!AS7)/($BN7)</f>
        <v>0</v>
      </c>
      <c r="AT7" s="101">
        <f>(((0)/4 + 'BRAWLERS OFICIAL'!AT7)-'BRAWLERS OFICIAL'!AT7)</f>
        <v>0</v>
      </c>
      <c r="AU7" s="101">
        <v>0</v>
      </c>
      <c r="AV7" s="100">
        <f>((( 0 )/3 + 'BRAWLERS OFICIAL'!AV7)-'BRAWLERS OFICIAL'!AV7)</f>
        <v>0</v>
      </c>
      <c r="AW7" s="100">
        <f>((( 0 )/2 + 'BRAWLERS OFICIAL'!AW7)-'BRAWLERS OFICIAL'!AW7)/($BN7)</f>
        <v>0</v>
      </c>
      <c r="AX7" s="100">
        <f>((( 0 )/2 + 'BRAWLERS OFICIAL'!AX7)-'BRAWLERS OFICIAL'!AX7)</f>
        <v>0</v>
      </c>
      <c r="AY7" s="100">
        <f>((( 0 )/3 + 'BRAWLERS OFICIAL'!AY7)-'BRAWLERS OFICIAL'!AY7)</f>
        <v>0</v>
      </c>
      <c r="AZ7" s="100">
        <f>((( 0 )/2 + 'BRAWLERS OFICIAL'!AZ7)-'BRAWLERS OFICIAL'!AZ7)/($BN7)</f>
        <v>0</v>
      </c>
      <c r="BA7" s="100">
        <f>((( 0 )/3 + 'BRAWLERS OFICIAL'!BA7)-'BRAWLERS OFICIAL'!BA7)</f>
        <v>0</v>
      </c>
      <c r="BB7" s="100">
        <f>((( 0 )/3 + 'BRAWLERS OFICIAL'!BB7)-'BRAWLERS OFICIAL'!BB7)</f>
        <v>0</v>
      </c>
      <c r="BC7" s="100">
        <f>((0 + 'BRAWLERS OFICIAL'!BC7)-'BRAWLERS OFICIAL'!BC7)/($BN7)</f>
        <v>0</v>
      </c>
      <c r="BD7" s="100">
        <f>((0 + 'BRAWLERS OFICIAL'!BD7)-'BRAWLERS OFICIAL'!BD7)/($BN7)</f>
        <v>0</v>
      </c>
      <c r="BE7" s="100">
        <f>((( 0 )/2 + 'BRAWLERS OFICIAL'!BE7)-'BRAWLERS OFICIAL'!BE7)</f>
        <v>0</v>
      </c>
      <c r="BF7" s="100">
        <f>((0 + 'BRAWLERS OFICIAL'!BF7)-'BRAWLERS OFICIAL'!BF7)/($BN7)</f>
        <v>0</v>
      </c>
      <c r="BG7" s="100">
        <f>((( 0 )/2 + 'BRAWLERS OFICIAL'!BG7)-'BRAWLERS OFICIAL'!BG7)</f>
        <v>0</v>
      </c>
      <c r="BH7" s="100">
        <f>((( 0 )/3 + 'BRAWLERS OFICIAL'!BH7)-'BRAWLERS OFICIAL'!BH7)</f>
        <v>0</v>
      </c>
      <c r="BI7" s="100">
        <f>((( 0 )/2 + 'BRAWLERS OFICIAL'!BI7)-'BRAWLERS OFICIAL'!BI7)</f>
        <v>0</v>
      </c>
      <c r="BJ7" s="100">
        <f>((0 + 'BRAWLERS OFICIAL'!BJ7)-'BRAWLERS OFICIAL'!BJ7)/($BN7)</f>
        <v>0</v>
      </c>
      <c r="BK7" s="100">
        <f>((0 + 'BRAWLERS OFICIAL'!BK7)-'BRAWLERS OFICIAL'!BK7)/($BN7)</f>
        <v>0</v>
      </c>
      <c r="BL7" s="100">
        <f>((0 + 'BRAWLERS OFICIAL'!BL7)-'BRAWLERS OFICIAL'!BL7)/($BN7)</f>
        <v>0</v>
      </c>
      <c r="BN7" s="100">
        <f>('BRAWLERS OFICIAL'!D7 / 'BRAWLERS OFICIAL'!H7 / (1 + ('BRAWLERS OFICIAL'!Y7/5)))</f>
        <v>1.40625</v>
      </c>
    </row>
    <row r="8" spans="1:66">
      <c r="B8" s="97" t="s">
        <v>460</v>
      </c>
      <c r="C8" s="70" t="s">
        <v>44</v>
      </c>
      <c r="D8" s="100">
        <f>(0 + 'BRAWLERS OFICIAL'!D8)-'BRAWLERS OFICIAL'!D8</f>
        <v>0</v>
      </c>
      <c r="E8" s="100">
        <f>(0 + 'BRAWLERS OFICIAL'!E8)-'BRAWLERS OFICIAL'!E8</f>
        <v>0</v>
      </c>
      <c r="F8" s="100">
        <f>(0 + 'BRAWLERS OFICIAL'!F8)-'BRAWLERS OFICIAL'!F8</f>
        <v>0</v>
      </c>
      <c r="G8" s="100">
        <f>(0 + 'BRAWLERS OFICIAL'!G8)-'BRAWLERS OFICIAL'!G8</f>
        <v>0</v>
      </c>
      <c r="H8" s="100">
        <f>(0 + 'BRAWLERS OFICIAL'!H8)-'BRAWLERS OFICIAL'!H8</f>
        <v>0</v>
      </c>
      <c r="I8" s="100">
        <f>(0 + 'BRAWLERS OFICIAL'!I8)-'BRAWLERS OFICIAL'!I8</f>
        <v>0</v>
      </c>
      <c r="J8" s="100">
        <f>(0 + 'BRAWLERS OFICIAL'!J8)-'BRAWLERS OFICIAL'!J8</f>
        <v>0</v>
      </c>
      <c r="K8" s="100">
        <f>(0 + 'BRAWLERS OFICIAL'!K8)-'BRAWLERS OFICIAL'!K8</f>
        <v>0</v>
      </c>
      <c r="L8" s="100">
        <f>(0 + 'BRAWLERS OFICIAL'!L8)-'BRAWLERS OFICIAL'!L8</f>
        <v>0</v>
      </c>
      <c r="M8" s="100">
        <f>(0 + 'BRAWLERS OFICIAL'!M8)-'BRAWLERS OFICIAL'!M8</f>
        <v>0</v>
      </c>
      <c r="N8" s="100">
        <f>(0 + 'BRAWLERS OFICIAL'!N8)-'BRAWLERS OFICIAL'!N8</f>
        <v>0</v>
      </c>
      <c r="O8" s="100">
        <f>(0 + 'BRAWLERS OFICIAL'!O8)-'BRAWLERS OFICIAL'!O8</f>
        <v>0</v>
      </c>
      <c r="P8" s="100">
        <f>(0 + 'BRAWLERS OFICIAL'!P8)-'BRAWLERS OFICIAL'!P8</f>
        <v>0</v>
      </c>
      <c r="Q8" s="100">
        <f>(0 + 'BRAWLERS OFICIAL'!Q8)-'BRAWLERS OFICIAL'!Q8</f>
        <v>0</v>
      </c>
      <c r="R8" s="100">
        <f>(0 + 'BRAWLERS OFICIAL'!R8)-'BRAWLERS OFICIAL'!R8</f>
        <v>0</v>
      </c>
      <c r="S8" s="100">
        <f>(0 + 'BRAWLERS OFICIAL'!S8)-'BRAWLERS OFICIAL'!S8</f>
        <v>0</v>
      </c>
      <c r="T8" s="100">
        <f>(0 + 'BRAWLERS OFICIAL'!T8)-'BRAWLERS OFICIAL'!T8</f>
        <v>0</v>
      </c>
      <c r="U8" s="100">
        <f>(0 + 'BRAWLERS OFICIAL'!U8)-'BRAWLERS OFICIAL'!U8</f>
        <v>0</v>
      </c>
      <c r="V8" s="103">
        <f>(( 0 + 'BRAWLERS OFICIAL'!V8 + AN8 + AV8/3.5 )-'BRAWLERS OFICIAL'!V8)/($BN8)</f>
        <v>0</v>
      </c>
      <c r="W8" s="101">
        <f>((0 + 'BRAWLERS OFICIAL'!W8)-'BRAWLERS OFICIAL'!W8)/($BN8)</f>
        <v>0</v>
      </c>
      <c r="X8" s="101">
        <f>(((0)/3 + 'BRAWLERS OFICIAL'!X8)-'BRAWLERS OFICIAL'!X8)</f>
        <v>0</v>
      </c>
      <c r="Y8" s="101">
        <f>((0 + 'BRAWLERS OFICIAL'!Y8)-'BRAWLERS OFICIAL'!Y8)/($BN8)</f>
        <v>0</v>
      </c>
      <c r="Z8" s="101">
        <f>((0 + 'BRAWLERS OFICIAL'!Z8)-'BRAWLERS OFICIAL'!Z8)</f>
        <v>0</v>
      </c>
      <c r="AA8" s="101">
        <f>(((0)/4 + 'BRAWLERS OFICIAL'!AA8)-'BRAWLERS OFICIAL'!AA8)/($BN8)</f>
        <v>0</v>
      </c>
      <c r="AB8" s="101">
        <f>((0 + 'BRAWLERS OFICIAL'!AB8)-'BRAWLERS OFICIAL'!AB8)/($BN8)</f>
        <v>0</v>
      </c>
      <c r="AC8" s="101">
        <f>((0 + 'BRAWLERS OFICIAL'!AC8)-'BRAWLERS OFICIAL'!AC8)/($BN8)</f>
        <v>0</v>
      </c>
      <c r="AD8" s="101">
        <f>((0 + 'BRAWLERS OFICIAL'!AD8)-'BRAWLERS OFICIAL'!AD8)/($BN8)</f>
        <v>0</v>
      </c>
      <c r="AE8" s="101">
        <f>((0 + 'BRAWLERS OFICIAL'!AE8)-'BRAWLERS OFICIAL'!AE8)</f>
        <v>0</v>
      </c>
      <c r="AF8" s="101">
        <f>((0 + 'BRAWLERS OFICIAL'!AF8)-'BRAWLERS OFICIAL'!AF8)</f>
        <v>0</v>
      </c>
      <c r="AG8" s="101">
        <f>((0 + 'BRAWLERS OFICIAL'!AG8)-'BRAWLERS OFICIAL'!AG8)</f>
        <v>0</v>
      </c>
      <c r="AH8" s="101">
        <f>((0 + 'BRAWLERS OFICIAL'!AH8)-'BRAWLERS OFICIAL'!AH8)/($BN8)</f>
        <v>0</v>
      </c>
      <c r="AI8" s="101">
        <f>((0 + 'BRAWLERS OFICIAL'!AI8)-'BRAWLERS OFICIAL'!AI8)/($BN8)</f>
        <v>0</v>
      </c>
      <c r="AJ8" s="101">
        <f>(((BH8/5+1)*AI8 + 'BRAWLERS OFICIAL'!AJ8)-'BRAWLERS OFICIAL'!AJ8)/($BN8)</f>
        <v>0</v>
      </c>
      <c r="AK8" s="101">
        <f>IF( 0 = (1-1), (1-1), ((0 + 'BRAWLERS OFICIAL'!AK8)/1.5)-'BRAWLERS OFICIAL'!AK8 )</f>
        <v>0</v>
      </c>
      <c r="AL8" s="101">
        <f t="shared" si="0"/>
        <v>0</v>
      </c>
      <c r="AM8" s="101">
        <f>((0 + 'BRAWLERS OFICIAL'!AM8)-'BRAWLERS OFICIAL'!AM8)/($BN8)</f>
        <v>0</v>
      </c>
      <c r="AN8" s="101">
        <f>((0/1000 + 'BRAWLERS OFICIAL'!AN8)-'BRAWLERS OFICIAL'!AN8)</f>
        <v>0</v>
      </c>
      <c r="AO8" s="101">
        <f>((0 + 'BRAWLERS OFICIAL'!AO8)-'BRAWLERS OFICIAL'!AO8)</f>
        <v>0</v>
      </c>
      <c r="AP8" s="101">
        <f>IF( 0 = (1-1), (1-1), ((0 + 'BRAWLERS OFICIAL'!AP8)/1.5) )</f>
        <v>0</v>
      </c>
      <c r="AQ8" s="101">
        <f>IF( 0 = (1-1), (1-1), ((0 + 'BRAWLERS OFICIAL'!AQ8)/1.5) )</f>
        <v>0</v>
      </c>
      <c r="AR8" s="101">
        <f>IF( 0 = (1-1), (1-1), ((0 + 'BRAWLERS OFICIAL'!AR8)/2) )</f>
        <v>0</v>
      </c>
      <c r="AS8" s="101">
        <f>((0 + 'BRAWLERS OFICIAL'!AS8)-'BRAWLERS OFICIAL'!AS8)/($BN8)</f>
        <v>0</v>
      </c>
      <c r="AT8" s="101">
        <f>(((0)/4 + 'BRAWLERS OFICIAL'!AT8)-'BRAWLERS OFICIAL'!AT8)</f>
        <v>0</v>
      </c>
      <c r="AU8" s="101">
        <v>0</v>
      </c>
      <c r="AV8" s="100">
        <f>((( 0 )/3 + 'BRAWLERS OFICIAL'!AV8)-'BRAWLERS OFICIAL'!AV8)</f>
        <v>0</v>
      </c>
      <c r="AW8" s="100">
        <f>((( 0 )/2 + 'BRAWLERS OFICIAL'!AW8)-'BRAWLERS OFICIAL'!AW8)/($BN8)</f>
        <v>0</v>
      </c>
      <c r="AX8" s="100">
        <f>((( 0 )/2 + 'BRAWLERS OFICIAL'!AX8)-'BRAWLERS OFICIAL'!AX8)</f>
        <v>0</v>
      </c>
      <c r="AY8" s="100">
        <f>((( 0 )/3 + 'BRAWLERS OFICIAL'!AY8)-'BRAWLERS OFICIAL'!AY8)</f>
        <v>0</v>
      </c>
      <c r="AZ8" s="100">
        <f>((( 0 )/2 + 'BRAWLERS OFICIAL'!AZ8)-'BRAWLERS OFICIAL'!AZ8)/($BN8)</f>
        <v>0</v>
      </c>
      <c r="BA8" s="100">
        <f>((( 0 )/3 + 'BRAWLERS OFICIAL'!BA8)-'BRAWLERS OFICIAL'!BA8)</f>
        <v>0</v>
      </c>
      <c r="BB8" s="100">
        <f>((( 0 )/3 + 'BRAWLERS OFICIAL'!BB8)-'BRAWLERS OFICIAL'!BB8)</f>
        <v>0</v>
      </c>
      <c r="BC8" s="100">
        <f>((0 + 'BRAWLERS OFICIAL'!BC8)-'BRAWLERS OFICIAL'!BC8)/($BN8)</f>
        <v>0</v>
      </c>
      <c r="BD8" s="100">
        <f>((0 + 'BRAWLERS OFICIAL'!BD8)-'BRAWLERS OFICIAL'!BD8)/($BN8)</f>
        <v>0</v>
      </c>
      <c r="BE8" s="100">
        <f>((( 0 )/2 + 'BRAWLERS OFICIAL'!BE8)-'BRAWLERS OFICIAL'!BE8)</f>
        <v>0</v>
      </c>
      <c r="BF8" s="100">
        <f>((0 + 'BRAWLERS OFICIAL'!BF8)-'BRAWLERS OFICIAL'!BF8)/($BN8)</f>
        <v>0</v>
      </c>
      <c r="BG8" s="100">
        <f>((( 0 )/2 + 'BRAWLERS OFICIAL'!BG8)-'BRAWLERS OFICIAL'!BG8)</f>
        <v>0</v>
      </c>
      <c r="BH8" s="100">
        <f>((( 10 + 5 + 1 )/3)-'BRAWLERS OFICIAL'!BH8)</f>
        <v>5.333333333333333</v>
      </c>
      <c r="BI8" s="100">
        <f>((( 0 )/2 + 'BRAWLERS OFICIAL'!BI8)-'BRAWLERS OFICIAL'!BI8)</f>
        <v>0</v>
      </c>
      <c r="BJ8" s="100">
        <f>((0 + 'BRAWLERS OFICIAL'!BJ8)-'BRAWLERS OFICIAL'!BJ8)/($BN8)</f>
        <v>0</v>
      </c>
      <c r="BK8" s="100">
        <f>((0 + 'BRAWLERS OFICIAL'!BK8)-'BRAWLERS OFICIAL'!BK8)/($BN8)</f>
        <v>0</v>
      </c>
      <c r="BL8" s="100">
        <f>((0 + 'BRAWLERS OFICIAL'!BL8)-'BRAWLERS OFICIAL'!BL8)/($BN8)</f>
        <v>0</v>
      </c>
      <c r="BN8" s="100">
        <f>('BRAWLERS OFICIAL'!D8 / 'BRAWLERS OFICIAL'!H8 / (1 + ('BRAWLERS OFICIAL'!Y8/5)))</f>
        <v>1.875</v>
      </c>
    </row>
    <row r="9" spans="1:66">
      <c r="B9" s="97" t="s">
        <v>461</v>
      </c>
      <c r="C9" s="98" t="s">
        <v>95</v>
      </c>
      <c r="D9" s="100">
        <f>(0 + 'BRAWLERS OFICIAL'!D9)-'BRAWLERS OFICIAL'!D9</f>
        <v>0</v>
      </c>
      <c r="E9" s="100">
        <f>(0 + 'BRAWLERS OFICIAL'!E9)-'BRAWLERS OFICIAL'!E9</f>
        <v>0</v>
      </c>
      <c r="F9" s="100">
        <f>(0 + 'BRAWLERS OFICIAL'!F9)-'BRAWLERS OFICIAL'!F9</f>
        <v>0</v>
      </c>
      <c r="G9" s="100">
        <f>(0 + 'BRAWLERS OFICIAL'!G9)-'BRAWLERS OFICIAL'!G9</f>
        <v>0</v>
      </c>
      <c r="H9" s="100">
        <f>(0 + 'BRAWLERS OFICIAL'!H9)-'BRAWLERS OFICIAL'!H9</f>
        <v>0</v>
      </c>
      <c r="I9" s="100">
        <f>(0 + 'BRAWLERS OFICIAL'!I9)-'BRAWLERS OFICIAL'!I9</f>
        <v>0</v>
      </c>
      <c r="J9" s="100">
        <f>(0 + 'BRAWLERS OFICIAL'!J9)-'BRAWLERS OFICIAL'!J9</f>
        <v>0</v>
      </c>
      <c r="K9" s="100">
        <f>(0 + 'BRAWLERS OFICIAL'!K9)-'BRAWLERS OFICIAL'!K9</f>
        <v>0</v>
      </c>
      <c r="L9" s="100">
        <f>(0 + 'BRAWLERS OFICIAL'!L9)-'BRAWLERS OFICIAL'!L9</f>
        <v>0</v>
      </c>
      <c r="M9" s="100">
        <f>(0 + 'BRAWLERS OFICIAL'!M9)-'BRAWLERS OFICIAL'!M9</f>
        <v>0</v>
      </c>
      <c r="N9" s="100">
        <f>(0 + 'BRAWLERS OFICIAL'!N9)-'BRAWLERS OFICIAL'!N9</f>
        <v>0</v>
      </c>
      <c r="O9" s="100">
        <f>(0 + 'BRAWLERS OFICIAL'!O9)-'BRAWLERS OFICIAL'!O9</f>
        <v>0</v>
      </c>
      <c r="P9" s="100">
        <f>(0 + 'BRAWLERS OFICIAL'!P9)-'BRAWLERS OFICIAL'!P9</f>
        <v>0</v>
      </c>
      <c r="Q9" s="100">
        <f>(0 + 'BRAWLERS OFICIAL'!Q9)-'BRAWLERS OFICIAL'!Q9</f>
        <v>0</v>
      </c>
      <c r="R9" s="100">
        <f>(0 + 'BRAWLERS OFICIAL'!R9)-'BRAWLERS OFICIAL'!R9</f>
        <v>0</v>
      </c>
      <c r="S9" s="100">
        <f>(0 + 'BRAWLERS OFICIAL'!S9)-'BRAWLERS OFICIAL'!S9</f>
        <v>0</v>
      </c>
      <c r="T9" s="100">
        <f>(0 + 'BRAWLERS OFICIAL'!T9)-'BRAWLERS OFICIAL'!T9</f>
        <v>0</v>
      </c>
      <c r="U9" s="100">
        <f>(0 + 'BRAWLERS OFICIAL'!U9)-'BRAWLERS OFICIAL'!U9</f>
        <v>0</v>
      </c>
      <c r="V9" s="103">
        <f>(( 0 + 'BRAWLERS OFICIAL'!V9 + AN9 + ( 10 + 5 + 9 )/3/3.5 )-'BRAWLERS OFICIAL'!V9)/($BN9)</f>
        <v>0.76190476190476186</v>
      </c>
      <c r="W9" s="101">
        <f>((0 + 'BRAWLERS OFICIAL'!W9)-'BRAWLERS OFICIAL'!W9)/($BN9)</f>
        <v>0</v>
      </c>
      <c r="X9" s="101">
        <f>(((0)/3 + 'BRAWLERS OFICIAL'!X9)-'BRAWLERS OFICIAL'!X9)</f>
        <v>0</v>
      </c>
      <c r="Y9" s="101">
        <f>((0 + 'BRAWLERS OFICIAL'!Y9)-'BRAWLERS OFICIAL'!Y9)/($BN9)</f>
        <v>0</v>
      </c>
      <c r="Z9" s="101">
        <f>((0 + 'BRAWLERS OFICIAL'!Z9)-'BRAWLERS OFICIAL'!Z9)</f>
        <v>0</v>
      </c>
      <c r="AA9" s="101">
        <f>(((0)/4 + 'BRAWLERS OFICIAL'!AA9)-'BRAWLERS OFICIAL'!AA9)/($BN9)</f>
        <v>0</v>
      </c>
      <c r="AB9" s="101">
        <f>((0 + 'BRAWLERS OFICIAL'!AB9)-'BRAWLERS OFICIAL'!AB9)/($BN9)</f>
        <v>0</v>
      </c>
      <c r="AC9" s="101">
        <f>((0 + 'BRAWLERS OFICIAL'!AC9)-'BRAWLERS OFICIAL'!AC9)/($BN9)</f>
        <v>0</v>
      </c>
      <c r="AD9" s="101">
        <f>((0 + 'BRAWLERS OFICIAL'!AD9)-'BRAWLERS OFICIAL'!AD9)/($BN9)</f>
        <v>0</v>
      </c>
      <c r="AE9" s="101">
        <f>((0 + 'BRAWLERS OFICIAL'!AE9)-'BRAWLERS OFICIAL'!AE9)</f>
        <v>0</v>
      </c>
      <c r="AF9" s="101">
        <f>((0 + 'BRAWLERS OFICIAL'!AF9)-'BRAWLERS OFICIAL'!AF9)</f>
        <v>0</v>
      </c>
      <c r="AG9" s="101">
        <f>((0 + 'BRAWLERS OFICIAL'!AG9)-'BRAWLERS OFICIAL'!AG9)</f>
        <v>0</v>
      </c>
      <c r="AH9" s="101">
        <f>((2 + 'BRAWLERS OFICIAL'!AH9)-'BRAWLERS OFICIAL'!AH9)/($BN9)</f>
        <v>0.66666666666666663</v>
      </c>
      <c r="AI9" s="101">
        <f>((0 + 'BRAWLERS OFICIAL'!AI9)-'BRAWLERS OFICIAL'!AI9)/($BN9)</f>
        <v>0</v>
      </c>
      <c r="AJ9" s="101">
        <f>(((BH9/5+1)*AI9 + 'BRAWLERS OFICIAL'!AJ9)-'BRAWLERS OFICIAL'!AJ9)/($BN9)</f>
        <v>0</v>
      </c>
      <c r="AK9" s="101">
        <f>IF( 0 = (1-1), (1-1), ((0 + 'BRAWLERS OFICIAL'!AK9)/1.5)-'BRAWLERS OFICIAL'!AK9 )</f>
        <v>0</v>
      </c>
      <c r="AL9" s="101">
        <f t="shared" si="0"/>
        <v>0</v>
      </c>
      <c r="AM9" s="101">
        <f>((0 + 'BRAWLERS OFICIAL'!AM9)-'BRAWLERS OFICIAL'!AM9)/($BN9)</f>
        <v>0</v>
      </c>
      <c r="AN9" s="101">
        <f>((0/1000 + 'BRAWLERS OFICIAL'!AN9)-'BRAWLERS OFICIAL'!AN9)</f>
        <v>0</v>
      </c>
      <c r="AO9" s="101">
        <f>((0 + 'BRAWLERS OFICIAL'!AO9)-'BRAWLERS OFICIAL'!AO9)</f>
        <v>0</v>
      </c>
      <c r="AP9" s="101">
        <f>IF( 0 = (1-1), (1-1), ((0 + 'BRAWLERS OFICIAL'!AP9)/1.5) )</f>
        <v>0</v>
      </c>
      <c r="AQ9" s="101">
        <f>IF( 0 = (1-1), (1-1), ((0 + 'BRAWLERS OFICIAL'!AQ9)/1.5) )</f>
        <v>0</v>
      </c>
      <c r="AR9" s="101">
        <f>IF( 0 = (1-1), (1-1), ((0 + 'BRAWLERS OFICIAL'!AR9)/2) )</f>
        <v>0</v>
      </c>
      <c r="AS9" s="101">
        <f>((0 + 'BRAWLERS OFICIAL'!AS9)-'BRAWLERS OFICIAL'!AS9)/($BN9)</f>
        <v>0</v>
      </c>
      <c r="AT9" s="101">
        <f>(((0)/4 + 'BRAWLERS OFICIAL'!AT9)-'BRAWLERS OFICIAL'!AT9)</f>
        <v>0</v>
      </c>
      <c r="AU9" s="101">
        <v>0</v>
      </c>
      <c r="AV9" s="100">
        <f>((( 0 )/3 + 'BRAWLERS OFICIAL'!AV9)-'BRAWLERS OFICIAL'!AV9)</f>
        <v>0</v>
      </c>
      <c r="AW9" s="100">
        <f>((( 0 )/2 + 'BRAWLERS OFICIAL'!AW9)-'BRAWLERS OFICIAL'!AW9)/($BN9)</f>
        <v>0</v>
      </c>
      <c r="AX9" s="100">
        <f>((( 0 )/2 + 'BRAWLERS OFICIAL'!AX9)-'BRAWLERS OFICIAL'!AX9)</f>
        <v>0</v>
      </c>
      <c r="AY9" s="100">
        <f>((( 0 )/3 + 'BRAWLERS OFICIAL'!AY9)-'BRAWLERS OFICIAL'!AY9)</f>
        <v>0</v>
      </c>
      <c r="AZ9" s="100">
        <f>((( 0 )/2 + 'BRAWLERS OFICIAL'!AZ9)-'BRAWLERS OFICIAL'!AZ9)/($BN9)</f>
        <v>0</v>
      </c>
      <c r="BA9" s="100">
        <f>((( 0 )/3 + 'BRAWLERS OFICIAL'!BA9)-'BRAWLERS OFICIAL'!BA9)</f>
        <v>0</v>
      </c>
      <c r="BB9" s="100">
        <f>((( 0 )/3 + 'BRAWLERS OFICIAL'!BB9)-'BRAWLERS OFICIAL'!BB9)</f>
        <v>0</v>
      </c>
      <c r="BC9" s="100">
        <f>((0 + 'BRAWLERS OFICIAL'!BC9)-'BRAWLERS OFICIAL'!BC9)/($BN9)</f>
        <v>0</v>
      </c>
      <c r="BD9" s="100">
        <f>((0 + 'BRAWLERS OFICIAL'!BD9)-'BRAWLERS OFICIAL'!BD9)/($BN9)</f>
        <v>0</v>
      </c>
      <c r="BE9" s="100">
        <f>((( 0 )/2 + 'BRAWLERS OFICIAL'!BE9)-'BRAWLERS OFICIAL'!BE9)</f>
        <v>0</v>
      </c>
      <c r="BF9" s="100">
        <f>((0 + 'BRAWLERS OFICIAL'!BF9)-'BRAWLERS OFICIAL'!BF9)/($BN9)</f>
        <v>0</v>
      </c>
      <c r="BG9" s="100">
        <f>((( 0 )/2 + 'BRAWLERS OFICIAL'!BG9)-'BRAWLERS OFICIAL'!BG9)</f>
        <v>0</v>
      </c>
      <c r="BH9" s="100">
        <f>((( 0 )/3 + 'BRAWLERS OFICIAL'!BH9)-'BRAWLERS OFICIAL'!BH9)</f>
        <v>0</v>
      </c>
      <c r="BI9" s="100">
        <f>((( 0 )/2 + 'BRAWLERS OFICIAL'!BI9)-'BRAWLERS OFICIAL'!BI9)</f>
        <v>0</v>
      </c>
      <c r="BJ9" s="100">
        <f>((0 + 'BRAWLERS OFICIAL'!BJ9)-'BRAWLERS OFICIAL'!BJ9)/($BN9)</f>
        <v>0</v>
      </c>
      <c r="BK9" s="100">
        <f>((0 + 'BRAWLERS OFICIAL'!BK9)-'BRAWLERS OFICIAL'!BK9)/($BN9)</f>
        <v>0</v>
      </c>
      <c r="BL9" s="100">
        <f>((0 + 'BRAWLERS OFICIAL'!BL9)-'BRAWLERS OFICIAL'!BL9)/($BN9)</f>
        <v>0</v>
      </c>
      <c r="BN9" s="100">
        <f>15/5</f>
        <v>3</v>
      </c>
    </row>
    <row r="10" spans="1:66">
      <c r="B10" s="97" t="s">
        <v>462</v>
      </c>
      <c r="C10" s="98" t="s">
        <v>87</v>
      </c>
      <c r="D10" s="100">
        <f>(0 + 'BRAWLERS OFICIAL'!D10)-'BRAWLERS OFICIAL'!D10</f>
        <v>0</v>
      </c>
      <c r="E10" s="100">
        <f>(0 + 'BRAWLERS OFICIAL'!E10)-'BRAWLERS OFICIAL'!E10</f>
        <v>0</v>
      </c>
      <c r="F10" s="100">
        <f>(0 + 'BRAWLERS OFICIAL'!F10)-'BRAWLERS OFICIAL'!F10</f>
        <v>0</v>
      </c>
      <c r="G10" s="100">
        <f>(0 + 'BRAWLERS OFICIAL'!G10)-'BRAWLERS OFICIAL'!G10</f>
        <v>0</v>
      </c>
      <c r="H10" s="100">
        <f>(0 + 'BRAWLERS OFICIAL'!H10)-'BRAWLERS OFICIAL'!H10</f>
        <v>0</v>
      </c>
      <c r="I10" s="100">
        <f>(0 + 'BRAWLERS OFICIAL'!I10)-'BRAWLERS OFICIAL'!I10</f>
        <v>0</v>
      </c>
      <c r="J10" s="100">
        <f>(0 + 'BRAWLERS OFICIAL'!J10)-'BRAWLERS OFICIAL'!J10</f>
        <v>0</v>
      </c>
      <c r="K10" s="100">
        <f>(0 + 'BRAWLERS OFICIAL'!K10)-'BRAWLERS OFICIAL'!K10</f>
        <v>0</v>
      </c>
      <c r="L10" s="100">
        <f>(0 + 'BRAWLERS OFICIAL'!L10)-'BRAWLERS OFICIAL'!L10</f>
        <v>0</v>
      </c>
      <c r="M10" s="100">
        <f>(0 + 'BRAWLERS OFICIAL'!M10)-'BRAWLERS OFICIAL'!M10</f>
        <v>0</v>
      </c>
      <c r="N10" s="100">
        <f>(0 + 'BRAWLERS OFICIAL'!N10)-'BRAWLERS OFICIAL'!N10</f>
        <v>0</v>
      </c>
      <c r="O10" s="100">
        <f>(1520 + 'BRAWLERS OFICIAL'!O10)-'BRAWLERS OFICIAL'!O10</f>
        <v>1520</v>
      </c>
      <c r="P10" s="100">
        <f>(1520 + 'BRAWLERS OFICIAL'!P10)-'BRAWLERS OFICIAL'!P10</f>
        <v>1520</v>
      </c>
      <c r="Q10" s="100">
        <f>(1520 + 'BRAWLERS OFICIAL'!Q10)-'BRAWLERS OFICIAL'!Q10</f>
        <v>1520</v>
      </c>
      <c r="R10" s="100">
        <f>(1520 + 'BRAWLERS OFICIAL'!R10)-'BRAWLERS OFICIAL'!R10</f>
        <v>1520</v>
      </c>
      <c r="S10" s="100">
        <f>(1520 + 'BRAWLERS OFICIAL'!S10)-'BRAWLERS OFICIAL'!S10</f>
        <v>1520</v>
      </c>
      <c r="T10" s="100">
        <f>(0 + 'BRAWLERS OFICIAL'!T10)-'BRAWLERS OFICIAL'!T10</f>
        <v>0</v>
      </c>
      <c r="U10" s="100">
        <f>(0 + 'BRAWLERS OFICIAL'!U10)-'BRAWLERS OFICIAL'!U10</f>
        <v>0</v>
      </c>
      <c r="V10" s="103">
        <f>(( 0 + 'BRAWLERS OFICIAL'!V10 + AN10 + AV10/3.5 )-'BRAWLERS OFICIAL'!V10)/($BN10)</f>
        <v>0</v>
      </c>
      <c r="W10" s="101">
        <f>((1 + 'BRAWLERS OFICIAL'!W10)-'BRAWLERS OFICIAL'!W10)/($BN10)</f>
        <v>0.6</v>
      </c>
      <c r="X10" s="101">
        <f>(((0)/3 + 'BRAWLERS OFICIAL'!X10)-'BRAWLERS OFICIAL'!X10)</f>
        <v>0</v>
      </c>
      <c r="Y10" s="101">
        <f>((1.5 + 'BRAWLERS OFICIAL'!Y10)-'BRAWLERS OFICIAL'!Y10)/($BN10)</f>
        <v>0.89999999999999991</v>
      </c>
      <c r="Z10" s="101">
        <f>((3 + 'BRAWLERS OFICIAL'!Z10)-'BRAWLERS OFICIAL'!Z10)</f>
        <v>3</v>
      </c>
      <c r="AA10" s="101">
        <f>(((0)/4 + 'BRAWLERS OFICIAL'!AA10)-'BRAWLERS OFICIAL'!AA10)/($BN10)</f>
        <v>0</v>
      </c>
      <c r="AB10" s="101">
        <f>((0 + 'BRAWLERS OFICIAL'!AB10)-'BRAWLERS OFICIAL'!AB10)/($BN10)</f>
        <v>0</v>
      </c>
      <c r="AC10" s="101">
        <f>((0 + 'BRAWLERS OFICIAL'!AC10)-'BRAWLERS OFICIAL'!AC10)/($BN10)</f>
        <v>0</v>
      </c>
      <c r="AD10" s="101">
        <f>((0 + 'BRAWLERS OFICIAL'!AD10)-'BRAWLERS OFICIAL'!AD10)/($BN10)</f>
        <v>0</v>
      </c>
      <c r="AE10" s="101">
        <f>((0 + 'BRAWLERS OFICIAL'!AE10)-'BRAWLERS OFICIAL'!AE10)</f>
        <v>0</v>
      </c>
      <c r="AF10" s="101">
        <f>((0 + 'BRAWLERS OFICIAL'!AF10)-'BRAWLERS OFICIAL'!AF10)</f>
        <v>0</v>
      </c>
      <c r="AG10" s="101">
        <f>((0 + 'BRAWLERS OFICIAL'!AG10)-'BRAWLERS OFICIAL'!AG10)</f>
        <v>0</v>
      </c>
      <c r="AH10" s="101">
        <f>((0 + 'BRAWLERS OFICIAL'!AH10)-'BRAWLERS OFICIAL'!AH10)/($BN10)</f>
        <v>0</v>
      </c>
      <c r="AI10" s="101">
        <f>((0 + 'BRAWLERS OFICIAL'!AI10)-'BRAWLERS OFICIAL'!AI10)/($BN10)</f>
        <v>0</v>
      </c>
      <c r="AJ10" s="101">
        <f>(((BH10/5+1)*AI10 + 'BRAWLERS OFICIAL'!AJ10)-'BRAWLERS OFICIAL'!AJ10)/($BN10)</f>
        <v>0</v>
      </c>
      <c r="AK10" s="101">
        <f>IF( 0 = (1-1), (1-1), ((0 + 'BRAWLERS OFICIAL'!AK10)/1.5)-'BRAWLERS OFICIAL'!AK10 )</f>
        <v>0</v>
      </c>
      <c r="AL10" s="101">
        <f t="shared" si="0"/>
        <v>0</v>
      </c>
      <c r="AM10" s="101">
        <f>((0 + 'BRAWLERS OFICIAL'!AM10)-'BRAWLERS OFICIAL'!AM10)/($BN10)</f>
        <v>0</v>
      </c>
      <c r="AN10" s="101">
        <f>((0/1000 + 'BRAWLERS OFICIAL'!AN10)-'BRAWLERS OFICIAL'!AN10)</f>
        <v>0</v>
      </c>
      <c r="AO10" s="101">
        <f>((0 + 'BRAWLERS OFICIAL'!AO10)-'BRAWLERS OFICIAL'!AO10)</f>
        <v>0</v>
      </c>
      <c r="AP10" s="101">
        <f>IF( 0 = (1-1), (1-1), ((0 + 'BRAWLERS OFICIAL'!AP10)/1.5) )</f>
        <v>0</v>
      </c>
      <c r="AQ10" s="101">
        <f>IF( 0 = (1-1), (1-1), ((0 + 'BRAWLERS OFICIAL'!AQ10)/1.5) )</f>
        <v>0</v>
      </c>
      <c r="AR10" s="101">
        <f>IF( 0 = (1-1), (1-1), ((0 + 'BRAWLERS OFICIAL'!AR10)/2) )</f>
        <v>0</v>
      </c>
      <c r="AS10" s="101">
        <f>((0 + 'BRAWLERS OFICIAL'!AS10)-'BRAWLERS OFICIAL'!AS10)/($BN10)</f>
        <v>0</v>
      </c>
      <c r="AT10" s="101">
        <f>(((0)/4 + 'BRAWLERS OFICIAL'!AT10)-'BRAWLERS OFICIAL'!AT10)</f>
        <v>0</v>
      </c>
      <c r="AU10" s="101">
        <v>0</v>
      </c>
      <c r="AV10" s="100">
        <f>((( 0 )/3 + 'BRAWLERS OFICIAL'!AV10)-'BRAWLERS OFICIAL'!AV10)</f>
        <v>0</v>
      </c>
      <c r="AW10" s="100">
        <f>((( 0 )/2 + 'BRAWLERS OFICIAL'!AW10)-'BRAWLERS OFICIAL'!AW10)/($BN10)</f>
        <v>0</v>
      </c>
      <c r="AX10" s="100">
        <f>((( 0 )/2 + 'BRAWLERS OFICIAL'!AX10)-'BRAWLERS OFICIAL'!AX10)</f>
        <v>0</v>
      </c>
      <c r="AY10" s="100">
        <f>((( 0 )/3 + 'BRAWLERS OFICIAL'!AY10)-'BRAWLERS OFICIAL'!AY10)</f>
        <v>0</v>
      </c>
      <c r="AZ10" s="100">
        <f>((( 0 )/2 + 'BRAWLERS OFICIAL'!AZ10)-'BRAWLERS OFICIAL'!AZ10)/($BN10)</f>
        <v>0</v>
      </c>
      <c r="BA10" s="100">
        <f>((( 0 )/3 + 'BRAWLERS OFICIAL'!BA10)-'BRAWLERS OFICIAL'!BA10)</f>
        <v>0</v>
      </c>
      <c r="BB10" s="100">
        <f>((( 0 )/3 + 'BRAWLERS OFICIAL'!BB10)-'BRAWLERS OFICIAL'!BB10)</f>
        <v>0</v>
      </c>
      <c r="BC10" s="100">
        <f>((0 + 'BRAWLERS OFICIAL'!BC10)-'BRAWLERS OFICIAL'!BC10)/($BN10)</f>
        <v>0</v>
      </c>
      <c r="BD10" s="100">
        <f>((0 + 'BRAWLERS OFICIAL'!BD10)-'BRAWLERS OFICIAL'!BD10)/($BN10)</f>
        <v>0</v>
      </c>
      <c r="BE10" s="100">
        <f>((( 0 )/2 + 'BRAWLERS OFICIAL'!BE10)-'BRAWLERS OFICIAL'!BE10)</f>
        <v>0</v>
      </c>
      <c r="BF10" s="100">
        <f>((0 + 'BRAWLERS OFICIAL'!BF10)-'BRAWLERS OFICIAL'!BF10)/($BN10)</f>
        <v>0</v>
      </c>
      <c r="BG10" s="100">
        <f>((( 0 )/2 + 'BRAWLERS OFICIAL'!BG10)-'BRAWLERS OFICIAL'!BG10)</f>
        <v>0</v>
      </c>
      <c r="BH10" s="100">
        <f>((( 0 )/3 + 'BRAWLERS OFICIAL'!BH10)-'BRAWLERS OFICIAL'!BH10)</f>
        <v>0</v>
      </c>
      <c r="BI10" s="100">
        <f>((( 0 )/2 + 'BRAWLERS OFICIAL'!BI10)-'BRAWLERS OFICIAL'!BI10)</f>
        <v>0</v>
      </c>
      <c r="BJ10" s="100">
        <f>((0 + 'BRAWLERS OFICIAL'!BJ10)-'BRAWLERS OFICIAL'!BJ10)/($BN10)</f>
        <v>0</v>
      </c>
      <c r="BK10" s="100">
        <f>((0 + 'BRAWLERS OFICIAL'!BK10)-'BRAWLERS OFICIAL'!BK10)/($BN10)</f>
        <v>0</v>
      </c>
      <c r="BL10" s="100">
        <f>((0 + 'BRAWLERS OFICIAL'!BL10)-'BRAWLERS OFICIAL'!BL10)/($BN10)</f>
        <v>0</v>
      </c>
      <c r="BN10" s="100">
        <f>('BRAWLERS OFICIAL'!D10 / 'BRAWLERS OFICIAL'!H10 / (1 + ('BRAWLERS OFICIAL'!Y10/5)))</f>
        <v>1.6666666666666667</v>
      </c>
    </row>
    <row r="11" spans="1:66">
      <c r="B11" s="97" t="s">
        <v>463</v>
      </c>
      <c r="C11" s="70" t="s">
        <v>15</v>
      </c>
      <c r="D11" s="100">
        <f>(0 + 'BRAWLERS OFICIAL'!D11)-'BRAWLERS OFICIAL'!D11</f>
        <v>0</v>
      </c>
      <c r="E11" s="100">
        <f>(0 + 'BRAWLERS OFICIAL'!E11)-'BRAWLERS OFICIAL'!E11</f>
        <v>0</v>
      </c>
      <c r="F11" s="100">
        <f>('BRAWLERS OFICIAL'!F11/5/4 + 'BRAWLERS OFICIAL'!F11)-'BRAWLERS OFICIAL'!F11</f>
        <v>66</v>
      </c>
      <c r="G11" s="100">
        <f>(0 + 'BRAWLERS OFICIAL'!G11)-'BRAWLERS OFICIAL'!G11</f>
        <v>0</v>
      </c>
      <c r="H11" s="100">
        <f>(0 + 'BRAWLERS OFICIAL'!H11)-'BRAWLERS OFICIAL'!H11</f>
        <v>0</v>
      </c>
      <c r="I11" s="100">
        <f>(0 + 'BRAWLERS OFICIAL'!I11)-'BRAWLERS OFICIAL'!I11</f>
        <v>0</v>
      </c>
      <c r="J11" s="100">
        <f>(0 + 'BRAWLERS OFICIAL'!J11)-'BRAWLERS OFICIAL'!J11</f>
        <v>0</v>
      </c>
      <c r="K11" s="100">
        <f>(0 + 'BRAWLERS OFICIAL'!K11)-'BRAWLERS OFICIAL'!K11</f>
        <v>0</v>
      </c>
      <c r="L11" s="100">
        <f>(0 + 'BRAWLERS OFICIAL'!L11)-'BRAWLERS OFICIAL'!L11</f>
        <v>0</v>
      </c>
      <c r="M11" s="100">
        <f>(0 + 'BRAWLERS OFICIAL'!M11)-'BRAWLERS OFICIAL'!M11</f>
        <v>0</v>
      </c>
      <c r="N11" s="100">
        <f>(0 + 'BRAWLERS OFICIAL'!N11)-'BRAWLERS OFICIAL'!N11</f>
        <v>0</v>
      </c>
      <c r="O11" s="100">
        <f>(0 + 'BRAWLERS OFICIAL'!O11)-'BRAWLERS OFICIAL'!O11</f>
        <v>0</v>
      </c>
      <c r="P11" s="100">
        <f>(0 + 'BRAWLERS OFICIAL'!P11)-'BRAWLERS OFICIAL'!P11</f>
        <v>0</v>
      </c>
      <c r="Q11" s="100">
        <f>(0 + 'BRAWLERS OFICIAL'!Q11)-'BRAWLERS OFICIAL'!Q11</f>
        <v>0</v>
      </c>
      <c r="R11" s="100">
        <f>(0 + 'BRAWLERS OFICIAL'!R11)-'BRAWLERS OFICIAL'!R11</f>
        <v>0</v>
      </c>
      <c r="S11" s="100">
        <f>(0 + 'BRAWLERS OFICIAL'!S11)-'BRAWLERS OFICIAL'!S11</f>
        <v>0</v>
      </c>
      <c r="T11" s="100">
        <f>(0 + 'BRAWLERS OFICIAL'!T11)-'BRAWLERS OFICIAL'!T11</f>
        <v>0</v>
      </c>
      <c r="U11" s="100">
        <f>(0 + 'BRAWLERS OFICIAL'!U11)-'BRAWLERS OFICIAL'!U11</f>
        <v>0</v>
      </c>
      <c r="V11" s="103">
        <f>(( 0 + 'BRAWLERS OFICIAL'!V11 + AN11 + AV11/3.5 )-'BRAWLERS OFICIAL'!V11)/($BN11)</f>
        <v>0</v>
      </c>
      <c r="W11" s="101">
        <f>((0 + 'BRAWLERS OFICIAL'!W11)-'BRAWLERS OFICIAL'!W11)/($BN11)</f>
        <v>0</v>
      </c>
      <c r="X11" s="101">
        <f>(((0)/3 + 'BRAWLERS OFICIAL'!X11)-'BRAWLERS OFICIAL'!X11)</f>
        <v>0</v>
      </c>
      <c r="Y11" s="101">
        <f>((0 + 'BRAWLERS OFICIAL'!Y11)-'BRAWLERS OFICIAL'!Y11)/($BN11)</f>
        <v>0</v>
      </c>
      <c r="Z11" s="101">
        <f>((0 + 'BRAWLERS OFICIAL'!Z11)-'BRAWLERS OFICIAL'!Z11)</f>
        <v>0</v>
      </c>
      <c r="AA11" s="101">
        <f>(((0)/4 + 'BRAWLERS OFICIAL'!AA11)-'BRAWLERS OFICIAL'!AA11)/($BN11)</f>
        <v>0</v>
      </c>
      <c r="AB11" s="101">
        <f>((0 + 'BRAWLERS OFICIAL'!AB11)-'BRAWLERS OFICIAL'!AB11)/($BN11)</f>
        <v>0</v>
      </c>
      <c r="AC11" s="101">
        <f>((0 + 'BRAWLERS OFICIAL'!AC11)-'BRAWLERS OFICIAL'!AC11)/($BN11)</f>
        <v>0</v>
      </c>
      <c r="AD11" s="101">
        <f>((0 + 'BRAWLERS OFICIAL'!AD11)-'BRAWLERS OFICIAL'!AD11)/($BN11)</f>
        <v>0</v>
      </c>
      <c r="AE11" s="101">
        <f>((0 + 'BRAWLERS OFICIAL'!AE11)-'BRAWLERS OFICIAL'!AE11)</f>
        <v>0</v>
      </c>
      <c r="AF11" s="101">
        <f>((0 + 'BRAWLERS OFICIAL'!AF11)-'BRAWLERS OFICIAL'!AF11)</f>
        <v>0</v>
      </c>
      <c r="AG11" s="101">
        <f>((0 + 'BRAWLERS OFICIAL'!AG11)-'BRAWLERS OFICIAL'!AG11)</f>
        <v>0</v>
      </c>
      <c r="AH11" s="101">
        <f>((0 + 'BRAWLERS OFICIAL'!AH11)-'BRAWLERS OFICIAL'!AH11)/($BN11)</f>
        <v>0</v>
      </c>
      <c r="AI11" s="101">
        <f>((0 + 'BRAWLERS OFICIAL'!AI11)-'BRAWLERS OFICIAL'!AI11)/($BN11)</f>
        <v>0</v>
      </c>
      <c r="AJ11" s="101">
        <f>(((BH11/5+1)*AI11 + 'BRAWLERS OFICIAL'!AJ11)-'BRAWLERS OFICIAL'!AJ11)/($BN11)</f>
        <v>0</v>
      </c>
      <c r="AK11" s="101">
        <f>IF( 0 = (1-1), (1-1), ((0 + 'BRAWLERS OFICIAL'!AK11)/1.5)-'BRAWLERS OFICIAL'!AK11 )</f>
        <v>0</v>
      </c>
      <c r="AL11" s="101">
        <f t="shared" si="0"/>
        <v>0</v>
      </c>
      <c r="AM11" s="101">
        <f>((0 + 'BRAWLERS OFICIAL'!AM11)-'BRAWLERS OFICIAL'!AM11)/($BN11)</f>
        <v>0</v>
      </c>
      <c r="AN11" s="101">
        <f>((0/1000 + 'BRAWLERS OFICIAL'!AN11)-'BRAWLERS OFICIAL'!AN11)</f>
        <v>0</v>
      </c>
      <c r="AO11" s="101">
        <f>((0 + 'BRAWLERS OFICIAL'!AO11)-'BRAWLERS OFICIAL'!AO11)</f>
        <v>0</v>
      </c>
      <c r="AP11" s="101">
        <f>IF( 0 = (1-1), (1-1), ((0 + 'BRAWLERS OFICIAL'!AP11)/1.5) )</f>
        <v>0</v>
      </c>
      <c r="AQ11" s="101">
        <f>IF( 0 = (1-1), (1-1), ((0 + 'BRAWLERS OFICIAL'!AQ11)/1.5) )</f>
        <v>0</v>
      </c>
      <c r="AR11" s="101">
        <f>IF( 0 = (1-1), (1-1), ((0 + 'BRAWLERS OFICIAL'!AR11)/2) )</f>
        <v>0</v>
      </c>
      <c r="AS11" s="101">
        <f>((0 + 'BRAWLERS OFICIAL'!AS11)-'BRAWLERS OFICIAL'!AS11)/($BN11)</f>
        <v>0</v>
      </c>
      <c r="AT11" s="101">
        <f>(((0)/4 + 'BRAWLERS OFICIAL'!AT11)-'BRAWLERS OFICIAL'!AT11)</f>
        <v>0</v>
      </c>
      <c r="AU11" s="101">
        <v>2.5</v>
      </c>
      <c r="AV11" s="100">
        <f>((( 0 )/3 + 'BRAWLERS OFICIAL'!AV11)-'BRAWLERS OFICIAL'!AV11)</f>
        <v>0</v>
      </c>
      <c r="AW11" s="100">
        <f>((( 0 )/2 + 'BRAWLERS OFICIAL'!AW11)-'BRAWLERS OFICIAL'!AW11)/($BN11)</f>
        <v>0</v>
      </c>
      <c r="AX11" s="100">
        <f>((( 0 )/2 + 'BRAWLERS OFICIAL'!AX11)-'BRAWLERS OFICIAL'!AX11)</f>
        <v>0</v>
      </c>
      <c r="AY11" s="100">
        <f>((( 0 )/3 + 'BRAWLERS OFICIAL'!AY11)-'BRAWLERS OFICIAL'!AY11)</f>
        <v>0</v>
      </c>
      <c r="AZ11" s="100">
        <f>((( 0 )/2 + 'BRAWLERS OFICIAL'!AZ11)-'BRAWLERS OFICIAL'!AZ11)/($BN11)</f>
        <v>0</v>
      </c>
      <c r="BA11" s="100">
        <f>((( 0 )/3 + 'BRAWLERS OFICIAL'!BA11)-'BRAWLERS OFICIAL'!BA11)</f>
        <v>0</v>
      </c>
      <c r="BB11" s="100">
        <f>((( 0 )/3 + 'BRAWLERS OFICIAL'!BB11)-'BRAWLERS OFICIAL'!BB11)</f>
        <v>0</v>
      </c>
      <c r="BC11" s="100">
        <f>((0 + 'BRAWLERS OFICIAL'!BC11)-'BRAWLERS OFICIAL'!BC11)/($BN11)</f>
        <v>0</v>
      </c>
      <c r="BD11" s="100">
        <f>((0 + 'BRAWLERS OFICIAL'!BD11)-'BRAWLERS OFICIAL'!BD11)/($BN11)</f>
        <v>0</v>
      </c>
      <c r="BE11" s="100">
        <f>((( 0 )/2 + 'BRAWLERS OFICIAL'!BE11)-'BRAWLERS OFICIAL'!BE11)</f>
        <v>0</v>
      </c>
      <c r="BF11" s="100">
        <f>((0 + 'BRAWLERS OFICIAL'!BF11)-'BRAWLERS OFICIAL'!BF11)/($BN11)</f>
        <v>0</v>
      </c>
      <c r="BG11" s="100">
        <f>((( 0 )/2 + 'BRAWLERS OFICIAL'!BG11)-'BRAWLERS OFICIAL'!BG11)</f>
        <v>0</v>
      </c>
      <c r="BH11" s="100">
        <f>((( 0 )/3 + 'BRAWLERS OFICIAL'!BH11)-'BRAWLERS OFICIAL'!BH11)</f>
        <v>0</v>
      </c>
      <c r="BI11" s="100">
        <f>((( 0 )/2 + 'BRAWLERS OFICIAL'!BI11)-'BRAWLERS OFICIAL'!BI11)</f>
        <v>0</v>
      </c>
      <c r="BJ11" s="100">
        <f>((0 + 'BRAWLERS OFICIAL'!BJ11)-'BRAWLERS OFICIAL'!BJ11)/($BN11)</f>
        <v>0</v>
      </c>
      <c r="BK11" s="100">
        <f>((0 + 'BRAWLERS OFICIAL'!BK11)-'BRAWLERS OFICIAL'!BK11)/($BN11)</f>
        <v>0</v>
      </c>
      <c r="BL11" s="100">
        <f>((0 + 'BRAWLERS OFICIAL'!BL11)-'BRAWLERS OFICIAL'!BL11)/($BN11)</f>
        <v>0</v>
      </c>
      <c r="BN11" s="100">
        <v>1</v>
      </c>
    </row>
    <row r="12" spans="1:66">
      <c r="B12" s="97" t="s">
        <v>464</v>
      </c>
      <c r="C12" s="98" t="s">
        <v>43</v>
      </c>
      <c r="D12" s="100">
        <f>(0 + 'BRAWLERS OFICIAL'!D12)-'BRAWLERS OFICIAL'!D12</f>
        <v>0</v>
      </c>
      <c r="E12" s="100">
        <f>(0 + 'BRAWLERS OFICIAL'!E12)-'BRAWLERS OFICIAL'!E12</f>
        <v>0</v>
      </c>
      <c r="F12" s="100">
        <f>(0 + 'BRAWLERS OFICIAL'!F12)-'BRAWLERS OFICIAL'!F12</f>
        <v>0</v>
      </c>
      <c r="G12" s="100">
        <f>(0 + 'BRAWLERS OFICIAL'!G12)-'BRAWLERS OFICIAL'!G12</f>
        <v>0</v>
      </c>
      <c r="H12" s="100">
        <f>(0 + 'BRAWLERS OFICIAL'!H12)-'BRAWLERS OFICIAL'!H12</f>
        <v>0</v>
      </c>
      <c r="I12" s="100">
        <f>(0 + 'BRAWLERS OFICIAL'!I12)-'BRAWLERS OFICIAL'!I12</f>
        <v>0</v>
      </c>
      <c r="J12" s="100">
        <f>(0 + 'BRAWLERS OFICIAL'!J12)-'BRAWLERS OFICIAL'!J12</f>
        <v>0</v>
      </c>
      <c r="K12" s="100">
        <f>(0 + 'BRAWLERS OFICIAL'!K12)-'BRAWLERS OFICIAL'!K12</f>
        <v>0</v>
      </c>
      <c r="L12" s="100">
        <f>(0 + 'BRAWLERS OFICIAL'!L12)-'BRAWLERS OFICIAL'!L12</f>
        <v>0</v>
      </c>
      <c r="M12" s="100">
        <f>(0 + 'BRAWLERS OFICIAL'!M12)-'BRAWLERS OFICIAL'!M12</f>
        <v>0</v>
      </c>
      <c r="N12" s="100">
        <f>(0 + 'BRAWLERS OFICIAL'!N12)-'BRAWLERS OFICIAL'!N12</f>
        <v>0</v>
      </c>
      <c r="O12" s="100">
        <f>(0 + 'BRAWLERS OFICIAL'!O12)-'BRAWLERS OFICIAL'!O12</f>
        <v>0</v>
      </c>
      <c r="P12" s="100">
        <f>(0 + 'BRAWLERS OFICIAL'!P12)-'BRAWLERS OFICIAL'!P12</f>
        <v>0</v>
      </c>
      <c r="Q12" s="100">
        <f>(0 + 'BRAWLERS OFICIAL'!Q12)-'BRAWLERS OFICIAL'!Q12</f>
        <v>0</v>
      </c>
      <c r="R12" s="100">
        <f>(0 + 'BRAWLERS OFICIAL'!R12)-'BRAWLERS OFICIAL'!R12</f>
        <v>0</v>
      </c>
      <c r="S12" s="100">
        <f>(0 + 'BRAWLERS OFICIAL'!S12)-'BRAWLERS OFICIAL'!S12</f>
        <v>0</v>
      </c>
      <c r="T12" s="100">
        <f>(0 + 'BRAWLERS OFICIAL'!T12)-'BRAWLERS OFICIAL'!T12</f>
        <v>0</v>
      </c>
      <c r="U12" s="100">
        <f>(0 + 'BRAWLERS OFICIAL'!U12)-'BRAWLERS OFICIAL'!U12</f>
        <v>0</v>
      </c>
      <c r="V12" s="103">
        <f>(( 'BRAWLERS OFICIAL'!V12/10/2 + 1360/1400 + 'BRAWLERS OFICIAL'!V12 + AN12 + AV12/3.5 )-'BRAWLERS OFICIAL'!V12)/($BN12)</f>
        <v>1.4571428571428573</v>
      </c>
      <c r="W12" s="101">
        <f>((0 + 'BRAWLERS OFICIAL'!W12)-'BRAWLERS OFICIAL'!W12)/($BN12)</f>
        <v>0</v>
      </c>
      <c r="X12" s="101">
        <f>(((0)/3 + 'BRAWLERS OFICIAL'!X12)-'BRAWLERS OFICIAL'!X12)</f>
        <v>0</v>
      </c>
      <c r="Y12" s="101">
        <f>((0 + 'BRAWLERS OFICIAL'!Y12)-'BRAWLERS OFICIAL'!Y12)/($BN12)</f>
        <v>0</v>
      </c>
      <c r="Z12" s="101">
        <f>((0 + 'BRAWLERS OFICIAL'!Z12)-'BRAWLERS OFICIAL'!Z12)</f>
        <v>0</v>
      </c>
      <c r="AA12" s="101">
        <f>(((0)/4 + 'BRAWLERS OFICIAL'!AA12)-'BRAWLERS OFICIAL'!AA12)/($BN12)</f>
        <v>0</v>
      </c>
      <c r="AB12" s="101">
        <f>((0 + 'BRAWLERS OFICIAL'!AB12)-'BRAWLERS OFICIAL'!AB12)/($BN12)</f>
        <v>0</v>
      </c>
      <c r="AC12" s="101">
        <f>((0 + 'BRAWLERS OFICIAL'!AC12)-'BRAWLERS OFICIAL'!AC12)/($BN12)</f>
        <v>0</v>
      </c>
      <c r="AD12" s="101">
        <f>((0 + 'BRAWLERS OFICIAL'!AD12)-'BRAWLERS OFICIAL'!AD12)/($BN12)</f>
        <v>0</v>
      </c>
      <c r="AE12" s="101">
        <f>((0 + 'BRAWLERS OFICIAL'!AE12)-'BRAWLERS OFICIAL'!AE12)</f>
        <v>0</v>
      </c>
      <c r="AF12" s="101">
        <f>((0 + 'BRAWLERS OFICIAL'!AF12)-'BRAWLERS OFICIAL'!AF12)</f>
        <v>0</v>
      </c>
      <c r="AG12" s="101">
        <f>((0 + 'BRAWLERS OFICIAL'!AG12)-'BRAWLERS OFICIAL'!AG12)</f>
        <v>0</v>
      </c>
      <c r="AH12" s="101">
        <f>((0 + 'BRAWLERS OFICIAL'!AH12)-'BRAWLERS OFICIAL'!AH12)/($BN12)</f>
        <v>0</v>
      </c>
      <c r="AI12" s="101">
        <f>((0 + 'BRAWLERS OFICIAL'!AI12)-'BRAWLERS OFICIAL'!AI12)/($BN12)</f>
        <v>0</v>
      </c>
      <c r="AJ12" s="101">
        <f>(((BH12/5+1)*AI12 + 'BRAWLERS OFICIAL'!AJ12)-'BRAWLERS OFICIAL'!AJ12)/($BN12)</f>
        <v>0</v>
      </c>
      <c r="AK12" s="101">
        <f>IF( 0 = (1-1), (1-1), ((0 + 'BRAWLERS OFICIAL'!AK12)/1.5)-'BRAWLERS OFICIAL'!AK12 )</f>
        <v>0</v>
      </c>
      <c r="AL12" s="101">
        <f t="shared" si="0"/>
        <v>0</v>
      </c>
      <c r="AM12" s="101">
        <f>((0 + 'BRAWLERS OFICIAL'!AM12)-'BRAWLERS OFICIAL'!AM12)/($BN12)</f>
        <v>0</v>
      </c>
      <c r="AN12" s="101">
        <f>((0/1000 + 'BRAWLERS OFICIAL'!AN12)-'BRAWLERS OFICIAL'!AN12)</f>
        <v>0</v>
      </c>
      <c r="AO12" s="101">
        <f>((0 + 'BRAWLERS OFICIAL'!AO12)-'BRAWLERS OFICIAL'!AO12)</f>
        <v>0</v>
      </c>
      <c r="AP12" s="101">
        <f>IF( 0 = (1-1), (1-1), ((0 + 'BRAWLERS OFICIAL'!AP12)/1.5) )</f>
        <v>0</v>
      </c>
      <c r="AQ12" s="101">
        <f>IF( 0 = (1-1), (1-1), ((0 + 'BRAWLERS OFICIAL'!AQ12)/1.5) )</f>
        <v>0</v>
      </c>
      <c r="AR12" s="101">
        <f>IF( 0 = (1-1), (1-1), ((0 + 'BRAWLERS OFICIAL'!AR12)/2) )</f>
        <v>0</v>
      </c>
      <c r="AS12" s="101">
        <f>((0 + 'BRAWLERS OFICIAL'!AS12)-'BRAWLERS OFICIAL'!AS12)/($BN12)</f>
        <v>0</v>
      </c>
      <c r="AT12" s="101">
        <f>(((0)/4 + 'BRAWLERS OFICIAL'!AT12)-'BRAWLERS OFICIAL'!AT12)</f>
        <v>0</v>
      </c>
      <c r="AU12" s="101">
        <v>0</v>
      </c>
      <c r="AV12" s="100">
        <f>((( 0 )/3 + 'BRAWLERS OFICIAL'!AV12)-'BRAWLERS OFICIAL'!AV12)</f>
        <v>0</v>
      </c>
      <c r="AW12" s="100">
        <f>((( 0 )/2 + 'BRAWLERS OFICIAL'!AW12)-'BRAWLERS OFICIAL'!AW12)/($BN12)</f>
        <v>0</v>
      </c>
      <c r="AX12" s="100">
        <f>((( 0 )/2 + 'BRAWLERS OFICIAL'!AX12)-'BRAWLERS OFICIAL'!AX12)</f>
        <v>0</v>
      </c>
      <c r="AY12" s="100">
        <f>((( 0 )/3 + 'BRAWLERS OFICIAL'!AY12)-'BRAWLERS OFICIAL'!AY12)</f>
        <v>0</v>
      </c>
      <c r="AZ12" s="100">
        <f>((( 0 )/2 + 'BRAWLERS OFICIAL'!AZ12)-'BRAWLERS OFICIAL'!AZ12)/($BN12)</f>
        <v>0</v>
      </c>
      <c r="BA12" s="100">
        <f>((( 0 )/3 + 'BRAWLERS OFICIAL'!BA12)-'BRAWLERS OFICIAL'!BA12)</f>
        <v>0</v>
      </c>
      <c r="BB12" s="100">
        <f>((( 0 )/3 + 'BRAWLERS OFICIAL'!BB12)-'BRAWLERS OFICIAL'!BB12)</f>
        <v>0</v>
      </c>
      <c r="BC12" s="100">
        <f>((0 + 'BRAWLERS OFICIAL'!BC12)-'BRAWLERS OFICIAL'!BC12)/($BN12)</f>
        <v>0</v>
      </c>
      <c r="BD12" s="100">
        <f>((0 + 'BRAWLERS OFICIAL'!BD12)-'BRAWLERS OFICIAL'!BD12)/($BN12)</f>
        <v>0</v>
      </c>
      <c r="BE12" s="100">
        <f>((( 0 )/2 + 'BRAWLERS OFICIAL'!BE12)-'BRAWLERS OFICIAL'!BE12)</f>
        <v>0</v>
      </c>
      <c r="BF12" s="100">
        <f>((0 + 'BRAWLERS OFICIAL'!BF12)-'BRAWLERS OFICIAL'!BF12)/($BN12)</f>
        <v>0</v>
      </c>
      <c r="BG12" s="100">
        <f>((( 0 )/2 + 'BRAWLERS OFICIAL'!BG12)-'BRAWLERS OFICIAL'!BG12)</f>
        <v>0</v>
      </c>
      <c r="BH12" s="100">
        <f>((( 0 )/3 + 'BRAWLERS OFICIAL'!BH12)-'BRAWLERS OFICIAL'!BH12)</f>
        <v>0</v>
      </c>
      <c r="BI12" s="100">
        <f>((( 0 )/2 + 'BRAWLERS OFICIAL'!BI12)-'BRAWLERS OFICIAL'!BI12)</f>
        <v>0</v>
      </c>
      <c r="BJ12" s="100">
        <f>((0 + 'BRAWLERS OFICIAL'!BJ12)-'BRAWLERS OFICIAL'!BJ12)/($BN12)</f>
        <v>0</v>
      </c>
      <c r="BK12" s="100">
        <f>((0 + 'BRAWLERS OFICIAL'!BK12)-'BRAWLERS OFICIAL'!BK12)/($BN12)</f>
        <v>0</v>
      </c>
      <c r="BL12" s="100">
        <f>((0 + 'BRAWLERS OFICIAL'!BL12)-'BRAWLERS OFICIAL'!BL12)/($BN12)</f>
        <v>0</v>
      </c>
      <c r="BN12" s="100">
        <v>1</v>
      </c>
    </row>
    <row r="13" spans="1:66">
      <c r="B13" s="97" t="s">
        <v>465</v>
      </c>
      <c r="C13" s="70" t="s">
        <v>93</v>
      </c>
      <c r="D13" s="100">
        <f>(0 + 'BRAWLERS OFICIAL'!D13)-'BRAWLERS OFICIAL'!D13</f>
        <v>0</v>
      </c>
      <c r="E13" s="100">
        <f>(0 + 'BRAWLERS OFICIAL'!E13)-'BRAWLERS OFICIAL'!E13</f>
        <v>0</v>
      </c>
      <c r="F13" s="100">
        <f>(0 + 'BRAWLERS OFICIAL'!F13)-'BRAWLERS OFICIAL'!F13</f>
        <v>0</v>
      </c>
      <c r="G13" s="100">
        <f>(0 + 'BRAWLERS OFICIAL'!G13)-'BRAWLERS OFICIAL'!G13</f>
        <v>0</v>
      </c>
      <c r="H13" s="100">
        <f>(0 + 'BRAWLERS OFICIAL'!H13)-'BRAWLERS OFICIAL'!H13</f>
        <v>0</v>
      </c>
      <c r="I13" s="100">
        <f>(0 + 'BRAWLERS OFICIAL'!I13)-'BRAWLERS OFICIAL'!I13</f>
        <v>0</v>
      </c>
      <c r="J13" s="100">
        <f>(0 + 'BRAWLERS OFICIAL'!J13)-'BRAWLERS OFICIAL'!J13</f>
        <v>0</v>
      </c>
      <c r="K13" s="100">
        <f>(0 + 'BRAWLERS OFICIAL'!K13)-'BRAWLERS OFICIAL'!K13</f>
        <v>0</v>
      </c>
      <c r="L13" s="100">
        <f>(0 + 'BRAWLERS OFICIAL'!L13)-'BRAWLERS OFICIAL'!L13</f>
        <v>0</v>
      </c>
      <c r="M13" s="100">
        <f>(0 + 'BRAWLERS OFICIAL'!M13)-'BRAWLERS OFICIAL'!M13</f>
        <v>0</v>
      </c>
      <c r="N13" s="100">
        <f>(0 + 'BRAWLERS OFICIAL'!N13)-'BRAWLERS OFICIAL'!N13</f>
        <v>0</v>
      </c>
      <c r="O13" s="100">
        <f>(0 + 'BRAWLERS OFICIAL'!O13)-'BRAWLERS OFICIAL'!O13</f>
        <v>0</v>
      </c>
      <c r="P13" s="100">
        <f>(0 + 'BRAWLERS OFICIAL'!P13)-'BRAWLERS OFICIAL'!P13</f>
        <v>0</v>
      </c>
      <c r="Q13" s="100">
        <f>(0 + 'BRAWLERS OFICIAL'!Q13)-'BRAWLERS OFICIAL'!Q13</f>
        <v>0</v>
      </c>
      <c r="R13" s="100">
        <f>(0 + 'BRAWLERS OFICIAL'!R13)-'BRAWLERS OFICIAL'!R13</f>
        <v>0</v>
      </c>
      <c r="S13" s="100">
        <f>(0 + 'BRAWLERS OFICIAL'!S13)-'BRAWLERS OFICIAL'!S13</f>
        <v>0</v>
      </c>
      <c r="T13" s="100">
        <f>(0 + 'BRAWLERS OFICIAL'!T13)-'BRAWLERS OFICIAL'!T13</f>
        <v>0</v>
      </c>
      <c r="U13" s="100">
        <f>(0 + 'BRAWLERS OFICIAL'!U13)-'BRAWLERS OFICIAL'!U13</f>
        <v>0</v>
      </c>
      <c r="V13" s="103">
        <f>(( 0 + 'BRAWLERS OFICIAL'!V13 + AN13 + AV13/3.5 )-'BRAWLERS OFICIAL'!V13)/($BN13)</f>
        <v>0.53968253968253987</v>
      </c>
      <c r="W13" s="101">
        <f>((0 + 'BRAWLERS OFICIAL'!W13)-'BRAWLERS OFICIAL'!W13)/($BN13)</f>
        <v>0</v>
      </c>
      <c r="X13" s="101">
        <f>(((0)/3 + 'BRAWLERS OFICIAL'!X13)-'BRAWLERS OFICIAL'!X13)</f>
        <v>0</v>
      </c>
      <c r="Y13" s="101">
        <f>((0 + 'BRAWLERS OFICIAL'!Y13)-'BRAWLERS OFICIAL'!Y13)/($BN13)</f>
        <v>0</v>
      </c>
      <c r="Z13" s="101">
        <f>((0 + 'BRAWLERS OFICIAL'!Z13)-'BRAWLERS OFICIAL'!Z13)</f>
        <v>0</v>
      </c>
      <c r="AA13" s="101">
        <f>(((0)/4 + 'BRAWLERS OFICIAL'!AA13)-'BRAWLERS OFICIAL'!AA13)/($BN13)</f>
        <v>0</v>
      </c>
      <c r="AB13" s="101">
        <f>((0 + 'BRAWLERS OFICIAL'!AB13)-'BRAWLERS OFICIAL'!AB13)/($BN13)</f>
        <v>0</v>
      </c>
      <c r="AC13" s="101">
        <f>((0 + 'BRAWLERS OFICIAL'!AC13)-'BRAWLERS OFICIAL'!AC13)/($BN13)</f>
        <v>0</v>
      </c>
      <c r="AD13" s="101">
        <f>((0 + 'BRAWLERS OFICIAL'!AD13)-'BRAWLERS OFICIAL'!AD13)/($BN13)</f>
        <v>0</v>
      </c>
      <c r="AE13" s="101">
        <f>((0 + 'BRAWLERS OFICIAL'!AE13)-'BRAWLERS OFICIAL'!AE13)</f>
        <v>0</v>
      </c>
      <c r="AF13" s="101">
        <f>((0 + 'BRAWLERS OFICIAL'!AF13)-'BRAWLERS OFICIAL'!AF13)</f>
        <v>0</v>
      </c>
      <c r="AG13" s="101">
        <f>((0 + 'BRAWLERS OFICIAL'!AG13)-'BRAWLERS OFICIAL'!AG13)</f>
        <v>0</v>
      </c>
      <c r="AH13" s="101">
        <f>((0 + 'BRAWLERS OFICIAL'!AH13)-'BRAWLERS OFICIAL'!AH13)/($BN13)</f>
        <v>0</v>
      </c>
      <c r="AI13" s="101">
        <f>((0 + 'BRAWLERS OFICIAL'!AI13)-'BRAWLERS OFICIAL'!AI13)/($BN13)</f>
        <v>0</v>
      </c>
      <c r="AJ13" s="101">
        <f>(((BH13/5+1)*AI13 + 'BRAWLERS OFICIAL'!AJ13)-'BRAWLERS OFICIAL'!AJ13)/($BN13)</f>
        <v>0</v>
      </c>
      <c r="AK13" s="101">
        <f>IF( 0 = (1-1), (1-1), ((0 + 'BRAWLERS OFICIAL'!AK13)/1.5)-'BRAWLERS OFICIAL'!AK13 )</f>
        <v>0</v>
      </c>
      <c r="AL13" s="101">
        <f t="shared" si="0"/>
        <v>0</v>
      </c>
      <c r="AM13" s="101">
        <f>((0 + 'BRAWLERS OFICIAL'!AM13)-'BRAWLERS OFICIAL'!AM13)/($BN13)</f>
        <v>0</v>
      </c>
      <c r="AN13" s="101">
        <f>((0/1000 + 'BRAWLERS OFICIAL'!AN13)-'BRAWLERS OFICIAL'!AN13)</f>
        <v>0</v>
      </c>
      <c r="AO13" s="101">
        <f>((0 + 'BRAWLERS OFICIAL'!AO13)-'BRAWLERS OFICIAL'!AO13)</f>
        <v>0</v>
      </c>
      <c r="AP13" s="101">
        <f>IF( 0 = (1-1), (1-1), ((0 + 'BRAWLERS OFICIAL'!AP13)/1.5) )</f>
        <v>0</v>
      </c>
      <c r="AQ13" s="101">
        <f>IF( 0 = (1-1), (1-1), ((0 + 'BRAWLERS OFICIAL'!AQ13)/1.5) )</f>
        <v>0</v>
      </c>
      <c r="AR13" s="101">
        <f>IF( 0 = (1-1), (1-1), ((0 + 'BRAWLERS OFICIAL'!AR13)/2) )</f>
        <v>0</v>
      </c>
      <c r="AS13" s="101">
        <f>((0 + 'BRAWLERS OFICIAL'!AS13)-'BRAWLERS OFICIAL'!AS13)/($BN13)</f>
        <v>0</v>
      </c>
      <c r="AT13" s="101">
        <f>(((0)/4 + 'BRAWLERS OFICIAL'!AT13)-'BRAWLERS OFICIAL'!AT13)</f>
        <v>0</v>
      </c>
      <c r="AU13" s="101">
        <v>0</v>
      </c>
      <c r="AV13" s="100">
        <f>((6 + 8 + 3)/3 + 'BRAWLERS OFICIAL'!AV13)-'BRAWLERS OFICIAL'!AV13</f>
        <v>5.666666666666667</v>
      </c>
      <c r="AW13" s="100">
        <f>((( 0 )/2 + 'BRAWLERS OFICIAL'!AW13)-'BRAWLERS OFICIAL'!AW13)/($BN13)</f>
        <v>0</v>
      </c>
      <c r="AX13" s="100">
        <f>((( 0 )/2 + 'BRAWLERS OFICIAL'!AX13)-'BRAWLERS OFICIAL'!AX13)</f>
        <v>0</v>
      </c>
      <c r="AY13" s="100">
        <f>((( 0 )/3 + 'BRAWLERS OFICIAL'!AY13)-'BRAWLERS OFICIAL'!AY13)</f>
        <v>0</v>
      </c>
      <c r="AZ13" s="100">
        <f>((( 0 )/2 + 'BRAWLERS OFICIAL'!AZ13)-'BRAWLERS OFICIAL'!AZ13)/($BN13)</f>
        <v>0</v>
      </c>
      <c r="BA13" s="100">
        <f>((( 0 )/3 + 'BRAWLERS OFICIAL'!BA13)-'BRAWLERS OFICIAL'!BA13)</f>
        <v>0</v>
      </c>
      <c r="BB13" s="100">
        <f>((( 0 )/3 + 'BRAWLERS OFICIAL'!BB13)-'BRAWLERS OFICIAL'!BB13)</f>
        <v>0</v>
      </c>
      <c r="BC13" s="100">
        <f>((0 + 'BRAWLERS OFICIAL'!BC13)-'BRAWLERS OFICIAL'!BC13)/($BN13)</f>
        <v>0</v>
      </c>
      <c r="BD13" s="100">
        <f>((0 + 'BRAWLERS OFICIAL'!BD13)-'BRAWLERS OFICIAL'!BD13)/($BN13)</f>
        <v>0</v>
      </c>
      <c r="BE13" s="100">
        <f>((( 0 )/2 + 'BRAWLERS OFICIAL'!BE13)-'BRAWLERS OFICIAL'!BE13)</f>
        <v>0</v>
      </c>
      <c r="BF13" s="100">
        <f>((0 + 'BRAWLERS OFICIAL'!BF13)-'BRAWLERS OFICIAL'!BF13)/($BN13)</f>
        <v>0</v>
      </c>
      <c r="BG13" s="100">
        <f>((( 0 )/2 + 'BRAWLERS OFICIAL'!BG13)-'BRAWLERS OFICIAL'!BG13)</f>
        <v>0</v>
      </c>
      <c r="BH13" s="100">
        <f>((( 0 )/3 + 'BRAWLERS OFICIAL'!BH13)-'BRAWLERS OFICIAL'!BH13)</f>
        <v>0</v>
      </c>
      <c r="BI13" s="100">
        <f>((( 0 )/2 + 'BRAWLERS OFICIAL'!BI13)-'BRAWLERS OFICIAL'!BI13)</f>
        <v>0</v>
      </c>
      <c r="BJ13" s="100">
        <f>((0 + 'BRAWLERS OFICIAL'!BJ13)-'BRAWLERS OFICIAL'!BJ13)/($BN13)</f>
        <v>0</v>
      </c>
      <c r="BK13" s="100">
        <f>((0 + 'BRAWLERS OFICIAL'!BK13)-'BRAWLERS OFICIAL'!BK13)/($BN13)</f>
        <v>0</v>
      </c>
      <c r="BL13" s="100">
        <f>((0 + 'BRAWLERS OFICIAL'!BL13)-'BRAWLERS OFICIAL'!BL13)/($BN13)</f>
        <v>0</v>
      </c>
      <c r="BN13" s="100">
        <f>('BRAWLERS OFICIAL'!D13 / 'BRAWLERS OFICIAL'!H13 / (1 + ('BRAWLERS OFICIAL'!Y13/5)))</f>
        <v>3</v>
      </c>
    </row>
    <row r="14" spans="1:66">
      <c r="B14" s="97" t="s">
        <v>466</v>
      </c>
      <c r="C14" s="98" t="s">
        <v>53</v>
      </c>
      <c r="D14" s="100">
        <f>(0 + 'BRAWLERS OFICIAL'!D14)-'BRAWLERS OFICIAL'!D14</f>
        <v>0</v>
      </c>
      <c r="E14" s="100">
        <f>(0 + 'BRAWLERS OFICIAL'!E14)-'BRAWLERS OFICIAL'!E14</f>
        <v>0</v>
      </c>
      <c r="F14" s="100">
        <f>(0 + 'BRAWLERS OFICIAL'!F14)-'BRAWLERS OFICIAL'!F14</f>
        <v>0</v>
      </c>
      <c r="G14" s="100">
        <f>(0 + 'BRAWLERS OFICIAL'!G14)-'BRAWLERS OFICIAL'!G14</f>
        <v>0</v>
      </c>
      <c r="H14" s="100">
        <f>(0 + 'BRAWLERS OFICIAL'!H14)-'BRAWLERS OFICIAL'!H14</f>
        <v>0</v>
      </c>
      <c r="I14" s="100">
        <f>(0 + 'BRAWLERS OFICIAL'!I14)-'BRAWLERS OFICIAL'!I14</f>
        <v>0</v>
      </c>
      <c r="J14" s="100">
        <f>(0 + 'BRAWLERS OFICIAL'!J14)-'BRAWLERS OFICIAL'!J14</f>
        <v>0</v>
      </c>
      <c r="K14" s="100">
        <f>(0 + 'BRAWLERS OFICIAL'!K14)-'BRAWLERS OFICIAL'!K14</f>
        <v>0</v>
      </c>
      <c r="L14" s="100">
        <f>(0 + 'BRAWLERS OFICIAL'!L14)-'BRAWLERS OFICIAL'!L14</f>
        <v>0</v>
      </c>
      <c r="M14" s="100">
        <f>(0 + 'BRAWLERS OFICIAL'!M14)-'BRAWLERS OFICIAL'!M14</f>
        <v>0</v>
      </c>
      <c r="N14" s="100">
        <f>(0 + 'BRAWLERS OFICIAL'!N14)-'BRAWLERS OFICIAL'!N14</f>
        <v>0</v>
      </c>
      <c r="O14" s="100">
        <f>(0 + 'BRAWLERS OFICIAL'!O14)-'BRAWLERS OFICIAL'!O14</f>
        <v>0</v>
      </c>
      <c r="P14" s="100">
        <f>(0 + 'BRAWLERS OFICIAL'!P14)-'BRAWLERS OFICIAL'!P14</f>
        <v>0</v>
      </c>
      <c r="Q14" s="100">
        <f>(0 + 'BRAWLERS OFICIAL'!Q14)-'BRAWLERS OFICIAL'!Q14</f>
        <v>0</v>
      </c>
      <c r="R14" s="100">
        <f>(0 + 'BRAWLERS OFICIAL'!R14)-'BRAWLERS OFICIAL'!R14</f>
        <v>0</v>
      </c>
      <c r="S14" s="100">
        <f>(0 + 'BRAWLERS OFICIAL'!S14)-'BRAWLERS OFICIAL'!S14</f>
        <v>0</v>
      </c>
      <c r="T14" s="100">
        <f>(0 + 'BRAWLERS OFICIAL'!T14)-'BRAWLERS OFICIAL'!T14</f>
        <v>0</v>
      </c>
      <c r="U14" s="100">
        <f>(0 + 'BRAWLERS OFICIAL'!U14)-'BRAWLERS OFICIAL'!U14</f>
        <v>0</v>
      </c>
      <c r="V14" s="103">
        <f>(( 'BRAWLERS OFICIAL'!V14/5 + 'BRAWLERS OFICIAL'!V14 + AN14 + AV14/3.5 )-'BRAWLERS OFICIAL'!V14)/($BN14)</f>
        <v>1.4285714285714279</v>
      </c>
      <c r="W14" s="101">
        <f>((0 + 'BRAWLERS OFICIAL'!W14)-'BRAWLERS OFICIAL'!W14)/($BN14)</f>
        <v>0</v>
      </c>
      <c r="X14" s="101">
        <f>(((0)/3 + 'BRAWLERS OFICIAL'!X14)-'BRAWLERS OFICIAL'!X14)</f>
        <v>0</v>
      </c>
      <c r="Y14" s="101">
        <f>((0 + 'BRAWLERS OFICIAL'!Y14)-'BRAWLERS OFICIAL'!Y14)/($BN14)</f>
        <v>0</v>
      </c>
      <c r="Z14" s="101">
        <f>((0 + 'BRAWLERS OFICIAL'!Z14)-'BRAWLERS OFICIAL'!Z14)</f>
        <v>0</v>
      </c>
      <c r="AA14" s="101">
        <f>(((0)/4 + 'BRAWLERS OFICIAL'!AA14)-'BRAWLERS OFICIAL'!AA14)/($BN14)</f>
        <v>0</v>
      </c>
      <c r="AB14" s="101">
        <f>((0 + 'BRAWLERS OFICIAL'!AB14)-'BRAWLERS OFICIAL'!AB14)/($BN14)</f>
        <v>0</v>
      </c>
      <c r="AC14" s="101">
        <f>((0 + 'BRAWLERS OFICIAL'!AC14)-'BRAWLERS OFICIAL'!AC14)/($BN14)</f>
        <v>0</v>
      </c>
      <c r="AD14" s="101">
        <f>((0 + 'BRAWLERS OFICIAL'!AD14)-'BRAWLERS OFICIAL'!AD14)/($BN14)</f>
        <v>0</v>
      </c>
      <c r="AE14" s="101">
        <f>((0 + 'BRAWLERS OFICIAL'!AE14)-'BRAWLERS OFICIAL'!AE14)</f>
        <v>0</v>
      </c>
      <c r="AF14" s="101">
        <f>((0 + 'BRAWLERS OFICIAL'!AF14)-'BRAWLERS OFICIAL'!AF14)</f>
        <v>0</v>
      </c>
      <c r="AG14" s="101">
        <f>((0 + 'BRAWLERS OFICIAL'!AG14)-'BRAWLERS OFICIAL'!AG14)</f>
        <v>0</v>
      </c>
      <c r="AH14" s="101">
        <f>((0 + 'BRAWLERS OFICIAL'!AH14)-'BRAWLERS OFICIAL'!AH14)/($BN14)</f>
        <v>0</v>
      </c>
      <c r="AI14" s="101">
        <f>((0 + 'BRAWLERS OFICIAL'!AI14)-'BRAWLERS OFICIAL'!AI14)/($BN14)</f>
        <v>0</v>
      </c>
      <c r="AJ14" s="101">
        <f>(((BH14/5+1)*AI14 + 'BRAWLERS OFICIAL'!AJ14)-'BRAWLERS OFICIAL'!AJ14)/($BN14)</f>
        <v>0</v>
      </c>
      <c r="AK14" s="101">
        <f>IF( 0 = (1-1), (1-1), ((0 + 'BRAWLERS OFICIAL'!AK14)/1.5)-'BRAWLERS OFICIAL'!AK14 )</f>
        <v>0</v>
      </c>
      <c r="AL14" s="101">
        <f t="shared" si="0"/>
        <v>0</v>
      </c>
      <c r="AM14" s="101">
        <f>((0 + 'BRAWLERS OFICIAL'!AM14)-'BRAWLERS OFICIAL'!AM14)/($BN14)</f>
        <v>0</v>
      </c>
      <c r="AN14" s="101">
        <f>((0/1000 + 'BRAWLERS OFICIAL'!AN14)-'BRAWLERS OFICIAL'!AN14)</f>
        <v>0</v>
      </c>
      <c r="AO14" s="101">
        <f>((0 + 'BRAWLERS OFICIAL'!AO14)-'BRAWLERS OFICIAL'!AO14)</f>
        <v>0</v>
      </c>
      <c r="AP14" s="101">
        <f>IF( 0 = (1-1), (1-1), ((0 + 'BRAWLERS OFICIAL'!AP14)/1.5) )</f>
        <v>0</v>
      </c>
      <c r="AQ14" s="101">
        <f>IF( 0 = (1-1), (1-1), ((0 + 'BRAWLERS OFICIAL'!AQ14)/1.5) )</f>
        <v>0</v>
      </c>
      <c r="AR14" s="101">
        <f>IF( 0 = (1-1), (1-1), ((0 + 'BRAWLERS OFICIAL'!AR14)/2) )</f>
        <v>0</v>
      </c>
      <c r="AS14" s="101">
        <f>((0 + 'BRAWLERS OFICIAL'!AS14)-'BRAWLERS OFICIAL'!AS14)/($BN14)</f>
        <v>0</v>
      </c>
      <c r="AT14" s="101">
        <f>(((0)/4 + 'BRAWLERS OFICIAL'!AT14)-'BRAWLERS OFICIAL'!AT14)</f>
        <v>0</v>
      </c>
      <c r="AU14" s="101">
        <v>0</v>
      </c>
      <c r="AV14" s="100">
        <f>((( 0 )/3 + 'BRAWLERS OFICIAL'!AV14)-'BRAWLERS OFICIAL'!AV14)</f>
        <v>0</v>
      </c>
      <c r="AW14" s="100">
        <f>((( 0 )/2 + 'BRAWLERS OFICIAL'!AW14)-'BRAWLERS OFICIAL'!AW14)/($BN14)</f>
        <v>0</v>
      </c>
      <c r="AX14" s="100">
        <f>((( 0 )/2 + 'BRAWLERS OFICIAL'!AX14)-'BRAWLERS OFICIAL'!AX14)</f>
        <v>0</v>
      </c>
      <c r="AY14" s="100">
        <f>((( 0 )/3 + 'BRAWLERS OFICIAL'!AY14)-'BRAWLERS OFICIAL'!AY14)</f>
        <v>0</v>
      </c>
      <c r="AZ14" s="100">
        <f>((( 0 )/2 + 'BRAWLERS OFICIAL'!AZ14)-'BRAWLERS OFICIAL'!AZ14)/($BN14)</f>
        <v>0</v>
      </c>
      <c r="BA14" s="100">
        <f>((( 0 )/3 + 'BRAWLERS OFICIAL'!BA14)-'BRAWLERS OFICIAL'!BA14)</f>
        <v>0</v>
      </c>
      <c r="BB14" s="100">
        <f>((( 0 )/3 + 'BRAWLERS OFICIAL'!BB14)-'BRAWLERS OFICIAL'!BB14)</f>
        <v>0</v>
      </c>
      <c r="BC14" s="100">
        <f>((0 + 'BRAWLERS OFICIAL'!BC14)-'BRAWLERS OFICIAL'!BC14)/($BN14)</f>
        <v>0</v>
      </c>
      <c r="BD14" s="100">
        <f>((0 + 'BRAWLERS OFICIAL'!BD14)-'BRAWLERS OFICIAL'!BD14)/($BN14)</f>
        <v>0</v>
      </c>
      <c r="BE14" s="100">
        <f>((( 0 )/2 + 'BRAWLERS OFICIAL'!BE14)-'BRAWLERS OFICIAL'!BE14)</f>
        <v>0</v>
      </c>
      <c r="BF14" s="100">
        <f>((0 + 'BRAWLERS OFICIAL'!BF14)-'BRAWLERS OFICIAL'!BF14)/($BN14)</f>
        <v>0</v>
      </c>
      <c r="BG14" s="100">
        <f>((( 0 )/2 + 'BRAWLERS OFICIAL'!BG14)-'BRAWLERS OFICIAL'!BG14)</f>
        <v>0</v>
      </c>
      <c r="BH14" s="100">
        <f>((( 0 )/3 + 'BRAWLERS OFICIAL'!BH14)-'BRAWLERS OFICIAL'!BH14)</f>
        <v>0</v>
      </c>
      <c r="BI14" s="100">
        <f>((( 0 )/2 + 'BRAWLERS OFICIAL'!BI14)-'BRAWLERS OFICIAL'!BI14)</f>
        <v>0</v>
      </c>
      <c r="BJ14" s="100">
        <f>((0 + 'BRAWLERS OFICIAL'!BJ14)-'BRAWLERS OFICIAL'!BJ14)/($BN14)</f>
        <v>0</v>
      </c>
      <c r="BK14" s="100">
        <f>((0 + 'BRAWLERS OFICIAL'!BK14)-'BRAWLERS OFICIAL'!BK14)/($BN14)</f>
        <v>0</v>
      </c>
      <c r="BL14" s="100">
        <f>((0 + 'BRAWLERS OFICIAL'!BL14)-'BRAWLERS OFICIAL'!BL14)/($BN14)</f>
        <v>0</v>
      </c>
      <c r="BN14" s="100">
        <v>1</v>
      </c>
    </row>
    <row r="15" spans="1:66">
      <c r="B15" s="97" t="s">
        <v>467</v>
      </c>
      <c r="C15" s="98" t="s">
        <v>84</v>
      </c>
      <c r="D15" s="100">
        <f>(0 + 'BRAWLERS OFICIAL'!D15)-'BRAWLERS OFICIAL'!D15</f>
        <v>0</v>
      </c>
      <c r="E15" s="100">
        <f>(0 + 'BRAWLERS OFICIAL'!E15)-'BRAWLERS OFICIAL'!E15</f>
        <v>0</v>
      </c>
      <c r="F15" s="100">
        <f>(0 + 'BRAWLERS OFICIAL'!F15)-'BRAWLERS OFICIAL'!F15</f>
        <v>0</v>
      </c>
      <c r="G15" s="100">
        <f>(0 + 'BRAWLERS OFICIAL'!G15)-'BRAWLERS OFICIAL'!G15</f>
        <v>0</v>
      </c>
      <c r="H15" s="100">
        <f>(0 + 'BRAWLERS OFICIAL'!H15)-'BRAWLERS OFICIAL'!H15</f>
        <v>0</v>
      </c>
      <c r="I15" s="100">
        <f>(0 + 'BRAWLERS OFICIAL'!I15)-'BRAWLERS OFICIAL'!I15</f>
        <v>0</v>
      </c>
      <c r="J15" s="100">
        <f>(0 + 'BRAWLERS OFICIAL'!J15)-'BRAWLERS OFICIAL'!J15</f>
        <v>0</v>
      </c>
      <c r="K15" s="100">
        <f>(0 + 'BRAWLERS OFICIAL'!K15)-'BRAWLERS OFICIAL'!K15</f>
        <v>0</v>
      </c>
      <c r="L15" s="100">
        <f>(0 + 'BRAWLERS OFICIAL'!L15)-'BRAWLERS OFICIAL'!L15</f>
        <v>0</v>
      </c>
      <c r="M15" s="100">
        <f>(0 + 'BRAWLERS OFICIAL'!M15)-'BRAWLERS OFICIAL'!M15</f>
        <v>0</v>
      </c>
      <c r="N15" s="100">
        <f>(0 + 'BRAWLERS OFICIAL'!N15)-'BRAWLERS OFICIAL'!N15</f>
        <v>0</v>
      </c>
      <c r="O15" s="100">
        <f>(1303 + 'BRAWLERS OFICIAL'!O15)-'BRAWLERS OFICIAL'!O15</f>
        <v>1303</v>
      </c>
      <c r="P15" s="100">
        <f>(0 + 'BRAWLERS OFICIAL'!P15)-'BRAWLERS OFICIAL'!P15</f>
        <v>0</v>
      </c>
      <c r="Q15" s="100">
        <f>(0 + 'BRAWLERS OFICIAL'!Q15)-'BRAWLERS OFICIAL'!Q15</f>
        <v>0</v>
      </c>
      <c r="R15" s="100">
        <f>(0 + 'BRAWLERS OFICIAL'!R15)-'BRAWLERS OFICIAL'!R15</f>
        <v>0</v>
      </c>
      <c r="S15" s="100">
        <f>(0 + 'BRAWLERS OFICIAL'!S15)-'BRAWLERS OFICIAL'!S15</f>
        <v>0</v>
      </c>
      <c r="T15" s="100">
        <f>(0 + 'BRAWLERS OFICIAL'!T15)-'BRAWLERS OFICIAL'!T15</f>
        <v>0</v>
      </c>
      <c r="U15" s="100">
        <f>(0 + 'BRAWLERS OFICIAL'!U15)-'BRAWLERS OFICIAL'!U15</f>
        <v>0</v>
      </c>
      <c r="V15" s="103">
        <f>(( 0 + 'BRAWLERS OFICIAL'!V15 + AN15 + AV15/3.5 )-'BRAWLERS OFICIAL'!V15)/($BN15)</f>
        <v>0</v>
      </c>
      <c r="W15" s="101">
        <f>((0 + 'BRAWLERS OFICIAL'!W15)-'BRAWLERS OFICIAL'!W15)/($BN15)</f>
        <v>0</v>
      </c>
      <c r="X15" s="101">
        <f>(((5 + 2 + 3)/3)-'BRAWLERS OFICIAL'!X15)</f>
        <v>3.3333333333333335</v>
      </c>
      <c r="Y15" s="101">
        <f>((9 + 'BRAWLERS OFICIAL'!Y15)-'BRAWLERS OFICIAL'!Y15)/($BN15)</f>
        <v>2.1599999999999997</v>
      </c>
      <c r="Z15" s="101">
        <f>((1 + 'BRAWLERS OFICIAL'!Z15)-'BRAWLERS OFICIAL'!Z15)</f>
        <v>1</v>
      </c>
      <c r="AA15" s="101">
        <f>(((0)/4 + 'BRAWLERS OFICIAL'!AA15)-'BRAWLERS OFICIAL'!AA15)/($BN15)</f>
        <v>0</v>
      </c>
      <c r="AB15" s="101">
        <f>((3 + 'BRAWLERS OFICIAL'!AB15)-'BRAWLERS OFICIAL'!AB15)/($BN15)</f>
        <v>0.72</v>
      </c>
      <c r="AC15" s="101">
        <f>((0 + 'BRAWLERS OFICIAL'!AC15)-'BRAWLERS OFICIAL'!AC15)/($BN15)</f>
        <v>0</v>
      </c>
      <c r="AD15" s="101">
        <f>((0 + 'BRAWLERS OFICIAL'!AD15)-'BRAWLERS OFICIAL'!AD15)/($BN15)</f>
        <v>0</v>
      </c>
      <c r="AE15" s="101">
        <f>((0 + 'BRAWLERS OFICIAL'!AE15)-'BRAWLERS OFICIAL'!AE15)</f>
        <v>0</v>
      </c>
      <c r="AF15" s="101">
        <f>((0 + 'BRAWLERS OFICIAL'!AF15)-'BRAWLERS OFICIAL'!AF15)</f>
        <v>0</v>
      </c>
      <c r="AG15" s="101">
        <f>((0 + 'BRAWLERS OFICIAL'!AG15)-'BRAWLERS OFICIAL'!AG15)</f>
        <v>0</v>
      </c>
      <c r="AH15" s="101">
        <f>((0 + 'BRAWLERS OFICIAL'!AH15)-'BRAWLERS OFICIAL'!AH15)/($BN15)</f>
        <v>0</v>
      </c>
      <c r="AI15" s="101">
        <f>((0 + 'BRAWLERS OFICIAL'!AI15)-'BRAWLERS OFICIAL'!AI15)/($BN15)</f>
        <v>0</v>
      </c>
      <c r="AJ15" s="101">
        <f>(((BH15/5+1)*AI15 + 'BRAWLERS OFICIAL'!AJ15)-'BRAWLERS OFICIAL'!AJ15)/($BN15)</f>
        <v>0</v>
      </c>
      <c r="AK15" s="101">
        <f>IF( 0 = (1-1), (1-1), ((0 + 'BRAWLERS OFICIAL'!AK15)/1.5)-'BRAWLERS OFICIAL'!AK15 )</f>
        <v>0</v>
      </c>
      <c r="AL15" s="101">
        <f t="shared" si="0"/>
        <v>0</v>
      </c>
      <c r="AM15" s="101">
        <f>((0 + 'BRAWLERS OFICIAL'!AM15)-'BRAWLERS OFICIAL'!AM15)/($BN15)</f>
        <v>0</v>
      </c>
      <c r="AN15" s="101">
        <f>((0/1000 + 'BRAWLERS OFICIAL'!AN15)-'BRAWLERS OFICIAL'!AN15)</f>
        <v>0</v>
      </c>
      <c r="AO15" s="101">
        <f>((0 + 'BRAWLERS OFICIAL'!AO15)-'BRAWLERS OFICIAL'!AO15)</f>
        <v>0</v>
      </c>
      <c r="AP15" s="101">
        <f>IF( 0 = (1-1), (1-1), ((0 + 'BRAWLERS OFICIAL'!AP15)/1.5) )</f>
        <v>0</v>
      </c>
      <c r="AQ15" s="101">
        <f>IF( 0 = (1-1), (1-1), ((0 + 'BRAWLERS OFICIAL'!AQ15)/1.5) )</f>
        <v>0</v>
      </c>
      <c r="AR15" s="101">
        <f>IF( 0 = (1-1), (1-1), ((0 + 'BRAWLERS OFICIAL'!AR15)/2) )</f>
        <v>0</v>
      </c>
      <c r="AS15" s="101">
        <f>((0 + 'BRAWLERS OFICIAL'!AS15)-'BRAWLERS OFICIAL'!AS15)/($BN15)</f>
        <v>0</v>
      </c>
      <c r="AT15" s="101">
        <f>(((0)/4 + 'BRAWLERS OFICIAL'!AT15)-'BRAWLERS OFICIAL'!AT15)</f>
        <v>0</v>
      </c>
      <c r="AU15" s="101">
        <v>0</v>
      </c>
      <c r="AV15" s="100">
        <f>((( 0 )/3 + 'BRAWLERS OFICIAL'!AV15)-'BRAWLERS OFICIAL'!AV15)</f>
        <v>0</v>
      </c>
      <c r="AW15" s="100">
        <f>((( 0 )/2 + 'BRAWLERS OFICIAL'!AW15)-'BRAWLERS OFICIAL'!AW15)/($BN15)</f>
        <v>0</v>
      </c>
      <c r="AX15" s="100">
        <f>((( 0 )/2 + 'BRAWLERS OFICIAL'!AX15)-'BRAWLERS OFICIAL'!AX15)</f>
        <v>0</v>
      </c>
      <c r="AY15" s="100">
        <f>((( 0 )/3 + 'BRAWLERS OFICIAL'!AY15)-'BRAWLERS OFICIAL'!AY15)</f>
        <v>0</v>
      </c>
      <c r="AZ15" s="100">
        <f>((( 0 )/2 + 'BRAWLERS OFICIAL'!AZ15)-'BRAWLERS OFICIAL'!AZ15)/($BN15)</f>
        <v>0</v>
      </c>
      <c r="BA15" s="100">
        <f>((( 0 )/3 + 'BRAWLERS OFICIAL'!BA15)-'BRAWLERS OFICIAL'!BA15)</f>
        <v>0</v>
      </c>
      <c r="BB15" s="100">
        <f>((( 0 )/3 + 'BRAWLERS OFICIAL'!BB15)-'BRAWLERS OFICIAL'!BB15)</f>
        <v>0</v>
      </c>
      <c r="BC15" s="100">
        <f>((0 + 'BRAWLERS OFICIAL'!BC15)-'BRAWLERS OFICIAL'!BC15)/($BN15)</f>
        <v>0</v>
      </c>
      <c r="BD15" s="100">
        <f>((0 + 'BRAWLERS OFICIAL'!BD15)-'BRAWLERS OFICIAL'!BD15)/($BN15)</f>
        <v>0</v>
      </c>
      <c r="BE15" s="100">
        <f>((( 0 )/2 + 'BRAWLERS OFICIAL'!BE15)-'BRAWLERS OFICIAL'!BE15)</f>
        <v>0</v>
      </c>
      <c r="BF15" s="100">
        <f>((2 + 'BRAWLERS OFICIAL'!BF15)-'BRAWLERS OFICIAL'!BF15)/($BN15)</f>
        <v>0.48</v>
      </c>
      <c r="BG15" s="100">
        <f>((( 0 )/2 + 'BRAWLERS OFICIAL'!BG15)-'BRAWLERS OFICIAL'!BG15)</f>
        <v>0</v>
      </c>
      <c r="BH15" s="100">
        <f>((( 0 )/3 + 'BRAWLERS OFICIAL'!BH15)-'BRAWLERS OFICIAL'!BH15)</f>
        <v>0</v>
      </c>
      <c r="BI15" s="100">
        <f>((( 0 )/2 + 'BRAWLERS OFICIAL'!BI15)-'BRAWLERS OFICIAL'!BI15)</f>
        <v>0</v>
      </c>
      <c r="BJ15" s="100">
        <f>((3 + 'BRAWLERS OFICIAL'!BJ15)-'BRAWLERS OFICIAL'!BJ15)/($BN15)</f>
        <v>0.72</v>
      </c>
      <c r="BK15" s="100">
        <f>((0 + 'BRAWLERS OFICIAL'!BK15)-'BRAWLERS OFICIAL'!BK15)/($BN15)</f>
        <v>0</v>
      </c>
      <c r="BL15" s="100">
        <f>((0 + 'BRAWLERS OFICIAL'!BL15)-'BRAWLERS OFICIAL'!BL15)/($BN15)</f>
        <v>0</v>
      </c>
      <c r="BN15" s="100">
        <f>('BRAWLERS OFICIAL'!D15 / 'BRAWLERS OFICIAL'!H15 / (1 + ('BRAWLERS OFICIAL'!Y15/5)))</f>
        <v>4.166666666666667</v>
      </c>
    </row>
    <row r="16" spans="1:66">
      <c r="B16" s="97" t="s">
        <v>468</v>
      </c>
      <c r="C16" s="70" t="s">
        <v>77</v>
      </c>
      <c r="D16" s="100">
        <f>(0 + 'BRAWLERS OFICIAL'!D16)-'BRAWLERS OFICIAL'!D16</f>
        <v>0</v>
      </c>
      <c r="E16" s="100">
        <f>(0 + 'BRAWLERS OFICIAL'!E16)-'BRAWLERS OFICIAL'!E16</f>
        <v>0</v>
      </c>
      <c r="F16" s="100">
        <f>(0 + 'BRAWLERS OFICIAL'!F16)-'BRAWLERS OFICIAL'!F16</f>
        <v>0</v>
      </c>
      <c r="G16" s="100">
        <f>(0 + 'BRAWLERS OFICIAL'!G16)-'BRAWLERS OFICIAL'!G16</f>
        <v>0</v>
      </c>
      <c r="H16" s="100">
        <f>(0 + 'BRAWLERS OFICIAL'!H16)-'BRAWLERS OFICIAL'!H16</f>
        <v>0</v>
      </c>
      <c r="I16" s="100">
        <f>(0 + 'BRAWLERS OFICIAL'!I16)-'BRAWLERS OFICIAL'!I16</f>
        <v>0</v>
      </c>
      <c r="J16" s="100">
        <f>(0 + 'BRAWLERS OFICIAL'!J16)-'BRAWLERS OFICIAL'!J16</f>
        <v>0</v>
      </c>
      <c r="K16" s="100">
        <f>(0 + 'BRAWLERS OFICIAL'!K16)-'BRAWLERS OFICIAL'!K16</f>
        <v>0</v>
      </c>
      <c r="L16" s="100">
        <f>(0 + 'BRAWLERS OFICIAL'!L16)-'BRAWLERS OFICIAL'!L16</f>
        <v>0</v>
      </c>
      <c r="M16" s="100">
        <f>(0 + 'BRAWLERS OFICIAL'!M16)-'BRAWLERS OFICIAL'!M16</f>
        <v>0</v>
      </c>
      <c r="N16" s="100">
        <f>(0 + 'BRAWLERS OFICIAL'!N16)-'BRAWLERS OFICIAL'!N16</f>
        <v>0</v>
      </c>
      <c r="O16" s="100">
        <f>(0 + 'BRAWLERS OFICIAL'!O16)-'BRAWLERS OFICIAL'!O16</f>
        <v>0</v>
      </c>
      <c r="P16" s="100">
        <f>(0 + 'BRAWLERS OFICIAL'!P16)-'BRAWLERS OFICIAL'!P16</f>
        <v>0</v>
      </c>
      <c r="Q16" s="100">
        <f>(0 + 'BRAWLERS OFICIAL'!Q16)-'BRAWLERS OFICIAL'!Q16</f>
        <v>0</v>
      </c>
      <c r="R16" s="100">
        <f>(0 + 'BRAWLERS OFICIAL'!R16)-'BRAWLERS OFICIAL'!R16</f>
        <v>0</v>
      </c>
      <c r="S16" s="100">
        <f>(0 + 'BRAWLERS OFICIAL'!S16)-'BRAWLERS OFICIAL'!S16</f>
        <v>0</v>
      </c>
      <c r="T16" s="100">
        <f>(0 + 'BRAWLERS OFICIAL'!T16)-'BRAWLERS OFICIAL'!T16</f>
        <v>0</v>
      </c>
      <c r="U16" s="100">
        <f>(0 + 'BRAWLERS OFICIAL'!U16)-'BRAWLERS OFICIAL'!U16</f>
        <v>0</v>
      </c>
      <c r="V16" s="103">
        <f>(( 'BRAWLERS OFICIAL'!V16/20*7/10 + 'BRAWLERS OFICIAL'!V16 + AN16 + AV16/3.5 )-'BRAWLERS OFICIAL'!V16)/($BN16)</f>
        <v>0.25666666666666682</v>
      </c>
      <c r="W16" s="101">
        <f>((2 + 'BRAWLERS OFICIAL'!W16)-'BRAWLERS OFICIAL'!W16)/($BN16)</f>
        <v>2</v>
      </c>
      <c r="X16" s="101">
        <f>((9 + 4 + 6)/3-'BRAWLERS OFICIAL'!X16)</f>
        <v>0.5</v>
      </c>
      <c r="Y16" s="101">
        <f>((0 + 'BRAWLERS OFICIAL'!Y16)-'BRAWLERS OFICIAL'!Y16)/($BN16)</f>
        <v>0</v>
      </c>
      <c r="Z16" s="101">
        <f>((0 + 'BRAWLERS OFICIAL'!Z16)-'BRAWLERS OFICIAL'!Z16)</f>
        <v>0</v>
      </c>
      <c r="AA16" s="101">
        <f>(((0)/4 + 'BRAWLERS OFICIAL'!AA16)-'BRAWLERS OFICIAL'!AA16)/($BN16)</f>
        <v>0</v>
      </c>
      <c r="AB16" s="101">
        <f>((0 + 'BRAWLERS OFICIAL'!AB16)-'BRAWLERS OFICIAL'!AB16)/($BN16)</f>
        <v>0</v>
      </c>
      <c r="AC16" s="101">
        <f>((0 + 'BRAWLERS OFICIAL'!AC16)-'BRAWLERS OFICIAL'!AC16)/($BN16)</f>
        <v>0</v>
      </c>
      <c r="AD16" s="101">
        <f>((0 + 'BRAWLERS OFICIAL'!AD16)-'BRAWLERS OFICIAL'!AD16)/($BN16)</f>
        <v>0</v>
      </c>
      <c r="AE16" s="101">
        <f>((0 + 'BRAWLERS OFICIAL'!AE16)-'BRAWLERS OFICIAL'!AE16)</f>
        <v>0</v>
      </c>
      <c r="AF16" s="101">
        <f>((0 + 'BRAWLERS OFICIAL'!AF16)-'BRAWLERS OFICIAL'!AF16)</f>
        <v>0</v>
      </c>
      <c r="AG16" s="101">
        <f>((0 + 'BRAWLERS OFICIAL'!AG16)-'BRAWLERS OFICIAL'!AG16)</f>
        <v>0</v>
      </c>
      <c r="AH16" s="101">
        <f>((0 + 'BRAWLERS OFICIAL'!AH16)-'BRAWLERS OFICIAL'!AH16)/($BN16)</f>
        <v>0</v>
      </c>
      <c r="AI16" s="101">
        <f>((1 + 'BRAWLERS OFICIAL'!AI16)-'BRAWLERS OFICIAL'!AI16)/($BN16)</f>
        <v>1</v>
      </c>
      <c r="AJ16" s="101">
        <f>(((BH16/5+1)*AI16 + 'BRAWLERS OFICIAL'!AJ16)-'BRAWLERS OFICIAL'!AJ16)/($BN16)</f>
        <v>1</v>
      </c>
      <c r="AK16" s="101">
        <f>IF( 0 = (1-1), (1-1), ((0 + 'BRAWLERS OFICIAL'!AK16)/1.5)-'BRAWLERS OFICIAL'!AK16 )</f>
        <v>0</v>
      </c>
      <c r="AL16" s="101">
        <f t="shared" si="0"/>
        <v>0</v>
      </c>
      <c r="AM16" s="101">
        <f>((0 + 'BRAWLERS OFICIAL'!AM16)-'BRAWLERS OFICIAL'!AM16)/($BN16)</f>
        <v>0</v>
      </c>
      <c r="AN16" s="101">
        <f>((0/1000 + 'BRAWLERS OFICIAL'!AN16)-'BRAWLERS OFICIAL'!AN16)</f>
        <v>0</v>
      </c>
      <c r="AO16" s="101">
        <f>((0 + 'BRAWLERS OFICIAL'!AO16)-'BRAWLERS OFICIAL'!AO16)</f>
        <v>0</v>
      </c>
      <c r="AP16" s="101">
        <f>IF( 0 = (1-1), (1-1), ((0 + 'BRAWLERS OFICIAL'!AP16)/1.5) )</f>
        <v>0</v>
      </c>
      <c r="AQ16" s="101">
        <f>IF( 0 = (1-1), (1-1), ((0 + 'BRAWLERS OFICIAL'!AQ16)/1.5) )</f>
        <v>0</v>
      </c>
      <c r="AR16" s="101">
        <f>IF( 0 = (1-1), (1-1), ((0 + 'BRAWLERS OFICIAL'!AR16)/2) )</f>
        <v>0</v>
      </c>
      <c r="AS16" s="101">
        <f>((0 + 'BRAWLERS OFICIAL'!AS16)-'BRAWLERS OFICIAL'!AS16)/($BN16)</f>
        <v>0</v>
      </c>
      <c r="AT16" s="101">
        <f>(((0)/4 + 'BRAWLERS OFICIAL'!AT16)-'BRAWLERS OFICIAL'!AT16)</f>
        <v>0</v>
      </c>
      <c r="AU16" s="101">
        <v>0</v>
      </c>
      <c r="AV16" s="100">
        <f>((( 0 )/3 + 'BRAWLERS OFICIAL'!AV16)-'BRAWLERS OFICIAL'!AV16)</f>
        <v>0</v>
      </c>
      <c r="AW16" s="100">
        <f>((( 0 )/2 + 'BRAWLERS OFICIAL'!AW16)-'BRAWLERS OFICIAL'!AW16)/($BN16)</f>
        <v>0</v>
      </c>
      <c r="AX16" s="100">
        <f>((( 0 )/2 + 'BRAWLERS OFICIAL'!AX16)-'BRAWLERS OFICIAL'!AX16)</f>
        <v>0</v>
      </c>
      <c r="AY16" s="100">
        <f>((( 0 )/3 + 'BRAWLERS OFICIAL'!AY16)-'BRAWLERS OFICIAL'!AY16)</f>
        <v>0</v>
      </c>
      <c r="AZ16" s="100">
        <f>((( 0 )/2 + 'BRAWLERS OFICIAL'!AZ16)-'BRAWLERS OFICIAL'!AZ16)/($BN16)</f>
        <v>0</v>
      </c>
      <c r="BA16" s="100">
        <f>((( 0 )/3 + 'BRAWLERS OFICIAL'!BA16)-'BRAWLERS OFICIAL'!BA16)</f>
        <v>0</v>
      </c>
      <c r="BB16" s="100">
        <f>((( 0 )/3 + 'BRAWLERS OFICIAL'!BB16)-'BRAWLERS OFICIAL'!BB16)</f>
        <v>0</v>
      </c>
      <c r="BC16" s="100">
        <f>((0 + 'BRAWLERS OFICIAL'!BC16)-'BRAWLERS OFICIAL'!BC16)/($BN16)</f>
        <v>0</v>
      </c>
      <c r="BD16" s="100">
        <f>((0 + 'BRAWLERS OFICIAL'!BD16)-'BRAWLERS OFICIAL'!BD16)/($BN16)</f>
        <v>0</v>
      </c>
      <c r="BE16" s="100">
        <f>((( 0 )/2 + 'BRAWLERS OFICIAL'!BE16)-'BRAWLERS OFICIAL'!BE16)</f>
        <v>0</v>
      </c>
      <c r="BF16" s="100">
        <f>((0 + 'BRAWLERS OFICIAL'!BF16)-'BRAWLERS OFICIAL'!BF16)/($BN16)</f>
        <v>0</v>
      </c>
      <c r="BG16" s="100">
        <f>((( 0 )/2 + 'BRAWLERS OFICIAL'!BG16)-'BRAWLERS OFICIAL'!BG16)</f>
        <v>0</v>
      </c>
      <c r="BH16" s="100">
        <f>((( 0 )/3 + 'BRAWLERS OFICIAL'!BH16)-'BRAWLERS OFICIAL'!BH16)</f>
        <v>0</v>
      </c>
      <c r="BI16" s="100">
        <f>((( 0 )/2 + 'BRAWLERS OFICIAL'!BI16)-'BRAWLERS OFICIAL'!BI16)</f>
        <v>0</v>
      </c>
      <c r="BJ16" s="100">
        <f>((0 + 'BRAWLERS OFICIAL'!BJ16)-'BRAWLERS OFICIAL'!BJ16)/($BN16)</f>
        <v>0</v>
      </c>
      <c r="BK16" s="100">
        <f>((0 + 'BRAWLERS OFICIAL'!BK16)-'BRAWLERS OFICIAL'!BK16)/($BN16)</f>
        <v>0</v>
      </c>
      <c r="BL16" s="100">
        <f>((0 + 'BRAWLERS OFICIAL'!BL16)-'BRAWLERS OFICIAL'!BL16)/($BN16)</f>
        <v>0</v>
      </c>
      <c r="BN16" s="100">
        <v>1</v>
      </c>
    </row>
    <row r="17" spans="2:66">
      <c r="B17" s="97" t="s">
        <v>217</v>
      </c>
      <c r="C17" s="98" t="s">
        <v>101</v>
      </c>
      <c r="D17" s="100">
        <f>(0 + 'BRAWLERS OFICIAL'!D17)-'BRAWLERS OFICIAL'!D17</f>
        <v>0</v>
      </c>
      <c r="E17" s="100">
        <f>(0 + 'BRAWLERS OFICIAL'!E17)-'BRAWLERS OFICIAL'!E17</f>
        <v>0</v>
      </c>
      <c r="F17" s="100">
        <f>(0 + 'BRAWLERS OFICIAL'!F17)-'BRAWLERS OFICIAL'!F17</f>
        <v>0</v>
      </c>
      <c r="G17" s="100">
        <f>('BRAWLERS OFICIAL'!G17/100*9 + 'BRAWLERS OFICIAL'!G17)-'BRAWLERS OFICIAL'!G17</f>
        <v>8.6624999999999952E-2</v>
      </c>
      <c r="H17" s="100">
        <f>(0 + 'BRAWLERS OFICIAL'!H17)-'BRAWLERS OFICIAL'!H17</f>
        <v>0</v>
      </c>
      <c r="I17" s="100">
        <f>(0 + 'BRAWLERS OFICIAL'!I17)-'BRAWLERS OFICIAL'!I17</f>
        <v>0</v>
      </c>
      <c r="J17" s="100">
        <f>(0 + 'BRAWLERS OFICIAL'!J17)-'BRAWLERS OFICIAL'!J17</f>
        <v>0</v>
      </c>
      <c r="K17" s="100">
        <f>(0 + 'BRAWLERS OFICIAL'!K17)-'BRAWLERS OFICIAL'!K17</f>
        <v>0</v>
      </c>
      <c r="L17" s="100">
        <f>(0 + 'BRAWLERS OFICIAL'!L17)-'BRAWLERS OFICIAL'!L17</f>
        <v>0</v>
      </c>
      <c r="M17" s="100">
        <f>(0 + 'BRAWLERS OFICIAL'!M17)-'BRAWLERS OFICIAL'!M17</f>
        <v>0</v>
      </c>
      <c r="N17" s="100">
        <f>(0 + 'BRAWLERS OFICIAL'!N17)-'BRAWLERS OFICIAL'!N17</f>
        <v>0</v>
      </c>
      <c r="O17" s="100">
        <f>(0 + 'BRAWLERS OFICIAL'!O17)-'BRAWLERS OFICIAL'!O17</f>
        <v>0</v>
      </c>
      <c r="P17" s="100">
        <f>(0 + 'BRAWLERS OFICIAL'!P17)-'BRAWLERS OFICIAL'!P17</f>
        <v>0</v>
      </c>
      <c r="Q17" s="100">
        <f>(0 + 'BRAWLERS OFICIAL'!Q17)-'BRAWLERS OFICIAL'!Q17</f>
        <v>0</v>
      </c>
      <c r="R17" s="100">
        <f>(0 + 'BRAWLERS OFICIAL'!R17)-'BRAWLERS OFICIAL'!R17</f>
        <v>0</v>
      </c>
      <c r="S17" s="100">
        <f>(0 + 'BRAWLERS OFICIAL'!S17)-'BRAWLERS OFICIAL'!S17</f>
        <v>0</v>
      </c>
      <c r="T17" s="100">
        <f>(0 + 'BRAWLERS OFICIAL'!T17)-'BRAWLERS OFICIAL'!T17</f>
        <v>0</v>
      </c>
      <c r="U17" s="100">
        <f>(0 + 'BRAWLERS OFICIAL'!U17)-'BRAWLERS OFICIAL'!U17</f>
        <v>0</v>
      </c>
      <c r="V17" s="103">
        <f>(( 0 + 'BRAWLERS OFICIAL'!V17 + AN17 + AV17/3.5 )-'BRAWLERS OFICIAL'!V17)/($BN17)</f>
        <v>0</v>
      </c>
      <c r="W17" s="101">
        <f>((0 + 'BRAWLERS OFICIAL'!W17)-'BRAWLERS OFICIAL'!W17)/($BN17)</f>
        <v>0</v>
      </c>
      <c r="X17" s="101">
        <f>(((0)/3 + 'BRAWLERS OFICIAL'!X17)-'BRAWLERS OFICIAL'!X17)</f>
        <v>0</v>
      </c>
      <c r="Y17" s="101">
        <f>((0 + 'BRAWLERS OFICIAL'!Y17)-'BRAWLERS OFICIAL'!Y17)/($BN17)</f>
        <v>0</v>
      </c>
      <c r="Z17" s="101">
        <f>((0 + 'BRAWLERS OFICIAL'!Z17)-'BRAWLERS OFICIAL'!Z17)</f>
        <v>0</v>
      </c>
      <c r="AA17" s="101">
        <f>(((0)/4 + 'BRAWLERS OFICIAL'!AA17)-'BRAWLERS OFICIAL'!AA17)/($BN17)</f>
        <v>0</v>
      </c>
      <c r="AB17" s="101">
        <f>((0 + 'BRAWLERS OFICIAL'!AB17)-'BRAWLERS OFICIAL'!AB17)/($BN17)</f>
        <v>0</v>
      </c>
      <c r="AC17" s="101">
        <f>((0 + 'BRAWLERS OFICIAL'!AC17)-'BRAWLERS OFICIAL'!AC17)/($BN17)</f>
        <v>0</v>
      </c>
      <c r="AD17" s="101">
        <f>((0 + 'BRAWLERS OFICIAL'!AD17)-'BRAWLERS OFICIAL'!AD17)/($BN17)</f>
        <v>0</v>
      </c>
      <c r="AE17" s="101">
        <f>((0 + 'BRAWLERS OFICIAL'!AE17)-'BRAWLERS OFICIAL'!AE17)</f>
        <v>0</v>
      </c>
      <c r="AF17" s="101">
        <f>((0 + 'BRAWLERS OFICIAL'!AF17)-'BRAWLERS OFICIAL'!AF17)</f>
        <v>0</v>
      </c>
      <c r="AG17" s="101">
        <f>((0 + 'BRAWLERS OFICIAL'!AG17)-'BRAWLERS OFICIAL'!AG17)</f>
        <v>0</v>
      </c>
      <c r="AH17" s="101">
        <f>((0 + 'BRAWLERS OFICIAL'!AH17)-'BRAWLERS OFICIAL'!AH17)/($BN17)</f>
        <v>0</v>
      </c>
      <c r="AI17" s="101">
        <f>((0 + 'BRAWLERS OFICIAL'!AI17)-'BRAWLERS OFICIAL'!AI17)/($BN17)</f>
        <v>0</v>
      </c>
      <c r="AJ17" s="101">
        <f>(((BH17/5+1)*AI17 + 'BRAWLERS OFICIAL'!AJ17)-'BRAWLERS OFICIAL'!AJ17)/($BN17)</f>
        <v>0</v>
      </c>
      <c r="AK17" s="101">
        <f>IF( 0 = (1-1), (1-1), ((0 + 'BRAWLERS OFICIAL'!AK17)/1.5)-'BRAWLERS OFICIAL'!AK17 )</f>
        <v>0</v>
      </c>
      <c r="AL17" s="101">
        <f t="shared" si="0"/>
        <v>0</v>
      </c>
      <c r="AM17" s="101">
        <f>((0 + 'BRAWLERS OFICIAL'!AM17)-'BRAWLERS OFICIAL'!AM17)/($BN17)</f>
        <v>0</v>
      </c>
      <c r="AN17" s="101">
        <f>((0/1000 + 'BRAWLERS OFICIAL'!AN17)-'BRAWLERS OFICIAL'!AN17)</f>
        <v>0</v>
      </c>
      <c r="AO17" s="101">
        <f>((0 + 'BRAWLERS OFICIAL'!AO17)-'BRAWLERS OFICIAL'!AO17)</f>
        <v>0</v>
      </c>
      <c r="AP17" s="101">
        <f>IF( 0 = (1-1), (1-1), ((0 + 'BRAWLERS OFICIAL'!AP17)/1.5) )</f>
        <v>0</v>
      </c>
      <c r="AQ17" s="101">
        <f>IF( 0 = (1-1), (1-1), ((0 + 'BRAWLERS OFICIAL'!AQ17)/1.5) )</f>
        <v>0</v>
      </c>
      <c r="AR17" s="101">
        <f>IF( 0 = (1-1), (1-1), ((0 + 'BRAWLERS OFICIAL'!AR17)/2) )</f>
        <v>0</v>
      </c>
      <c r="AS17" s="101">
        <f>((0 + 'BRAWLERS OFICIAL'!AS17)-'BRAWLERS OFICIAL'!AS17)/($BN17)</f>
        <v>0</v>
      </c>
      <c r="AT17" s="101">
        <f>(((0)/4 + 'BRAWLERS OFICIAL'!AT17)-'BRAWLERS OFICIAL'!AT17)</f>
        <v>0</v>
      </c>
      <c r="AU17" s="101">
        <v>0</v>
      </c>
      <c r="AV17" s="100">
        <f>((( 0 )/3 + 'BRAWLERS OFICIAL'!AV17)-'BRAWLERS OFICIAL'!AV17)</f>
        <v>0</v>
      </c>
      <c r="AW17" s="100">
        <f>((( 0 )/2 + 'BRAWLERS OFICIAL'!AW17)-'BRAWLERS OFICIAL'!AW17)/($BN17)</f>
        <v>0</v>
      </c>
      <c r="AX17" s="100">
        <f>((( 0 )/2 + 'BRAWLERS OFICIAL'!AX17)-'BRAWLERS OFICIAL'!AX17)</f>
        <v>0</v>
      </c>
      <c r="AY17" s="100">
        <f>((( 0 )/3 + 'BRAWLERS OFICIAL'!AY17)-'BRAWLERS OFICIAL'!AY17)</f>
        <v>0</v>
      </c>
      <c r="AZ17" s="100">
        <f>((( 0 )/2 + 'BRAWLERS OFICIAL'!AZ17)-'BRAWLERS OFICIAL'!AZ17)/($BN17)</f>
        <v>0</v>
      </c>
      <c r="BA17" s="100">
        <f>((( 0 )/3 + 'BRAWLERS OFICIAL'!BA17)-'BRAWLERS OFICIAL'!BA17)</f>
        <v>0</v>
      </c>
      <c r="BB17" s="100">
        <f>((( 0 )/3 + 'BRAWLERS OFICIAL'!BB17)-'BRAWLERS OFICIAL'!BB17)</f>
        <v>0</v>
      </c>
      <c r="BC17" s="100">
        <f>((0 + 'BRAWLERS OFICIAL'!BC17)-'BRAWLERS OFICIAL'!BC17)/($BN17)</f>
        <v>0</v>
      </c>
      <c r="BD17" s="100">
        <f>((0 + 'BRAWLERS OFICIAL'!BD17)-'BRAWLERS OFICIAL'!BD17)/($BN17)</f>
        <v>0</v>
      </c>
      <c r="BE17" s="100">
        <f>((( 0 )/2 + 'BRAWLERS OFICIAL'!BE17)-'BRAWLERS OFICIAL'!BE17)</f>
        <v>0</v>
      </c>
      <c r="BF17" s="100">
        <f>((0 + 'BRAWLERS OFICIAL'!BF17)-'BRAWLERS OFICIAL'!BF17)/($BN17)</f>
        <v>0</v>
      </c>
      <c r="BG17" s="100">
        <f>((( 0 )/2 + 'BRAWLERS OFICIAL'!BG17)-'BRAWLERS OFICIAL'!BG17)</f>
        <v>0</v>
      </c>
      <c r="BH17" s="100">
        <f>((( 0 )/3 + 'BRAWLERS OFICIAL'!BH17)-'BRAWLERS OFICIAL'!BH17)</f>
        <v>0</v>
      </c>
      <c r="BI17" s="100">
        <f>((( 0 )/2 + 'BRAWLERS OFICIAL'!BI17)-'BRAWLERS OFICIAL'!BI17)</f>
        <v>0</v>
      </c>
      <c r="BJ17" s="100">
        <f>((0 + 'BRAWLERS OFICIAL'!BJ17)-'BRAWLERS OFICIAL'!BJ17)/($BN17)</f>
        <v>0</v>
      </c>
      <c r="BK17" s="100">
        <f>((0 + 'BRAWLERS OFICIAL'!BK17)-'BRAWLERS OFICIAL'!BK17)/($BN17)</f>
        <v>0</v>
      </c>
      <c r="BL17" s="100">
        <f>((0 + 'BRAWLERS OFICIAL'!BL17)-'BRAWLERS OFICIAL'!BL17)/($BN17)</f>
        <v>0</v>
      </c>
      <c r="BN17" s="100">
        <v>1</v>
      </c>
    </row>
    <row r="18" spans="2:66">
      <c r="B18" s="97" t="s">
        <v>469</v>
      </c>
      <c r="C18" s="70" t="s">
        <v>57</v>
      </c>
      <c r="D18" s="100">
        <f>(0 + 'BRAWLERS OFICIAL'!D18)-'BRAWLERS OFICIAL'!D18</f>
        <v>0</v>
      </c>
      <c r="E18" s="100">
        <f>(0 + 'BRAWLERS OFICIAL'!E18)-'BRAWLERS OFICIAL'!E18</f>
        <v>0</v>
      </c>
      <c r="F18" s="100">
        <f>(0 + 'BRAWLERS OFICIAL'!F18)-'BRAWLERS OFICIAL'!F18</f>
        <v>0</v>
      </c>
      <c r="G18" s="100">
        <f>(0 + 'BRAWLERS OFICIAL'!G18)-'BRAWLERS OFICIAL'!G18</f>
        <v>0</v>
      </c>
      <c r="H18" s="100">
        <f>(0 + 'BRAWLERS OFICIAL'!H18)-'BRAWLERS OFICIAL'!H18</f>
        <v>0</v>
      </c>
      <c r="I18" s="100">
        <f>(0 + 'BRAWLERS OFICIAL'!I18)-'BRAWLERS OFICIAL'!I18</f>
        <v>0</v>
      </c>
      <c r="J18" s="100">
        <f>(0 + 'BRAWLERS OFICIAL'!J18)-'BRAWLERS OFICIAL'!J18</f>
        <v>0</v>
      </c>
      <c r="K18" s="100">
        <f>(0 + 'BRAWLERS OFICIAL'!K18)-'BRAWLERS OFICIAL'!K18</f>
        <v>0</v>
      </c>
      <c r="L18" s="100">
        <f>(0 + 'BRAWLERS OFICIAL'!L18)-'BRAWLERS OFICIAL'!L18</f>
        <v>0</v>
      </c>
      <c r="M18" s="100">
        <f>(0 + 'BRAWLERS OFICIAL'!M18)-'BRAWLERS OFICIAL'!M18</f>
        <v>0</v>
      </c>
      <c r="N18" s="100">
        <f>(0 + 'BRAWLERS OFICIAL'!N18)-'BRAWLERS OFICIAL'!N18</f>
        <v>0</v>
      </c>
      <c r="O18" s="100">
        <f>(0 + 'BRAWLERS OFICIAL'!O18)-'BRAWLERS OFICIAL'!O18</f>
        <v>0</v>
      </c>
      <c r="P18" s="100">
        <f>(0 + 'BRAWLERS OFICIAL'!P18)-'BRAWLERS OFICIAL'!P18</f>
        <v>0</v>
      </c>
      <c r="Q18" s="100">
        <f>(0 + 'BRAWLERS OFICIAL'!Q18)-'BRAWLERS OFICIAL'!Q18</f>
        <v>0</v>
      </c>
      <c r="R18" s="100">
        <f>(0 + 'BRAWLERS OFICIAL'!R18)-'BRAWLERS OFICIAL'!R18</f>
        <v>0</v>
      </c>
      <c r="S18" s="100">
        <f>(0 + 'BRAWLERS OFICIAL'!S18)-'BRAWLERS OFICIAL'!S18</f>
        <v>0</v>
      </c>
      <c r="T18" s="100">
        <f>(0 + 'BRAWLERS OFICIAL'!T18)-'BRAWLERS OFICIAL'!T18</f>
        <v>0</v>
      </c>
      <c r="U18" s="100">
        <f>(0 + 'BRAWLERS OFICIAL'!U18)-'BRAWLERS OFICIAL'!U18</f>
        <v>0</v>
      </c>
      <c r="V18" s="103">
        <f>(( 0 + 'BRAWLERS OFICIAL'!V18 + AN18 + AV18/3.5 )-'BRAWLERS OFICIAL'!V18)/($BN18)</f>
        <v>0</v>
      </c>
      <c r="W18" s="101">
        <f>((0 + 'BRAWLERS OFICIAL'!W18)-'BRAWLERS OFICIAL'!W18)/($BN18)</f>
        <v>0</v>
      </c>
      <c r="X18" s="101">
        <f>(((0)/3 + 'BRAWLERS OFICIAL'!X18)-'BRAWLERS OFICIAL'!X18)</f>
        <v>0</v>
      </c>
      <c r="Y18" s="101">
        <f>((0 + 'BRAWLERS OFICIAL'!Y18)-'BRAWLERS OFICIAL'!Y18)/($BN18)</f>
        <v>0</v>
      </c>
      <c r="Z18" s="101">
        <f>((0 + 'BRAWLERS OFICIAL'!Z18)-'BRAWLERS OFICIAL'!Z18)</f>
        <v>0</v>
      </c>
      <c r="AA18" s="101">
        <f>(((0)/4 + 'BRAWLERS OFICIAL'!AA18)-'BRAWLERS OFICIAL'!AA18)/($BN18)</f>
        <v>0</v>
      </c>
      <c r="AB18" s="101">
        <f>((0 + 'BRAWLERS OFICIAL'!AB18)-'BRAWLERS OFICIAL'!AB18)/($BN18)</f>
        <v>0</v>
      </c>
      <c r="AC18" s="101">
        <f>((0 + 'BRAWLERS OFICIAL'!AC18)-'BRAWLERS OFICIAL'!AC18)/($BN18)</f>
        <v>0</v>
      </c>
      <c r="AD18" s="101">
        <f>((0 + 'BRAWLERS OFICIAL'!AD18)-'BRAWLERS OFICIAL'!AD18)/($BN18)</f>
        <v>0</v>
      </c>
      <c r="AE18" s="101">
        <f>((0 + 'BRAWLERS OFICIAL'!AE18)-'BRAWLERS OFICIAL'!AE18)</f>
        <v>0</v>
      </c>
      <c r="AF18" s="101">
        <f>((0 + 'BRAWLERS OFICIAL'!AF18)-'BRAWLERS OFICIAL'!AF18)</f>
        <v>0</v>
      </c>
      <c r="AG18" s="101">
        <f>((0 + 'BRAWLERS OFICIAL'!AG18)-'BRAWLERS OFICIAL'!AG18)</f>
        <v>0</v>
      </c>
      <c r="AH18" s="101">
        <f>((0 + 'BRAWLERS OFICIAL'!AH18)-'BRAWLERS OFICIAL'!AH18)/($BN18)</f>
        <v>0</v>
      </c>
      <c r="AI18" s="101">
        <f>((0 + 'BRAWLERS OFICIAL'!AI18)-'BRAWLERS OFICIAL'!AI18)/($BN18)</f>
        <v>0</v>
      </c>
      <c r="AJ18" s="101">
        <f>(((BH18/5+1)*AI18 + 'BRAWLERS OFICIAL'!AJ18)-'BRAWLERS OFICIAL'!AJ18)/($BN18)</f>
        <v>0</v>
      </c>
      <c r="AK18" s="101">
        <f>IF( 0 = (1-1), (1-1), ((0 + 'BRAWLERS OFICIAL'!AK18)/1.5)-'BRAWLERS OFICIAL'!AK18 )</f>
        <v>0</v>
      </c>
      <c r="AL18" s="101">
        <f t="shared" ref="AL18:AL20" si="1">IF( 0 = (1-1), (1-1), ( 0 ) )</f>
        <v>0</v>
      </c>
      <c r="AM18" s="101">
        <f>((0 + 'BRAWLERS OFICIAL'!AM18)-'BRAWLERS OFICIAL'!AM18)/($BN18)</f>
        <v>0</v>
      </c>
      <c r="AN18" s="101">
        <f>((0/1000 + 'BRAWLERS OFICIAL'!AN18)-'BRAWLERS OFICIAL'!AN18)</f>
        <v>0</v>
      </c>
      <c r="AO18" s="101">
        <f>((0 + 'BRAWLERS OFICIAL'!AO18)-'BRAWLERS OFICIAL'!AO18)</f>
        <v>0</v>
      </c>
      <c r="AP18" s="101">
        <f>IF( 0 = (1-1), (1-1), ((0 + 'BRAWLERS OFICIAL'!AP18)/1.5) )</f>
        <v>0</v>
      </c>
      <c r="AQ18" s="101">
        <f>IF( 0 = (1-1), (1-1), ((0 + 'BRAWLERS OFICIAL'!AQ18)/1.5) )</f>
        <v>0</v>
      </c>
      <c r="AR18" s="101">
        <f>IF( 0 = (1-1), (1-1), ((0 + 'BRAWLERS OFICIAL'!AR18)/2) )</f>
        <v>0</v>
      </c>
      <c r="AS18" s="101">
        <f>((0 + 'BRAWLERS OFICIAL'!AS18)-'BRAWLERS OFICIAL'!AS18)/($BN18)</f>
        <v>0</v>
      </c>
      <c r="AT18" s="101">
        <f>(((0)/4 + 'BRAWLERS OFICIAL'!AT18)-'BRAWLERS OFICIAL'!AT18)</f>
        <v>0</v>
      </c>
      <c r="AU18" s="101">
        <v>0</v>
      </c>
      <c r="AV18" s="100">
        <f>((( 0 )/3 + 'BRAWLERS OFICIAL'!AV18)-'BRAWLERS OFICIAL'!AV18)</f>
        <v>0</v>
      </c>
      <c r="AW18" s="100">
        <f>((( 0 )/2 + 'BRAWLERS OFICIAL'!AW18)-'BRAWLERS OFICIAL'!AW18)/($BN18)</f>
        <v>0</v>
      </c>
      <c r="AX18" s="100">
        <f>((( 0 )/2 + 'BRAWLERS OFICIAL'!AX18)-'BRAWLERS OFICIAL'!AX18)</f>
        <v>0</v>
      </c>
      <c r="AY18" s="100">
        <f>((( 0 )/3 + 'BRAWLERS OFICIAL'!AY18)-'BRAWLERS OFICIAL'!AY18)</f>
        <v>0</v>
      </c>
      <c r="AZ18" s="100">
        <f>((( 0 )/2 + 'BRAWLERS OFICIAL'!AZ18)-'BRAWLERS OFICIAL'!AZ18)/($BN18)</f>
        <v>0</v>
      </c>
      <c r="BA18" s="100">
        <f>((( 0 )/3 + 'BRAWLERS OFICIAL'!BA18)-'BRAWLERS OFICIAL'!BA18)</f>
        <v>0</v>
      </c>
      <c r="BB18" s="100">
        <f>((( 0 )/3 + 'BRAWLERS OFICIAL'!BB18)-'BRAWLERS OFICIAL'!BB18)</f>
        <v>0</v>
      </c>
      <c r="BC18" s="100">
        <f>((0 + 'BRAWLERS OFICIAL'!BC18)-'BRAWLERS OFICIAL'!BC18)/($BN18)</f>
        <v>0</v>
      </c>
      <c r="BD18" s="100">
        <f>((0 + 'BRAWLERS OFICIAL'!BD18)-'BRAWLERS OFICIAL'!BD18)/($BN18)</f>
        <v>0</v>
      </c>
      <c r="BE18" s="100">
        <f>((( 0 )/2 + 'BRAWLERS OFICIAL'!BE18)-'BRAWLERS OFICIAL'!BE18)</f>
        <v>0</v>
      </c>
      <c r="BF18" s="100">
        <f>((0 + 'BRAWLERS OFICIAL'!BF18)-'BRAWLERS OFICIAL'!BF18)/($BN18)</f>
        <v>0</v>
      </c>
      <c r="BG18" s="100">
        <f>((( 0 )/2 + 'BRAWLERS OFICIAL'!BG18)-'BRAWLERS OFICIAL'!BG18)</f>
        <v>0</v>
      </c>
      <c r="BH18" s="100">
        <f>((( 3 + 5 + 2 )/3 + 'BRAWLERS OFICIAL'!BH18)-'BRAWLERS OFICIAL'!BH18)</f>
        <v>3.333333333333333</v>
      </c>
      <c r="BI18" s="100">
        <f>((( 0 )/2 + 'BRAWLERS OFICIAL'!BI18)-'BRAWLERS OFICIAL'!BI18)</f>
        <v>0</v>
      </c>
      <c r="BJ18" s="100">
        <f>((0 + 'BRAWLERS OFICIAL'!BJ18)-'BRAWLERS OFICIAL'!BJ18)/($BN18)</f>
        <v>0</v>
      </c>
      <c r="BK18" s="100">
        <f>((0 + 'BRAWLERS OFICIAL'!BK18)-'BRAWLERS OFICIAL'!BK18)/($BN18)</f>
        <v>0</v>
      </c>
      <c r="BL18" s="100">
        <f>((0 + 'BRAWLERS OFICIAL'!BL18)-'BRAWLERS OFICIAL'!BL18)/($BN18)</f>
        <v>0</v>
      </c>
      <c r="BN18" s="100">
        <f>('BRAWLERS OFICIAL'!D18 / 'BRAWLERS OFICIAL'!H18 / (1 + ('BRAWLERS OFICIAL'!Y18/5)))</f>
        <v>5.8333333333333339</v>
      </c>
    </row>
    <row r="19" spans="2:66">
      <c r="B19" s="97" t="s">
        <v>470</v>
      </c>
      <c r="C19" s="70" t="s">
        <v>40</v>
      </c>
      <c r="D19" s="100">
        <f>(0 + 'BRAWLERS OFICIAL'!D19)-'BRAWLERS OFICIAL'!D19</f>
        <v>0</v>
      </c>
      <c r="E19" s="100">
        <f>(0 + 'BRAWLERS OFICIAL'!E19)-'BRAWLERS OFICIAL'!E19</f>
        <v>0</v>
      </c>
      <c r="F19" s="100">
        <f>(0 + 'BRAWLERS OFICIAL'!F19)-'BRAWLERS OFICIAL'!F19</f>
        <v>0</v>
      </c>
      <c r="G19" s="100">
        <f>(0 + 'BRAWLERS OFICIAL'!G19)-'BRAWLERS OFICIAL'!G19</f>
        <v>0</v>
      </c>
      <c r="H19" s="100">
        <f>('BRAWLERS OFICIAL'!H19/5 + 'BRAWLERS OFICIAL'!H19)-'BRAWLERS OFICIAL'!H19</f>
        <v>0.60000000000000009</v>
      </c>
      <c r="I19" s="100">
        <f>('BRAWLERS OFICIAL'!I19/2/5 + 'BRAWLERS OFICIAL'!I19)-'BRAWLERS OFICIAL'!I19</f>
        <v>0.29999999999999982</v>
      </c>
      <c r="J19" s="100">
        <f>('BRAWLERS OFICIAL'!J19/2/5 + 'BRAWLERS OFICIAL'!J19)-'BRAWLERS OFICIAL'!J19</f>
        <v>0.25</v>
      </c>
      <c r="K19" s="100">
        <f>('BRAWLERS OFICIAL'!K19/2/5 + 'BRAWLERS OFICIAL'!K19)-'BRAWLERS OFICIAL'!K19</f>
        <v>0.14999999999999991</v>
      </c>
      <c r="L19" s="100">
        <f>(0 + 'BRAWLERS OFICIAL'!L19)-'BRAWLERS OFICIAL'!L19</f>
        <v>0</v>
      </c>
      <c r="M19" s="100">
        <f>(0 + 'BRAWLERS OFICIAL'!M19)-'BRAWLERS OFICIAL'!M19</f>
        <v>0</v>
      </c>
      <c r="N19" s="100">
        <f>(0 + 'BRAWLERS OFICIAL'!N19)-'BRAWLERS OFICIAL'!N19</f>
        <v>0</v>
      </c>
      <c r="O19" s="100">
        <f>(0 + 'BRAWLERS OFICIAL'!O19)-'BRAWLERS OFICIAL'!O19</f>
        <v>0</v>
      </c>
      <c r="P19" s="100">
        <f>(0 + 'BRAWLERS OFICIAL'!P19)-'BRAWLERS OFICIAL'!P19</f>
        <v>0</v>
      </c>
      <c r="Q19" s="100">
        <f>(0 + 'BRAWLERS OFICIAL'!Q19)-'BRAWLERS OFICIAL'!Q19</f>
        <v>0</v>
      </c>
      <c r="R19" s="100">
        <f>(0 + 'BRAWLERS OFICIAL'!R19)-'BRAWLERS OFICIAL'!R19</f>
        <v>0</v>
      </c>
      <c r="S19" s="100">
        <f>(0 + 'BRAWLERS OFICIAL'!S19)-'BRAWLERS OFICIAL'!S19</f>
        <v>0</v>
      </c>
      <c r="T19" s="100">
        <f>(0 + 'BRAWLERS OFICIAL'!T19)-'BRAWLERS OFICIAL'!T19</f>
        <v>0</v>
      </c>
      <c r="U19" s="100">
        <f>(0 + 'BRAWLERS OFICIAL'!U19)-'BRAWLERS OFICIAL'!U19</f>
        <v>0</v>
      </c>
      <c r="V19" s="103">
        <f>(( 0 + 'BRAWLERS OFICIAL'!V19 + AN19 + AV19/3.5 )-'BRAWLERS OFICIAL'!V19)/($BN19)</f>
        <v>0</v>
      </c>
      <c r="W19" s="101">
        <f>((0 + 'BRAWLERS OFICIAL'!W19)-'BRAWLERS OFICIAL'!W19)/($BN19)</f>
        <v>0</v>
      </c>
      <c r="X19" s="101">
        <f>(((0)/3 + 'BRAWLERS OFICIAL'!X19)-'BRAWLERS OFICIAL'!X19)</f>
        <v>0</v>
      </c>
      <c r="Y19" s="101">
        <f>((0 + 'BRAWLERS OFICIAL'!Y19)-'BRAWLERS OFICIAL'!Y19)/($BN19)</f>
        <v>0</v>
      </c>
      <c r="Z19" s="101">
        <f>((0 + 'BRAWLERS OFICIAL'!Z19)-'BRAWLERS OFICIAL'!Z19)</f>
        <v>0</v>
      </c>
      <c r="AA19" s="101">
        <f>(((0)/4 + 'BRAWLERS OFICIAL'!AA19)-'BRAWLERS OFICIAL'!AA19)/($BN19)</f>
        <v>0</v>
      </c>
      <c r="AB19" s="101">
        <f>((0 + 'BRAWLERS OFICIAL'!AB19)-'BRAWLERS OFICIAL'!AB19)/($BN19)</f>
        <v>0</v>
      </c>
      <c r="AC19" s="101">
        <f>((0 + 'BRAWLERS OFICIAL'!AC19)-'BRAWLERS OFICIAL'!AC19)/($BN19)</f>
        <v>0</v>
      </c>
      <c r="AD19" s="101">
        <f>((0 + 'BRAWLERS OFICIAL'!AD19)-'BRAWLERS OFICIAL'!AD19)/($BN19)</f>
        <v>0</v>
      </c>
      <c r="AE19" s="101">
        <f>((0 + 'BRAWLERS OFICIAL'!AE19)-'BRAWLERS OFICIAL'!AE19)</f>
        <v>0</v>
      </c>
      <c r="AF19" s="101">
        <f>((0 + 'BRAWLERS OFICIAL'!AF19)-'BRAWLERS OFICIAL'!AF19)</f>
        <v>0</v>
      </c>
      <c r="AG19" s="101">
        <f>((0 + 'BRAWLERS OFICIAL'!AG19)-'BRAWLERS OFICIAL'!AG19)</f>
        <v>0</v>
      </c>
      <c r="AH19" s="101">
        <f>((0 + 'BRAWLERS OFICIAL'!AH19)-'BRAWLERS OFICIAL'!AH19)/($BN19)</f>
        <v>0</v>
      </c>
      <c r="AI19" s="101">
        <f>((0 + 'BRAWLERS OFICIAL'!AI19)-'BRAWLERS OFICIAL'!AI19)/($BN19)</f>
        <v>0</v>
      </c>
      <c r="AJ19" s="101">
        <f>(((BH19/5+1)*AI19 + 'BRAWLERS OFICIAL'!AJ19)-'BRAWLERS OFICIAL'!AJ19)/($BN19)</f>
        <v>0</v>
      </c>
      <c r="AK19" s="101">
        <f>IF( 5 = (1-1), (1-1), ((5 + 'BRAWLERS OFICIAL'!AK19)/1.5)-'BRAWLERS OFICIAL'!AK19 )</f>
        <v>0.66666666666666607</v>
      </c>
      <c r="AL19" s="101">
        <f>IF( 1 = (1-1), (1-1), ( 1 ) )</f>
        <v>1</v>
      </c>
      <c r="AM19" s="101">
        <f>((0 + 'BRAWLERS OFICIAL'!AM19)-'BRAWLERS OFICIAL'!AM19)/($BN19)</f>
        <v>0</v>
      </c>
      <c r="AN19" s="101">
        <f>((0/1000 + 'BRAWLERS OFICIAL'!AN19)-'BRAWLERS OFICIAL'!AN19)</f>
        <v>0</v>
      </c>
      <c r="AO19" s="101">
        <f>((0 + 'BRAWLERS OFICIAL'!AO19)-'BRAWLERS OFICIAL'!AO19)</f>
        <v>0</v>
      </c>
      <c r="AP19" s="101">
        <f>IF( 0 = (1-1), (1-1), ((0 + 'BRAWLERS OFICIAL'!AP19)/1.5) )</f>
        <v>0</v>
      </c>
      <c r="AQ19" s="101">
        <f>IF( 0 = (1-1), (1-1), ((0 + 'BRAWLERS OFICIAL'!AQ19)/1.5) )</f>
        <v>0</v>
      </c>
      <c r="AR19" s="101">
        <f>IF( 0 = (1-1), (1-1), ((0 + 'BRAWLERS OFICIAL'!AR19)/2) )</f>
        <v>0</v>
      </c>
      <c r="AS19" s="101">
        <f>((0 + 'BRAWLERS OFICIAL'!AS19)-'BRAWLERS OFICIAL'!AS19)/($BN19)</f>
        <v>0</v>
      </c>
      <c r="AT19" s="101">
        <f>(((0)/4 + 'BRAWLERS OFICIAL'!AT19)-'BRAWLERS OFICIAL'!AT19)</f>
        <v>0</v>
      </c>
      <c r="AU19" s="101">
        <v>0</v>
      </c>
      <c r="AV19" s="100">
        <f>((( 0 )/3 + 'BRAWLERS OFICIAL'!AV19)-'BRAWLERS OFICIAL'!AV19)</f>
        <v>0</v>
      </c>
      <c r="AW19" s="100">
        <f>((( 0 )/2 + 'BRAWLERS OFICIAL'!AW19)-'BRAWLERS OFICIAL'!AW19)/($BN19)</f>
        <v>0</v>
      </c>
      <c r="AX19" s="100">
        <f>((( 0 )/2 + 'BRAWLERS OFICIAL'!AX19)-'BRAWLERS OFICIAL'!AX19)</f>
        <v>0</v>
      </c>
      <c r="AY19" s="100">
        <f>((( 0 )/3 + 'BRAWLERS OFICIAL'!AY19)-'BRAWLERS OFICIAL'!AY19)</f>
        <v>0</v>
      </c>
      <c r="AZ19" s="100">
        <f>((( 0 )/2 + 'BRAWLERS OFICIAL'!AZ19)-'BRAWLERS OFICIAL'!AZ19)/($BN19)</f>
        <v>0</v>
      </c>
      <c r="BA19" s="100">
        <f>((( 0 )/3 + 'BRAWLERS OFICIAL'!BA19)-'BRAWLERS OFICIAL'!BA19)</f>
        <v>0</v>
      </c>
      <c r="BB19" s="100">
        <f>((( 0 )/3 + 'BRAWLERS OFICIAL'!BB19)-'BRAWLERS OFICIAL'!BB19)</f>
        <v>0</v>
      </c>
      <c r="BC19" s="100">
        <f>((0 + 'BRAWLERS OFICIAL'!BC19)-'BRAWLERS OFICIAL'!BC19)/($BN19)</f>
        <v>0</v>
      </c>
      <c r="BD19" s="100">
        <f>((0 + 'BRAWLERS OFICIAL'!BD19)-'BRAWLERS OFICIAL'!BD19)/($BN19)</f>
        <v>0</v>
      </c>
      <c r="BE19" s="100">
        <f>((( 0 )/2 + 'BRAWLERS OFICIAL'!BE19)-'BRAWLERS OFICIAL'!BE19)</f>
        <v>0</v>
      </c>
      <c r="BF19" s="100">
        <f>((0 + 'BRAWLERS OFICIAL'!BF19)-'BRAWLERS OFICIAL'!BF19)/($BN19)</f>
        <v>0</v>
      </c>
      <c r="BG19" s="100">
        <f>((( 0 )/2 + 'BRAWLERS OFICIAL'!BG19)-'BRAWLERS OFICIAL'!BG19)</f>
        <v>0</v>
      </c>
      <c r="BH19" s="100">
        <f>((( 0 )/3 + 'BRAWLERS OFICIAL'!BH19)-'BRAWLERS OFICIAL'!BH19)</f>
        <v>0</v>
      </c>
      <c r="BI19" s="100">
        <f>((( 0 )/2 + 'BRAWLERS OFICIAL'!BI19)-'BRAWLERS OFICIAL'!BI19)</f>
        <v>0</v>
      </c>
      <c r="BJ19" s="100">
        <f>((0 + 'BRAWLERS OFICIAL'!BJ19)-'BRAWLERS OFICIAL'!BJ19)/($BN19)</f>
        <v>0</v>
      </c>
      <c r="BK19" s="100">
        <f>((0 + 'BRAWLERS OFICIAL'!BK19)-'BRAWLERS OFICIAL'!BK19)/($BN19)</f>
        <v>0</v>
      </c>
      <c r="BL19" s="100">
        <f>((0 + 'BRAWLERS OFICIAL'!BL19)-'BRAWLERS OFICIAL'!BL19)/($BN19)</f>
        <v>0</v>
      </c>
      <c r="BN19" s="100">
        <v>5</v>
      </c>
    </row>
    <row r="20" spans="2:66">
      <c r="B20" s="99" t="s">
        <v>471</v>
      </c>
      <c r="C20" s="9" t="s">
        <v>69</v>
      </c>
      <c r="D20" s="100">
        <f>((0 + 'BRAWLERS OFICIAL'!D20)-'BRAWLERS OFICIAL'!D20)</f>
        <v>0</v>
      </c>
      <c r="E20" s="100">
        <f>((0 + 'BRAWLERS OFICIAL'!E20)-'BRAWLERS OFICIAL'!E20)</f>
        <v>0</v>
      </c>
      <c r="F20" s="100">
        <f>((0 + 'BRAWLERS OFICIAL'!F20)-'BRAWLERS OFICIAL'!F20)</f>
        <v>0</v>
      </c>
      <c r="G20" s="100">
        <f>((0.7 + 'BRAWLERS OFICIAL'!G20)-'BRAWLERS OFICIAL'!G20)</f>
        <v>0.70000000000000018</v>
      </c>
      <c r="H20" s="100">
        <f>((0 + 'BRAWLERS OFICIAL'!H20)-'BRAWLERS OFICIAL'!H20)</f>
        <v>0</v>
      </c>
      <c r="I20" s="100">
        <f>((0 + 'BRAWLERS OFICIAL'!I20)-'BRAWLERS OFICIAL'!I20)</f>
        <v>0</v>
      </c>
      <c r="J20" s="100">
        <f>((0 + 'BRAWLERS OFICIAL'!J20)-'BRAWLERS OFICIAL'!J20)</f>
        <v>0</v>
      </c>
      <c r="K20" s="100">
        <f>((0 + 'BRAWLERS OFICIAL'!K20)-'BRAWLERS OFICIAL'!K20)</f>
        <v>0</v>
      </c>
      <c r="L20" s="100">
        <f>((0 + 'BRAWLERS OFICIAL'!L20)-'BRAWLERS OFICIAL'!L20)</f>
        <v>0</v>
      </c>
      <c r="M20" s="100">
        <f>((0 + 'BRAWLERS OFICIAL'!M20)-'BRAWLERS OFICIAL'!M20)</f>
        <v>0</v>
      </c>
      <c r="N20" s="100">
        <f>((0 + 'BRAWLERS OFICIAL'!N20)-'BRAWLERS OFICIAL'!N20)</f>
        <v>0</v>
      </c>
      <c r="O20" s="100">
        <f>((0 + 'BRAWLERS OFICIAL'!O20)-'BRAWLERS OFICIAL'!O20)</f>
        <v>0</v>
      </c>
      <c r="P20" s="100">
        <f>((0 + 'BRAWLERS OFICIAL'!P20)-'BRAWLERS OFICIAL'!P20)</f>
        <v>0</v>
      </c>
      <c r="Q20" s="100">
        <f>((0 + 'BRAWLERS OFICIAL'!Q20)-'BRAWLERS OFICIAL'!Q20)</f>
        <v>0</v>
      </c>
      <c r="R20" s="100">
        <f>((0 + 'BRAWLERS OFICIAL'!R20)-'BRAWLERS OFICIAL'!R20)</f>
        <v>0</v>
      </c>
      <c r="S20" s="100">
        <f>((0 + 'BRAWLERS OFICIAL'!S20)-'BRAWLERS OFICIAL'!S20)</f>
        <v>0</v>
      </c>
      <c r="T20" s="100">
        <f>((0 + 'BRAWLERS OFICIAL'!T20)-'BRAWLERS OFICIAL'!T20)</f>
        <v>0</v>
      </c>
      <c r="U20" s="100">
        <f>(0 + 'BRAWLERS OFICIAL'!U20)-'BRAWLERS OFICIAL'!U20</f>
        <v>0</v>
      </c>
      <c r="V20" s="103">
        <f>(( 0 + 'BRAWLERS OFICIAL'!V20 + AN20 + AV20/3.5 )-'BRAWLERS OFICIAL'!V20)/($BN20)</f>
        <v>0</v>
      </c>
      <c r="W20" s="101">
        <f>((0 + 'BRAWLERS OFICIAL'!W20)-'BRAWLERS OFICIAL'!W20)/($BN20)</f>
        <v>0</v>
      </c>
      <c r="X20" s="101">
        <f>(((0)/3 + 'BRAWLERS OFICIAL'!X20)-'BRAWLERS OFICIAL'!X20)</f>
        <v>0</v>
      </c>
      <c r="Y20" s="101">
        <f>((0 + 'BRAWLERS OFICIAL'!Y20)-'BRAWLERS OFICIAL'!Y20)/($BN20)</f>
        <v>0</v>
      </c>
      <c r="Z20" s="101">
        <f>((0 + 'BRAWLERS OFICIAL'!Z20)-'BRAWLERS OFICIAL'!Z20)</f>
        <v>0</v>
      </c>
      <c r="AA20" s="101">
        <f>(((0)/4 + 'BRAWLERS OFICIAL'!AA20)-'BRAWLERS OFICIAL'!AA20)/($BN20)</f>
        <v>0</v>
      </c>
      <c r="AB20" s="101">
        <f>((0 + 'BRAWLERS OFICIAL'!AB20)-'BRAWLERS OFICIAL'!AB20)/($BN20)</f>
        <v>0</v>
      </c>
      <c r="AC20" s="101">
        <f>((0 + 'BRAWLERS OFICIAL'!AC20)-'BRAWLERS OFICIAL'!AC20)/($BN20)</f>
        <v>0</v>
      </c>
      <c r="AD20" s="101">
        <f>((0 + 'BRAWLERS OFICIAL'!AD20)-'BRAWLERS OFICIAL'!AD20)/($BN20)</f>
        <v>0</v>
      </c>
      <c r="AE20" s="101">
        <f>((0 + 'BRAWLERS OFICIAL'!AE20)-'BRAWLERS OFICIAL'!AE20)</f>
        <v>0</v>
      </c>
      <c r="AF20" s="101">
        <f>((0 + 'BRAWLERS OFICIAL'!AF20)-'BRAWLERS OFICIAL'!AF20)</f>
        <v>0</v>
      </c>
      <c r="AG20" s="101">
        <f>((0 + 'BRAWLERS OFICIAL'!AG20)-'BRAWLERS OFICIAL'!AG20)</f>
        <v>0</v>
      </c>
      <c r="AH20" s="101">
        <f>((0 + 'BRAWLERS OFICIAL'!AH20)-'BRAWLERS OFICIAL'!AH20)/($BN20)</f>
        <v>0</v>
      </c>
      <c r="AI20" s="101">
        <f>((0 + 'BRAWLERS OFICIAL'!AI20)-'BRAWLERS OFICIAL'!AI20)/($BN20)</f>
        <v>0</v>
      </c>
      <c r="AJ20" s="101">
        <f>(((BH20/5+1)*AI20 + 'BRAWLERS OFICIAL'!AJ20)-'BRAWLERS OFICIAL'!AJ20)/($BN20)</f>
        <v>0</v>
      </c>
      <c r="AK20" s="101">
        <f>IF( 0 = (1-1), (1-1), ((0 + 'BRAWLERS OFICIAL'!AK20)/1.5)-'BRAWLERS OFICIAL'!AK20 )</f>
        <v>0</v>
      </c>
      <c r="AL20" s="101">
        <f t="shared" si="1"/>
        <v>0</v>
      </c>
      <c r="AM20" s="101">
        <f>((0 + 'BRAWLERS OFICIAL'!AM20)-'BRAWLERS OFICIAL'!AM20)/($BN20)</f>
        <v>0</v>
      </c>
      <c r="AN20" s="101">
        <f>((0/1000 + 'BRAWLERS OFICIAL'!AN20)-'BRAWLERS OFICIAL'!AN20)</f>
        <v>0</v>
      </c>
      <c r="AO20" s="101">
        <f>((0 + 'BRAWLERS OFICIAL'!AO20)-'BRAWLERS OFICIAL'!AO20)</f>
        <v>0</v>
      </c>
      <c r="AP20" s="101">
        <f>IF( 0 = (1-1), (1-1), ((0 + 'BRAWLERS OFICIAL'!AP20)/1.5) )</f>
        <v>0</v>
      </c>
      <c r="AQ20" s="101">
        <f>IF( 0 = (1-1), (1-1), ((0 + 'BRAWLERS OFICIAL'!AQ20)/1.5) )</f>
        <v>0</v>
      </c>
      <c r="AR20" s="101">
        <f>IF( 0 = (1-1), (1-1), ((0 + 'BRAWLERS OFICIAL'!AR20)/2) )</f>
        <v>0</v>
      </c>
      <c r="AS20" s="101">
        <f>((0 + 'BRAWLERS OFICIAL'!AS20)-'BRAWLERS OFICIAL'!AS20)/($BN20)</f>
        <v>0</v>
      </c>
      <c r="AT20" s="101">
        <f>(((0)/4 + 'BRAWLERS OFICIAL'!AT20)-'BRAWLERS OFICIAL'!AT20)</f>
        <v>0</v>
      </c>
      <c r="AU20" s="101">
        <v>0</v>
      </c>
      <c r="AV20" s="100">
        <f>((( 0 )/3 + 'BRAWLERS OFICIAL'!AV20)-'BRAWLERS OFICIAL'!AV20)</f>
        <v>0</v>
      </c>
      <c r="AW20" s="100">
        <f>((( 0 )/2 + 'BRAWLERS OFICIAL'!AW20)-'BRAWLERS OFICIAL'!AW20)/($BN20)</f>
        <v>0</v>
      </c>
      <c r="AX20" s="100">
        <f>((( 0 )/2 + 'BRAWLERS OFICIAL'!AX20)-'BRAWLERS OFICIAL'!AX20)</f>
        <v>0</v>
      </c>
      <c r="AY20" s="100">
        <f>((( 0 )/3 + 'BRAWLERS OFICIAL'!AY20)-'BRAWLERS OFICIAL'!AY20)</f>
        <v>0</v>
      </c>
      <c r="AZ20" s="100">
        <f>((( 0 )/2 + 'BRAWLERS OFICIAL'!AZ20)-'BRAWLERS OFICIAL'!AZ20)/($BN20)</f>
        <v>0</v>
      </c>
      <c r="BA20" s="100">
        <f>((( 0 )/3 + 'BRAWLERS OFICIAL'!BA20)-'BRAWLERS OFICIAL'!BA20)</f>
        <v>0</v>
      </c>
      <c r="BB20" s="100">
        <f>((( 0 )/3 + 'BRAWLERS OFICIAL'!BB20)-'BRAWLERS OFICIAL'!BB20)</f>
        <v>0</v>
      </c>
      <c r="BC20" s="100">
        <f>((0 + 'BRAWLERS OFICIAL'!BC20)-'BRAWLERS OFICIAL'!BC20)/($BN20)</f>
        <v>0</v>
      </c>
      <c r="BD20" s="100">
        <f>((0 + 'BRAWLERS OFICIAL'!BD20)-'BRAWLERS OFICIAL'!BD20)/($BN20)</f>
        <v>0</v>
      </c>
      <c r="BE20" s="100">
        <f>((( 0 )/2 + 'BRAWLERS OFICIAL'!BE20)-'BRAWLERS OFICIAL'!BE20)</f>
        <v>0</v>
      </c>
      <c r="BF20" s="100">
        <f>((0 + 'BRAWLERS OFICIAL'!BF20)-'BRAWLERS OFICIAL'!BF20)/($BN20)</f>
        <v>0</v>
      </c>
      <c r="BG20" s="100">
        <f>((( 0 )/2 + 'BRAWLERS OFICIAL'!BG20)-'BRAWLERS OFICIAL'!BG20)</f>
        <v>0</v>
      </c>
      <c r="BH20" s="100">
        <f>((( 0 )/3 + 'BRAWLERS OFICIAL'!BH20)-'BRAWLERS OFICIAL'!BH20)</f>
        <v>0</v>
      </c>
      <c r="BI20" s="100">
        <f>((( 0 )/2 + 'BRAWLERS OFICIAL'!BI20)-'BRAWLERS OFICIAL'!BI20)</f>
        <v>0</v>
      </c>
      <c r="BJ20" s="100">
        <f>((0 + 'BRAWLERS OFICIAL'!BJ20)-'BRAWLERS OFICIAL'!BJ20)/($BN20)</f>
        <v>0</v>
      </c>
      <c r="BK20" s="100">
        <f>((0 + 'BRAWLERS OFICIAL'!BK20)-'BRAWLERS OFICIAL'!BK20)/($BN20)</f>
        <v>0</v>
      </c>
      <c r="BL20" s="100">
        <f>((0 + 'BRAWLERS OFICIAL'!BL20)-'BRAWLERS OFICIAL'!BL20)/($BN20)</f>
        <v>0</v>
      </c>
      <c r="BN20" s="100">
        <v>1</v>
      </c>
    </row>
    <row r="21" spans="2:66">
      <c r="C21" t="s">
        <v>390</v>
      </c>
    </row>
  </sheetData>
  <conditionalFormatting sqref="D20:BL20 BH3:BH7 BH9:BH19 BI3:BL19 D3:BG19">
    <cfRule type="cellIs" dxfId="4" priority="8" operator="greaterThan">
      <formula>0</formula>
    </cfRule>
  </conditionalFormatting>
  <conditionalFormatting sqref="BN3:BN20">
    <cfRule type="cellIs" dxfId="3" priority="2" operator="greaterThan">
      <formula>0</formula>
    </cfRule>
  </conditionalFormatting>
  <conditionalFormatting sqref="BH8">
    <cfRule type="cellIs" dxfId="2" priority="1" operator="greaterThan">
      <formula>0</formula>
    </cfRule>
  </conditionalFormatting>
  <dataValidations count="1">
    <dataValidation allowBlank="1" showInputMessage="1" showErrorMessage="1" sqref="B2:B20" xr:uid="{FAC10227-D2CB-41A0-950B-15A65C5FF1BA}"/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9111E-9FE0-4B13-9DA0-EC5E00FFDD22}">
  <dimension ref="A1:BN23"/>
  <sheetViews>
    <sheetView workbookViewId="0">
      <pane xSplit="3" topLeftCell="D1" activePane="topRight" state="frozen"/>
      <selection pane="topRight" activeCell="G30" sqref="G30"/>
    </sheetView>
  </sheetViews>
  <sheetFormatPr defaultRowHeight="15"/>
  <cols>
    <col min="1" max="1" width="9.140625" style="85"/>
    <col min="2" max="2" width="19.42578125" bestFit="1" customWidth="1"/>
  </cols>
  <sheetData>
    <row r="1" spans="1:66" s="127" customFormat="1">
      <c r="A1" s="126"/>
      <c r="X1" s="127" t="s">
        <v>394</v>
      </c>
      <c r="Z1" s="127" t="s">
        <v>394</v>
      </c>
      <c r="AV1" s="127" t="s">
        <v>394</v>
      </c>
      <c r="AX1" s="127" t="s">
        <v>394</v>
      </c>
      <c r="AY1" s="127" t="s">
        <v>394</v>
      </c>
      <c r="BA1" s="127" t="s">
        <v>394</v>
      </c>
      <c r="BB1" s="127" t="s">
        <v>394</v>
      </c>
      <c r="BE1" s="127" t="s">
        <v>394</v>
      </c>
      <c r="BG1" s="127" t="s">
        <v>394</v>
      </c>
      <c r="BH1" s="127" t="s">
        <v>394</v>
      </c>
      <c r="BI1" s="127" t="s">
        <v>394</v>
      </c>
    </row>
    <row r="2" spans="1:66">
      <c r="B2" s="26" t="s">
        <v>395</v>
      </c>
      <c r="C2" s="26" t="s">
        <v>302</v>
      </c>
      <c r="D2" s="20" t="s">
        <v>303</v>
      </c>
      <c r="E2" s="20" t="s">
        <v>304</v>
      </c>
      <c r="F2" s="20" t="s">
        <v>305</v>
      </c>
      <c r="G2" s="20" t="s">
        <v>306</v>
      </c>
      <c r="H2" s="20" t="s">
        <v>307</v>
      </c>
      <c r="I2" s="20" t="s">
        <v>308</v>
      </c>
      <c r="J2" s="20" t="s">
        <v>309</v>
      </c>
      <c r="K2" s="20" t="s">
        <v>310</v>
      </c>
      <c r="L2" s="20" t="s">
        <v>311</v>
      </c>
      <c r="M2" s="20" t="s">
        <v>312</v>
      </c>
      <c r="N2" s="20" t="s">
        <v>313</v>
      </c>
      <c r="O2" s="20" t="s">
        <v>314</v>
      </c>
      <c r="P2" s="20" t="s">
        <v>315</v>
      </c>
      <c r="Q2" s="20" t="s">
        <v>316</v>
      </c>
      <c r="R2" s="20" t="s">
        <v>317</v>
      </c>
      <c r="S2" s="20" t="s">
        <v>318</v>
      </c>
      <c r="T2" s="20" t="s">
        <v>319</v>
      </c>
      <c r="U2" s="20" t="s">
        <v>320</v>
      </c>
      <c r="V2" s="26" t="s">
        <v>321</v>
      </c>
      <c r="W2" s="26" t="s">
        <v>322</v>
      </c>
      <c r="X2" s="26" t="s">
        <v>323</v>
      </c>
      <c r="Y2" s="26" t="s">
        <v>324</v>
      </c>
      <c r="Z2" s="26" t="s">
        <v>325</v>
      </c>
      <c r="AA2" s="26" t="s">
        <v>326</v>
      </c>
      <c r="AB2" s="26" t="s">
        <v>327</v>
      </c>
      <c r="AC2" s="26" t="s">
        <v>328</v>
      </c>
      <c r="AD2" s="26" t="s">
        <v>329</v>
      </c>
      <c r="AE2" s="26" t="s">
        <v>330</v>
      </c>
      <c r="AF2" s="26" t="s">
        <v>331</v>
      </c>
      <c r="AG2" s="20" t="s">
        <v>332</v>
      </c>
      <c r="AH2" s="20" t="s">
        <v>333</v>
      </c>
      <c r="AI2" s="20" t="s">
        <v>334</v>
      </c>
      <c r="AJ2" s="26" t="s">
        <v>335</v>
      </c>
      <c r="AK2" s="20" t="s">
        <v>336</v>
      </c>
      <c r="AL2" s="20" t="s">
        <v>337</v>
      </c>
      <c r="AM2" s="20" t="s">
        <v>338</v>
      </c>
      <c r="AN2" s="20" t="s">
        <v>339</v>
      </c>
      <c r="AO2" s="20" t="s">
        <v>340</v>
      </c>
      <c r="AP2" s="20" t="s">
        <v>341</v>
      </c>
      <c r="AQ2" s="20" t="s">
        <v>342</v>
      </c>
      <c r="AR2" s="20" t="s">
        <v>343</v>
      </c>
      <c r="AS2" s="20" t="s">
        <v>344</v>
      </c>
      <c r="AT2" s="20" t="s">
        <v>345</v>
      </c>
      <c r="AU2" s="20" t="s">
        <v>346</v>
      </c>
      <c r="AV2" s="26" t="s">
        <v>347</v>
      </c>
      <c r="AW2" s="26" t="s">
        <v>348</v>
      </c>
      <c r="AX2" s="20" t="s">
        <v>349</v>
      </c>
      <c r="AY2" s="26" t="s">
        <v>350</v>
      </c>
      <c r="AZ2" s="26" t="s">
        <v>351</v>
      </c>
      <c r="BA2" s="26" t="s">
        <v>352</v>
      </c>
      <c r="BB2" s="26" t="s">
        <v>353</v>
      </c>
      <c r="BC2" s="26" t="s">
        <v>354</v>
      </c>
      <c r="BD2" s="120" t="s">
        <v>355</v>
      </c>
      <c r="BE2" s="26" t="s">
        <v>356</v>
      </c>
      <c r="BF2" s="26" t="s">
        <v>357</v>
      </c>
      <c r="BG2" s="20" t="s">
        <v>358</v>
      </c>
      <c r="BH2" s="20" t="s">
        <v>359</v>
      </c>
      <c r="BI2" s="26" t="s">
        <v>360</v>
      </c>
      <c r="BJ2" s="26" t="s">
        <v>361</v>
      </c>
      <c r="BK2" s="20" t="s">
        <v>362</v>
      </c>
      <c r="BL2" s="26" t="s">
        <v>363</v>
      </c>
      <c r="BN2" s="26" t="s">
        <v>433</v>
      </c>
    </row>
    <row r="3" spans="1:66">
      <c r="B3" s="86" t="s">
        <v>472</v>
      </c>
      <c r="C3" s="87" t="s">
        <v>78</v>
      </c>
      <c r="D3" s="91">
        <f>(( 0 + 'BRAWLERS OFICIAL'!D3)-'BRAWLERS OFICIAL'!D3)/$BN3</f>
        <v>0</v>
      </c>
      <c r="E3" s="91">
        <f>(( 0 + 'BRAWLERS OFICIAL'!E3)-'BRAWLERS OFICIAL'!E3)/$BN3</f>
        <v>0</v>
      </c>
      <c r="F3" s="91">
        <f>(( ('BRAWLERS OFICIAL'!F3/20) + 'BRAWLERS OFICIAL'!F3)-'BRAWLERS OFICIAL'!F3)/$BN3</f>
        <v>19.764705882352938</v>
      </c>
      <c r="G3" s="91">
        <f>(( 0 + 'BRAWLERS OFICIAL'!G3)-'BRAWLERS OFICIAL'!G3)/$BN3</f>
        <v>0</v>
      </c>
      <c r="H3" s="91">
        <f>(( 0 + 'BRAWLERS OFICIAL'!H3)-'BRAWLERS OFICIAL'!H3)/$BN3</f>
        <v>0</v>
      </c>
      <c r="I3" s="91">
        <f>(( 0 + 'BRAWLERS OFICIAL'!I3)-'BRAWLERS OFICIAL'!I3)/$BN3</f>
        <v>0</v>
      </c>
      <c r="J3" s="91">
        <f>(( 0 + 'BRAWLERS OFICIAL'!J3)-'BRAWLERS OFICIAL'!J3)/$BN3</f>
        <v>0</v>
      </c>
      <c r="K3" s="91">
        <f>(( 0 + 'BRAWLERS OFICIAL'!K3)-'BRAWLERS OFICIAL'!K3)/$BN3</f>
        <v>0</v>
      </c>
      <c r="L3" s="91">
        <f>(( 0 + 'BRAWLERS OFICIAL'!L3)-'BRAWLERS OFICIAL'!L3)/$BN3</f>
        <v>0</v>
      </c>
      <c r="M3" s="91">
        <f>(( 0 + 'BRAWLERS OFICIAL'!M3)-'BRAWLERS OFICIAL'!M3)/$BN3</f>
        <v>0</v>
      </c>
      <c r="N3" s="91">
        <f>(( 0 + 'BRAWLERS OFICIAL'!N3)-'BRAWLERS OFICIAL'!N3)/$BN3</f>
        <v>0</v>
      </c>
      <c r="O3" s="91">
        <f>(( 'BRAWLERS OFICIAL'!O3/20 + 'BRAWLERS OFICIAL'!O3)-'BRAWLERS OFICIAL'!O3)/$BN3</f>
        <v>44.470588235294109</v>
      </c>
      <c r="P3" s="91">
        <f>(( 'BRAWLERS OFICIAL'!P3/20 + 'BRAWLERS OFICIAL'!P3)-'BRAWLERS OFICIAL'!P3)/$BN3</f>
        <v>33.35294117647058</v>
      </c>
      <c r="Q3" s="91">
        <f>(( 'BRAWLERS OFICIAL'!Q3/20 + 'BRAWLERS OFICIAL'!Q3)-'BRAWLERS OFICIAL'!Q3)/$BN3</f>
        <v>22.235294117647054</v>
      </c>
      <c r="R3" s="91">
        <f>(( 'BRAWLERS OFICIAL'!R3/20 + 'BRAWLERS OFICIAL'!R3)-'BRAWLERS OFICIAL'!R3)/$BN3</f>
        <v>22.235294117647054</v>
      </c>
      <c r="S3" s="91">
        <f>(( 'BRAWLERS OFICIAL'!S3/20 + 'BRAWLERS OFICIAL'!S3)-'BRAWLERS OFICIAL'!S3)/$BN3</f>
        <v>44.470588235294109</v>
      </c>
      <c r="T3" s="91">
        <f>(( 0 + 'BRAWLERS OFICIAL'!T3)-'BRAWLERS OFICIAL'!T3)/$BN3</f>
        <v>0</v>
      </c>
      <c r="U3" s="91">
        <f>(( 0 + 'BRAWLERS OFICIAL'!U3)-'BRAWLERS OFICIAL'!U3)/$BN3</f>
        <v>0</v>
      </c>
      <c r="V3" s="102">
        <f>(( ('BRAWLERS OFICIAL'!V3/20) + 'BRAWLERS OFICIAL'!V3 + AN3 + AV3/3.5 )-'BRAWLERS OFICIAL'!V3)/($BN3)</f>
        <v>4.4117647058823477E-2</v>
      </c>
      <c r="W3" s="92">
        <f>((0 + 'BRAWLERS OFICIAL'!W3)-'BRAWLERS OFICIAL'!W3)/($BN3)</f>
        <v>0</v>
      </c>
      <c r="X3" s="92">
        <f>(((0)/3 + 'BRAWLERS OFICIAL'!X3)-'BRAWLERS OFICIAL'!X3)</f>
        <v>0</v>
      </c>
      <c r="Y3" s="92">
        <f>((0 + 'BRAWLERS OFICIAL'!Y3)-'BRAWLERS OFICIAL'!Y3)/($BN3)</f>
        <v>0</v>
      </c>
      <c r="Z3" s="92">
        <f>((0 + 'BRAWLERS OFICIAL'!Z3)-'BRAWLERS OFICIAL'!Z3)</f>
        <v>0</v>
      </c>
      <c r="AA3" s="92">
        <f>(((0)/4 + 'BRAWLERS OFICIAL'!AA3)-'BRAWLERS OFICIAL'!AA3)/($BN3)</f>
        <v>0</v>
      </c>
      <c r="AB3" s="92">
        <f>((0 + 'BRAWLERS OFICIAL'!AB3)-'BRAWLERS OFICIAL'!AB3)/($BN3)</f>
        <v>0</v>
      </c>
      <c r="AC3" s="92">
        <f>((0 + 'BRAWLERS OFICIAL'!AC3)-'BRAWLERS OFICIAL'!AC3)/($BN3)</f>
        <v>0</v>
      </c>
      <c r="AD3" s="92">
        <f>((0 + 'BRAWLERS OFICIAL'!AD3)-'BRAWLERS OFICIAL'!AD3)/($BN3)</f>
        <v>0</v>
      </c>
      <c r="AE3" s="92">
        <f>((0 + 'BRAWLERS OFICIAL'!AE3)-'BRAWLERS OFICIAL'!AE3)/($BN3)</f>
        <v>0</v>
      </c>
      <c r="AF3" s="92">
        <f>((0 + 'BRAWLERS OFICIAL'!AF3)-'BRAWLERS OFICIAL'!AF3)/($BN3)</f>
        <v>0</v>
      </c>
      <c r="AG3" s="92">
        <f>((0 + 'BRAWLERS OFICIAL'!AG3)-'BRAWLERS OFICIAL'!AG3)/($BN3)</f>
        <v>0</v>
      </c>
      <c r="AH3" s="92">
        <f>(( ('BRAWLERS OFICIAL'!AH3/5) + 'BRAWLERS OFICIAL'!AH3)-'BRAWLERS OFICIAL'!AH3)/($BN3)</f>
        <v>0.24705882352941172</v>
      </c>
      <c r="AI3" s="92">
        <f>((0 + 'BRAWLERS OFICIAL'!AI3)-'BRAWLERS OFICIAL'!AI3)/($BN3)</f>
        <v>0</v>
      </c>
      <c r="AJ3" s="92">
        <f>(((BH3/5+1)*AI3 + 'BRAWLERS OFICIAL'!AJ3)-'BRAWLERS OFICIAL'!AJ3)/($BN3)</f>
        <v>0</v>
      </c>
      <c r="AK3" s="92">
        <f>IF( 0 = (1-1), (1-1), ((0 + 'BRAWLERS OFICIAL'!AK3)/1.5)-'BRAWLERS OFICIAL'!AK3 )/($BN3)</f>
        <v>0</v>
      </c>
      <c r="AL3" s="92">
        <f>IF( 0 = (1-1), (1-1), ( 0 ) )/($BN3)</f>
        <v>0</v>
      </c>
      <c r="AM3" s="92">
        <f>((0 + 'BRAWLERS OFICIAL'!AM3)-'BRAWLERS OFICIAL'!AM3)/($BN3)</f>
        <v>0</v>
      </c>
      <c r="AN3" s="92">
        <f>((0/1000 + 'BRAWLERS OFICIAL'!AN3)-'BRAWLERS OFICIAL'!AN3)/($BN3)</f>
        <v>0</v>
      </c>
      <c r="AO3" s="92">
        <f>((0 + 'BRAWLERS OFICIAL'!AO3)-'BRAWLERS OFICIAL'!AO3)/($BN3)</f>
        <v>0</v>
      </c>
      <c r="AP3" s="92">
        <f>IF( 0 = (1-1), (1-1), ((0 + 'BRAWLERS OFICIAL'!AP3)/1.5) )/($BN3)</f>
        <v>0</v>
      </c>
      <c r="AQ3" s="92">
        <f>IF( 0 = (1-1), (1-1), ((0 + 'BRAWLERS OFICIAL'!AQ3)/1.5) )/($BN3)</f>
        <v>0</v>
      </c>
      <c r="AR3" s="92">
        <f>IF( 0 = (1-1), (1-1), ((0 + 'BRAWLERS OFICIAL'!AR3)/2) )/($BN3)</f>
        <v>0</v>
      </c>
      <c r="AS3" s="92">
        <f>((0 + 'BRAWLERS OFICIAL'!AS3)-'BRAWLERS OFICIAL'!AS3)/($BN3)</f>
        <v>0</v>
      </c>
      <c r="AT3" s="92">
        <f>(((0)/4 + 'BRAWLERS OFICIAL'!AT3)-'BRAWLERS OFICIAL'!AT3)/($BN3)</f>
        <v>0</v>
      </c>
      <c r="AU3" s="92">
        <v>0</v>
      </c>
      <c r="AV3" s="91">
        <f>((( 0 )/3 + 'BRAWLERS OFICIAL'!AV3)-'BRAWLERS OFICIAL'!AV3)</f>
        <v>0</v>
      </c>
      <c r="AW3" s="91">
        <f>((( 0 )/2 + 'BRAWLERS OFICIAL'!AW3)-'BRAWLERS OFICIAL'!AW3)/($BN3)</f>
        <v>0</v>
      </c>
      <c r="AX3" s="91">
        <f>((( 0 )/2 + 'BRAWLERS OFICIAL'!AX3)-'BRAWLERS OFICIAL'!AX3)</f>
        <v>0</v>
      </c>
      <c r="AY3" s="91">
        <f>((( 0 )/3 + 'BRAWLERS OFICIAL'!AY3)-'BRAWLERS OFICIAL'!AY3)</f>
        <v>0</v>
      </c>
      <c r="AZ3" s="91">
        <f>((( 0 )/2 + 'BRAWLERS OFICIAL'!AZ3)-'BRAWLERS OFICIAL'!AZ3)/($BN3)</f>
        <v>0</v>
      </c>
      <c r="BA3" s="91">
        <f>((( 0 )/3 + 'BRAWLERS OFICIAL'!BA3)-'BRAWLERS OFICIAL'!BA3)</f>
        <v>0</v>
      </c>
      <c r="BB3" s="91">
        <f>((( 0 )/3 + 'BRAWLERS OFICIAL'!BB3)-'BRAWLERS OFICIAL'!BB3)</f>
        <v>0</v>
      </c>
      <c r="BC3" s="91">
        <f>((0 + 'BRAWLERS OFICIAL'!BC3)-'BRAWLERS OFICIAL'!BC3)/($BN3)</f>
        <v>0</v>
      </c>
      <c r="BD3" s="91">
        <f>((0 + 'BRAWLERS OFICIAL'!BD3)-'BRAWLERS OFICIAL'!BD3)/($BN3)</f>
        <v>0</v>
      </c>
      <c r="BE3" s="91">
        <f>((( 0 )/2 + 'BRAWLERS OFICIAL'!BE3)-'BRAWLERS OFICIAL'!BE3)</f>
        <v>0</v>
      </c>
      <c r="BF3" s="91">
        <f>((0 + 'BRAWLERS OFICIAL'!BF3)-'BRAWLERS OFICIAL'!BF3)/($BN3)</f>
        <v>0</v>
      </c>
      <c r="BG3" s="91">
        <f>((( 0 )/2 + 'BRAWLERS OFICIAL'!BG3)-'BRAWLERS OFICIAL'!BG3)</f>
        <v>0</v>
      </c>
      <c r="BH3" s="91">
        <f>((( 0 )/3 + 'BRAWLERS OFICIAL'!BH3)-'BRAWLERS OFICIAL'!BH3)</f>
        <v>0</v>
      </c>
      <c r="BI3" s="91">
        <f>((( 0 )/2 + 'BRAWLERS OFICIAL'!BI3)-'BRAWLERS OFICIAL'!BI3)</f>
        <v>0</v>
      </c>
      <c r="BJ3" s="91">
        <f>((0 + 'BRAWLERS OFICIAL'!BJ3)-'BRAWLERS OFICIAL'!BJ3)/($BN3)</f>
        <v>0</v>
      </c>
      <c r="BK3" s="91">
        <f>((0 + 'BRAWLERS OFICIAL'!BK3)-'BRAWLERS OFICIAL'!BK3)/($BN3)</f>
        <v>0</v>
      </c>
      <c r="BL3" s="91">
        <f>((0 + 'BRAWLERS OFICIAL'!BL3)-'BRAWLERS OFICIAL'!BL3)/($BN3)</f>
        <v>0</v>
      </c>
      <c r="BN3" s="100">
        <f>('BRAWLERS OFICIAL'!D3 / 'BRAWLERS OFICIAL'!H3 / (1 + ('BRAWLERS OFICIAL'!Y3/5)))*'BRAWLERS OFICIAL'!E3</f>
        <v>4.0476190476190483</v>
      </c>
    </row>
    <row r="4" spans="1:66">
      <c r="B4" s="86" t="s">
        <v>473</v>
      </c>
      <c r="C4" s="87" t="s">
        <v>10</v>
      </c>
      <c r="D4" s="91">
        <f>(( 0 + 'BRAWLERS OFICIAL'!D4)-'BRAWLERS OFICIAL'!D4)/$BN4</f>
        <v>0</v>
      </c>
      <c r="E4" s="91">
        <f>(( 0 + 'BRAWLERS OFICIAL'!E4)-'BRAWLERS OFICIAL'!E4)/$BN4</f>
        <v>0</v>
      </c>
      <c r="F4" s="91">
        <f>(( ('BRAWLERS OFICIAL'!F4/20) + 'BRAWLERS OFICIAL'!F4)-'BRAWLERS OFICIAL'!F4)/$BN4</f>
        <v>22.222222222222221</v>
      </c>
      <c r="G4" s="91">
        <f>(( 0 + 'BRAWLERS OFICIAL'!G4)-'BRAWLERS OFICIAL'!G4)/$BN4</f>
        <v>0</v>
      </c>
      <c r="H4" s="91">
        <f>(( 0 + 'BRAWLERS OFICIAL'!H4)-'BRAWLERS OFICIAL'!H4)/$BN4</f>
        <v>0</v>
      </c>
      <c r="I4" s="91">
        <f>(( 0 + 'BRAWLERS OFICIAL'!I4)-'BRAWLERS OFICIAL'!I4)/$BN4</f>
        <v>0</v>
      </c>
      <c r="J4" s="91">
        <f>(( 0 + 'BRAWLERS OFICIAL'!J4)-'BRAWLERS OFICIAL'!J4)/$BN4</f>
        <v>0</v>
      </c>
      <c r="K4" s="91">
        <f>(( 0 + 'BRAWLERS OFICIAL'!K4)-'BRAWLERS OFICIAL'!K4)/$BN4</f>
        <v>0</v>
      </c>
      <c r="L4" s="91">
        <f>(( 0 + 'BRAWLERS OFICIAL'!L4)-'BRAWLERS OFICIAL'!L4)/$BN4</f>
        <v>0</v>
      </c>
      <c r="M4" s="91">
        <f>(( 0 + 'BRAWLERS OFICIAL'!M4)-'BRAWLERS OFICIAL'!M4)/$BN4</f>
        <v>0</v>
      </c>
      <c r="N4" s="91">
        <f>(( 0 + 'BRAWLERS OFICIAL'!N4)-'BRAWLERS OFICIAL'!N4)/$BN4</f>
        <v>0</v>
      </c>
      <c r="O4" s="91">
        <f>(( 'BRAWLERS OFICIAL'!O4/20 + 'BRAWLERS OFICIAL'!O4)-'BRAWLERS OFICIAL'!O4)/$BN4</f>
        <v>11.111111111111111</v>
      </c>
      <c r="P4" s="91">
        <f>(( 'BRAWLERS OFICIAL'!P4/20 + 'BRAWLERS OFICIAL'!P4)-'BRAWLERS OFICIAL'!P4)/$BN4</f>
        <v>11.111111111111111</v>
      </c>
      <c r="Q4" s="91">
        <f>(( 'BRAWLERS OFICIAL'!Q4/20 + 'BRAWLERS OFICIAL'!Q4)-'BRAWLERS OFICIAL'!Q4)/$BN4</f>
        <v>11.111111111111111</v>
      </c>
      <c r="R4" s="91">
        <f>(( 'BRAWLERS OFICIAL'!R4/20 + 'BRAWLERS OFICIAL'!R4)-'BRAWLERS OFICIAL'!R4)/$BN4</f>
        <v>11.111111111111111</v>
      </c>
      <c r="S4" s="91">
        <f>(( 'BRAWLERS OFICIAL'!S4/20 + 'BRAWLERS OFICIAL'!S4)-'BRAWLERS OFICIAL'!S4)/$BN4</f>
        <v>11.111111111111111</v>
      </c>
      <c r="T4" s="91">
        <f>(( 0 + 'BRAWLERS OFICIAL'!T4)-'BRAWLERS OFICIAL'!T4)/$BN4</f>
        <v>0</v>
      </c>
      <c r="U4" s="91">
        <f>(( 0 + 'BRAWLERS OFICIAL'!U4)-'BRAWLERS OFICIAL'!U4)/$BN4</f>
        <v>0</v>
      </c>
      <c r="V4" s="102">
        <f>(( ('BRAWLERS OFICIAL'!V4/20) + 'BRAWLERS OFICIAL'!V4 + AN4 + AV4/3.5 )-'BRAWLERS OFICIAL'!V4)/($BN4)</f>
        <v>2.4603174603174613E-2</v>
      </c>
      <c r="W4" s="92">
        <f>((0 + 'BRAWLERS OFICIAL'!W4)-'BRAWLERS OFICIAL'!W4)/($BN4)</f>
        <v>0</v>
      </c>
      <c r="X4" s="92">
        <f>(((0)/3 + 'BRAWLERS OFICIAL'!X4)-'BRAWLERS OFICIAL'!X4)</f>
        <v>0</v>
      </c>
      <c r="Y4" s="92">
        <f>((0 + 'BRAWLERS OFICIAL'!Y4)-'BRAWLERS OFICIAL'!Y4)/($BN4)</f>
        <v>0</v>
      </c>
      <c r="Z4" s="92">
        <f>((0 + 'BRAWLERS OFICIAL'!Z4)-'BRAWLERS OFICIAL'!Z4)</f>
        <v>0</v>
      </c>
      <c r="AA4" s="92">
        <f>(((0)/4 + 'BRAWLERS OFICIAL'!AA4)-'BRAWLERS OFICIAL'!AA4)/($BN4)</f>
        <v>0</v>
      </c>
      <c r="AB4" s="92">
        <f>((0 + 'BRAWLERS OFICIAL'!AB4)-'BRAWLERS OFICIAL'!AB4)/($BN4)</f>
        <v>0</v>
      </c>
      <c r="AC4" s="92">
        <f>((0 + 'BRAWLERS OFICIAL'!AC4)-'BRAWLERS OFICIAL'!AC4)/($BN4)</f>
        <v>0</v>
      </c>
      <c r="AD4" s="92">
        <f>((0 + 'BRAWLERS OFICIAL'!AD4)-'BRAWLERS OFICIAL'!AD4)/($BN4)</f>
        <v>0</v>
      </c>
      <c r="AE4" s="92">
        <f>((0 + 'BRAWLERS OFICIAL'!AE4)-'BRAWLERS OFICIAL'!AE4)/($BN4)</f>
        <v>0</v>
      </c>
      <c r="AF4" s="92">
        <f>((0 + 'BRAWLERS OFICIAL'!AF4)-'BRAWLERS OFICIAL'!AF4)/($BN4)</f>
        <v>0</v>
      </c>
      <c r="AG4" s="92">
        <f>((0 + 'BRAWLERS OFICIAL'!AG4)-'BRAWLERS OFICIAL'!AG4)/($BN4)</f>
        <v>0</v>
      </c>
      <c r="AH4" s="92">
        <f>(( ('BRAWLERS OFICIAL'!AH4/5) + 'BRAWLERS OFICIAL'!AH4)-'BRAWLERS OFICIAL'!AH4)/($BN4)</f>
        <v>0.20000000000000007</v>
      </c>
      <c r="AI4" s="92">
        <f>((0 + 'BRAWLERS OFICIAL'!AI4)-'BRAWLERS OFICIAL'!AI4)/($BN4)</f>
        <v>0</v>
      </c>
      <c r="AJ4" s="92">
        <f>(((BH4/5+1)*AI4 + 'BRAWLERS OFICIAL'!AJ4)-'BRAWLERS OFICIAL'!AJ4)/($BN4)</f>
        <v>0</v>
      </c>
      <c r="AK4" s="92">
        <f>IF( 0 = (1-1), (1-1), ((0 + 'BRAWLERS OFICIAL'!AK4)/1.5)-'BRAWLERS OFICIAL'!AK4 )/($BN4)</f>
        <v>0</v>
      </c>
      <c r="AL4" s="92">
        <f t="shared" ref="AL4:AL20" si="0">IF( 0 = (1-1), (1-1), ( 0 ) )/($BN4)</f>
        <v>0</v>
      </c>
      <c r="AM4" s="92">
        <f>((0 + 'BRAWLERS OFICIAL'!AM4)-'BRAWLERS OFICIAL'!AM4)/($BN4)</f>
        <v>0</v>
      </c>
      <c r="AN4" s="92">
        <f>((0/1000 + 'BRAWLERS OFICIAL'!AN4)-'BRAWLERS OFICIAL'!AN4)/($BN4)</f>
        <v>0</v>
      </c>
      <c r="AO4" s="92">
        <f>((0 + 'BRAWLERS OFICIAL'!AO4)-'BRAWLERS OFICIAL'!AO4)/($BN4)</f>
        <v>0</v>
      </c>
      <c r="AP4" s="92">
        <f>IF( 0 = (1-1), (1-1), ((0 + 'BRAWLERS OFICIAL'!AP4)/1.5) )/($BN4)</f>
        <v>0</v>
      </c>
      <c r="AQ4" s="92">
        <f>IF( 0 = (1-1), (1-1), ((0 + 'BRAWLERS OFICIAL'!AQ4)/1.5) )/($BN4)</f>
        <v>0</v>
      </c>
      <c r="AR4" s="92">
        <f>IF( 0 = (1-1), (1-1), ((0 + 'BRAWLERS OFICIAL'!AR4)/2) )/($BN4)</f>
        <v>0</v>
      </c>
      <c r="AS4" s="92">
        <f>((0 + 'BRAWLERS OFICIAL'!AS4)-'BRAWLERS OFICIAL'!AS4)/($BN4)</f>
        <v>0</v>
      </c>
      <c r="AT4" s="92">
        <f>(((0)/4 + 'BRAWLERS OFICIAL'!AT4)-'BRAWLERS OFICIAL'!AT4)/($BN4)</f>
        <v>0</v>
      </c>
      <c r="AU4" s="92">
        <v>0</v>
      </c>
      <c r="AV4" s="91">
        <f>((( 0 )/3 + 'BRAWLERS OFICIAL'!AV4)-'BRAWLERS OFICIAL'!AV4)</f>
        <v>0</v>
      </c>
      <c r="AW4" s="91">
        <f>((( 0 )/2 + 'BRAWLERS OFICIAL'!AW4)-'BRAWLERS OFICIAL'!AW4)/($BN4)</f>
        <v>0</v>
      </c>
      <c r="AX4" s="91">
        <f>((( 0 )/2 + 'BRAWLERS OFICIAL'!AX4)-'BRAWLERS OFICIAL'!AX4)</f>
        <v>0</v>
      </c>
      <c r="AY4" s="91">
        <f>((( 0 )/3 + 'BRAWLERS OFICIAL'!AY4)-'BRAWLERS OFICIAL'!AY4)</f>
        <v>0</v>
      </c>
      <c r="AZ4" s="91">
        <f>((( 0 )/2 + 'BRAWLERS OFICIAL'!AZ4)-'BRAWLERS OFICIAL'!AZ4)/($BN4)</f>
        <v>0</v>
      </c>
      <c r="BA4" s="91">
        <f>((( 0 )/3 + 'BRAWLERS OFICIAL'!BA4)-'BRAWLERS OFICIAL'!BA4)</f>
        <v>0</v>
      </c>
      <c r="BB4" s="91">
        <f>((( 0 )/3 + 'BRAWLERS OFICIAL'!BB4)-'BRAWLERS OFICIAL'!BB4)</f>
        <v>0</v>
      </c>
      <c r="BC4" s="91">
        <f>((0 + 'BRAWLERS OFICIAL'!BC4)-'BRAWLERS OFICIAL'!BC4)/($BN4)</f>
        <v>0</v>
      </c>
      <c r="BD4" s="91">
        <f>((5 + 'BRAWLERS OFICIAL'!BD4)-'BRAWLERS OFICIAL'!BD4)/($BN4)</f>
        <v>0.55555555555555558</v>
      </c>
      <c r="BE4" s="91">
        <f>((( 0 )/2 + 'BRAWLERS OFICIAL'!BE4)-'BRAWLERS OFICIAL'!BE4)</f>
        <v>0</v>
      </c>
      <c r="BF4" s="91">
        <f>((0 + 'BRAWLERS OFICIAL'!BF4)-'BRAWLERS OFICIAL'!BF4)/($BN4)</f>
        <v>0</v>
      </c>
      <c r="BG4" s="91">
        <f>((( 0 )/2 + 'BRAWLERS OFICIAL'!BG4)-'BRAWLERS OFICIAL'!BG4)</f>
        <v>0</v>
      </c>
      <c r="BH4" s="91">
        <f>((( 0 )/3 + 'BRAWLERS OFICIAL'!BH4)-'BRAWLERS OFICIAL'!BH4)</f>
        <v>0</v>
      </c>
      <c r="BI4" s="91">
        <f>((( 0 )/2 + 'BRAWLERS OFICIAL'!BI4)-'BRAWLERS OFICIAL'!BI4)</f>
        <v>0</v>
      </c>
      <c r="BJ4" s="91">
        <f>((0 + 'BRAWLERS OFICIAL'!BJ4)-'BRAWLERS OFICIAL'!BJ4)/($BN4)</f>
        <v>0</v>
      </c>
      <c r="BK4" s="91">
        <f>((0 + 'BRAWLERS OFICIAL'!BK4)-'BRAWLERS OFICIAL'!BK4)/($BN4)</f>
        <v>0</v>
      </c>
      <c r="BL4" s="91">
        <f>((0 + 'BRAWLERS OFICIAL'!BL4)-'BRAWLERS OFICIAL'!BL4)/($BN4)</f>
        <v>0</v>
      </c>
      <c r="BN4" s="100">
        <f>('BRAWLERS OFICIAL'!D4 / 'BRAWLERS OFICIAL'!H4 / (1 + ('BRAWLERS OFICIAL'!Y4/5)))*'BRAWLERS OFICIAL'!E4</f>
        <v>9</v>
      </c>
    </row>
    <row r="5" spans="1:66">
      <c r="B5" s="86" t="s">
        <v>474</v>
      </c>
      <c r="C5" s="88" t="s">
        <v>88</v>
      </c>
      <c r="D5" s="91">
        <f>(( 0 + 'BRAWLERS OFICIAL'!D5)-'BRAWLERS OFICIAL'!D5)/$BN5</f>
        <v>0</v>
      </c>
      <c r="E5" s="91">
        <f>(( 0 + 'BRAWLERS OFICIAL'!E5)-'BRAWLERS OFICIAL'!E5)/$BN5</f>
        <v>0</v>
      </c>
      <c r="F5" s="91">
        <f>(( ('BRAWLERS OFICIAL'!F5/20) + 'BRAWLERS OFICIAL'!F5)-'BRAWLERS OFICIAL'!F5)/$BN5</f>
        <v>6.666666666666667</v>
      </c>
      <c r="G5" s="91">
        <f>(( 0 + 'BRAWLERS OFICIAL'!G5)-'BRAWLERS OFICIAL'!G5)/$BN5</f>
        <v>0</v>
      </c>
      <c r="H5" s="91">
        <f>(( 0 + 'BRAWLERS OFICIAL'!H5)-'BRAWLERS OFICIAL'!H5)/$BN5</f>
        <v>0</v>
      </c>
      <c r="I5" s="91">
        <f>(( 0 + 'BRAWLERS OFICIAL'!I5)-'BRAWLERS OFICIAL'!I5)/$BN5</f>
        <v>0</v>
      </c>
      <c r="J5" s="91">
        <f>(( 0 + 'BRAWLERS OFICIAL'!J5)-'BRAWLERS OFICIAL'!J5)/$BN5</f>
        <v>0</v>
      </c>
      <c r="K5" s="91">
        <f>(( 0 + 'BRAWLERS OFICIAL'!K5)-'BRAWLERS OFICIAL'!K5)/$BN5</f>
        <v>0</v>
      </c>
      <c r="L5" s="91">
        <f>(( 0 + 'BRAWLERS OFICIAL'!L5)-'BRAWLERS OFICIAL'!L5)/$BN5</f>
        <v>0</v>
      </c>
      <c r="M5" s="91">
        <f>(( 0 + 'BRAWLERS OFICIAL'!M5)-'BRAWLERS OFICIAL'!M5)/$BN5</f>
        <v>0</v>
      </c>
      <c r="N5" s="91">
        <f>(( 0 + 'BRAWLERS OFICIAL'!N5)-'BRAWLERS OFICIAL'!N5)/$BN5</f>
        <v>0</v>
      </c>
      <c r="O5" s="91">
        <f>(( 'BRAWLERS OFICIAL'!O5/20 + 'BRAWLERS OFICIAL'!O5)-'BRAWLERS OFICIAL'!O5)/$BN5</f>
        <v>96</v>
      </c>
      <c r="P5" s="91">
        <f>(( 'BRAWLERS OFICIAL'!P5/20 + 'BRAWLERS OFICIAL'!P5)-'BRAWLERS OFICIAL'!P5)/$BN5</f>
        <v>72</v>
      </c>
      <c r="Q5" s="91">
        <f>(( 'BRAWLERS OFICIAL'!Q5/20 + 'BRAWLERS OFICIAL'!Q5)-'BRAWLERS OFICIAL'!Q5)/$BN5</f>
        <v>48</v>
      </c>
      <c r="R5" s="91">
        <f>(( 'BRAWLERS OFICIAL'!R5/20 + 'BRAWLERS OFICIAL'!R5)-'BRAWLERS OFICIAL'!R5)/$BN5</f>
        <v>24</v>
      </c>
      <c r="S5" s="91">
        <f>(( 'BRAWLERS OFICIAL'!S5/20 + 'BRAWLERS OFICIAL'!S5)-'BRAWLERS OFICIAL'!S5)/$BN5</f>
        <v>96</v>
      </c>
      <c r="T5" s="91">
        <f>(( 0 + 'BRAWLERS OFICIAL'!T5)-'BRAWLERS OFICIAL'!T5)/$BN5</f>
        <v>0</v>
      </c>
      <c r="U5" s="91">
        <f>(( 0 + 'BRAWLERS OFICIAL'!U5)-'BRAWLERS OFICIAL'!U5)/$BN5</f>
        <v>0</v>
      </c>
      <c r="V5" s="102">
        <f>(( ('BRAWLERS OFICIAL'!V5/20) + 'BRAWLERS OFICIAL'!V5 + AN5 + AV5/3.5 )-'BRAWLERS OFICIAL'!V5)/($BN5)</f>
        <v>4.7619047619047644E-2</v>
      </c>
      <c r="W5" s="92">
        <f>((2 + 'BRAWLERS OFICIAL'!W5)-'BRAWLERS OFICIAL'!W5)/($BN5)</f>
        <v>0.44444444444444442</v>
      </c>
      <c r="X5" s="92">
        <f>(((0)/3 + 'BRAWLERS OFICIAL'!X5)-'BRAWLERS OFICIAL'!X5)</f>
        <v>0</v>
      </c>
      <c r="Y5" s="92">
        <f>((0 + 'BRAWLERS OFICIAL'!Y5)-'BRAWLERS OFICIAL'!Y5)/($BN5)</f>
        <v>0</v>
      </c>
      <c r="Z5" s="92">
        <f>((0.5 + 'BRAWLERS OFICIAL'!Z5)-'BRAWLERS OFICIAL'!Z5)</f>
        <v>0.5</v>
      </c>
      <c r="AA5" s="92">
        <f>(((0)/4 + 'BRAWLERS OFICIAL'!AA5)-'BRAWLERS OFICIAL'!AA5)/($BN5)</f>
        <v>0</v>
      </c>
      <c r="AB5" s="92">
        <f>((0 + 'BRAWLERS OFICIAL'!AB5)-'BRAWLERS OFICIAL'!AB5)/($BN5)</f>
        <v>0</v>
      </c>
      <c r="AC5" s="92">
        <f>((0 + 'BRAWLERS OFICIAL'!AC5)-'BRAWLERS OFICIAL'!AC5)/($BN5)</f>
        <v>0</v>
      </c>
      <c r="AD5" s="92">
        <f>((0 + 'BRAWLERS OFICIAL'!AD5)-'BRAWLERS OFICIAL'!AD5)/($BN5)</f>
        <v>0</v>
      </c>
      <c r="AE5" s="92">
        <f>((0 + 'BRAWLERS OFICIAL'!AE5)-'BRAWLERS OFICIAL'!AE5)/($BN5)</f>
        <v>0</v>
      </c>
      <c r="AF5" s="92">
        <f>((0 + 'BRAWLERS OFICIAL'!AF5)-'BRAWLERS OFICIAL'!AF5)/($BN5)</f>
        <v>0</v>
      </c>
      <c r="AG5" s="92">
        <f>((0 + 'BRAWLERS OFICIAL'!AG5)-'BRAWLERS OFICIAL'!AG5)/($BN5)</f>
        <v>0</v>
      </c>
      <c r="AH5" s="92">
        <f>(( ('BRAWLERS OFICIAL'!AH5/5) + 'BRAWLERS OFICIAL'!AH5)-'BRAWLERS OFICIAL'!AH5)/($BN5)</f>
        <v>0.22222222222222221</v>
      </c>
      <c r="AI5" s="92">
        <f>((0 + 'BRAWLERS OFICIAL'!AI5)-'BRAWLERS OFICIAL'!AI5)/($BN5)</f>
        <v>0</v>
      </c>
      <c r="AJ5" s="92">
        <f>(((BH5/5+1)*AI5 + 'BRAWLERS OFICIAL'!AJ5)-'BRAWLERS OFICIAL'!AJ5)/($BN5)</f>
        <v>0</v>
      </c>
      <c r="AK5" s="92">
        <f>IF( 0 = (1-1), (1-1), ((0 + 'BRAWLERS OFICIAL'!AK5)/1.5)-'BRAWLERS OFICIAL'!AK5 )/($BN5)</f>
        <v>0</v>
      </c>
      <c r="AL5" s="92">
        <f t="shared" si="0"/>
        <v>0</v>
      </c>
      <c r="AM5" s="92">
        <f>((0 + 'BRAWLERS OFICIAL'!AM5)-'BRAWLERS OFICIAL'!AM5)/($BN5)</f>
        <v>0</v>
      </c>
      <c r="AN5" s="92">
        <f>((0/1000 + 'BRAWLERS OFICIAL'!AN5)-'BRAWLERS OFICIAL'!AN5)/($BN5)</f>
        <v>0</v>
      </c>
      <c r="AO5" s="92">
        <f>((0 + 'BRAWLERS OFICIAL'!AO5)-'BRAWLERS OFICIAL'!AO5)/($BN5)</f>
        <v>0</v>
      </c>
      <c r="AP5" s="92">
        <f>IF( 0 = (1-1), (1-1), ((0 + 'BRAWLERS OFICIAL'!AP5)/1.5) )/($BN5)</f>
        <v>0</v>
      </c>
      <c r="AQ5" s="92">
        <f>IF( 0 = (1-1), (1-1), ((0 + 'BRAWLERS OFICIAL'!AQ5)/1.5) )/($BN5)</f>
        <v>0</v>
      </c>
      <c r="AR5" s="92">
        <f>IF( 0 = (1-1), (1-1), ((0 + 'BRAWLERS OFICIAL'!AR5)/2) )/($BN5)</f>
        <v>0</v>
      </c>
      <c r="AS5" s="92">
        <f>((0 + 'BRAWLERS OFICIAL'!AS5)-'BRAWLERS OFICIAL'!AS5)/($BN5)</f>
        <v>0</v>
      </c>
      <c r="AT5" s="92">
        <f>(((0)/4 + 'BRAWLERS OFICIAL'!AT5)-'BRAWLERS OFICIAL'!AT5)/($BN5)</f>
        <v>0</v>
      </c>
      <c r="AU5" s="92">
        <v>0</v>
      </c>
      <c r="AV5" s="91">
        <f>((( 0 )/3 + 'BRAWLERS OFICIAL'!AV5)-'BRAWLERS OFICIAL'!AV5)</f>
        <v>0</v>
      </c>
      <c r="AW5" s="91">
        <f>((( 0 )/2 + 'BRAWLERS OFICIAL'!AW5)-'BRAWLERS OFICIAL'!AW5)/($BN5)</f>
        <v>0</v>
      </c>
      <c r="AX5" s="91">
        <f>((( 0 )/2 + 'BRAWLERS OFICIAL'!AX5)-'BRAWLERS OFICIAL'!AX5)</f>
        <v>0</v>
      </c>
      <c r="AY5" s="91">
        <f>((( 0 )/3 + 'BRAWLERS OFICIAL'!AY5)-'BRAWLERS OFICIAL'!AY5)</f>
        <v>0</v>
      </c>
      <c r="AZ5" s="91">
        <f>((( 0 )/2 + 'BRAWLERS OFICIAL'!AZ5)-'BRAWLERS OFICIAL'!AZ5)/($BN5)</f>
        <v>0</v>
      </c>
      <c r="BA5" s="91">
        <f>((( 0 )/3 + 'BRAWLERS OFICIAL'!BA5)-'BRAWLERS OFICIAL'!BA5)</f>
        <v>0</v>
      </c>
      <c r="BB5" s="91">
        <f>((( 0 )/3 + 'BRAWLERS OFICIAL'!BB5)-'BRAWLERS OFICIAL'!BB5)</f>
        <v>0</v>
      </c>
      <c r="BC5" s="91">
        <f>((0 + 'BRAWLERS OFICIAL'!BC5)-'BRAWLERS OFICIAL'!BC5)/($BN5)</f>
        <v>0</v>
      </c>
      <c r="BD5" s="91">
        <f>((0 + 'BRAWLERS OFICIAL'!BD5)-'BRAWLERS OFICIAL'!BD5)/($BN5)</f>
        <v>0</v>
      </c>
      <c r="BE5" s="91">
        <f>((( 0 )/2 + 'BRAWLERS OFICIAL'!BE5)-'BRAWLERS OFICIAL'!BE5)</f>
        <v>0</v>
      </c>
      <c r="BF5" s="91">
        <f>((0 + 'BRAWLERS OFICIAL'!BF5)-'BRAWLERS OFICIAL'!BF5)/($BN5)</f>
        <v>0</v>
      </c>
      <c r="BG5" s="91">
        <f>((( 0 )/2 + 'BRAWLERS OFICIAL'!BG5)-'BRAWLERS OFICIAL'!BG5)</f>
        <v>0</v>
      </c>
      <c r="BH5" s="91">
        <f>((( 0 )/3 + 'BRAWLERS OFICIAL'!BH5)-'BRAWLERS OFICIAL'!BH5)</f>
        <v>0</v>
      </c>
      <c r="BI5" s="91">
        <f>((( 0 )/2 + 'BRAWLERS OFICIAL'!BI5)-'BRAWLERS OFICIAL'!BI5)</f>
        <v>0</v>
      </c>
      <c r="BJ5" s="91">
        <f>((0 + 'BRAWLERS OFICIAL'!BJ5)-'BRAWLERS OFICIAL'!BJ5)/($BN5)</f>
        <v>0</v>
      </c>
      <c r="BK5" s="91">
        <f>((0 + 'BRAWLERS OFICIAL'!BK5)-'BRAWLERS OFICIAL'!BK5)/($BN5)</f>
        <v>0</v>
      </c>
      <c r="BL5" s="91">
        <f>((0 + 'BRAWLERS OFICIAL'!BL5)-'BRAWLERS OFICIAL'!BL5)/($BN5)</f>
        <v>0</v>
      </c>
      <c r="BN5" s="100">
        <f>('BRAWLERS OFICIAL'!D5 / 'BRAWLERS OFICIAL'!H5 / (1 + ('BRAWLERS OFICIAL'!Y5/5)))*'BRAWLERS OFICIAL'!E5</f>
        <v>4.5</v>
      </c>
    </row>
    <row r="6" spans="1:66">
      <c r="B6" s="86" t="s">
        <v>475</v>
      </c>
      <c r="C6" s="87" t="s">
        <v>96</v>
      </c>
      <c r="D6" s="91">
        <f>(( 0 + 'BRAWLERS OFICIAL'!D6)-'BRAWLERS OFICIAL'!D6)/$BN6</f>
        <v>0</v>
      </c>
      <c r="E6" s="91">
        <f>(( 0 + 'BRAWLERS OFICIAL'!E6)-'BRAWLERS OFICIAL'!E6)/$BN6</f>
        <v>0</v>
      </c>
      <c r="F6" s="91">
        <f>(( ('BRAWLERS OFICIAL'!F6/20) + 'BRAWLERS OFICIAL'!F6)-'BRAWLERS OFICIAL'!F6)/$BN6</f>
        <v>10.176923076923076</v>
      </c>
      <c r="G6" s="91">
        <f>(( 0 + 'BRAWLERS OFICIAL'!G6)-'BRAWLERS OFICIAL'!G6)/$BN6</f>
        <v>0</v>
      </c>
      <c r="H6" s="91">
        <f>(( 4 + 'BRAWLERS OFICIAL'!H6)-'BRAWLERS OFICIAL'!H6)/$BN6</f>
        <v>0.8307692307692307</v>
      </c>
      <c r="I6" s="91">
        <f>(( 4 + 'BRAWLERS OFICIAL'!I6)-'BRAWLERS OFICIAL'!I6)/$BN6</f>
        <v>0.8307692307692307</v>
      </c>
      <c r="J6" s="91">
        <f>(( 2 + 'BRAWLERS OFICIAL'!J6)-'BRAWLERS OFICIAL'!J6)/$BN6</f>
        <v>0.41538461538461535</v>
      </c>
      <c r="K6" s="91">
        <f>(( 1.5 + 'BRAWLERS OFICIAL'!K6)-'BRAWLERS OFICIAL'!K6)/$BN6</f>
        <v>0.31153846153846154</v>
      </c>
      <c r="L6" s="91">
        <f>(( 0.5 + 'BRAWLERS OFICIAL'!L6)-'BRAWLERS OFICIAL'!L6)/$BN6</f>
        <v>0.10384615384615384</v>
      </c>
      <c r="M6" s="91">
        <f>(( 0 + 'BRAWLERS OFICIAL'!M6)-'BRAWLERS OFICIAL'!M6)/$BN6</f>
        <v>0</v>
      </c>
      <c r="N6" s="91">
        <f>(( 0 + 'BRAWLERS OFICIAL'!N6)-'BRAWLERS OFICIAL'!N6)/$BN6</f>
        <v>0</v>
      </c>
      <c r="O6" s="91">
        <f>(( 'BRAWLERS OFICIAL'!O6/20 + 'BRAWLERS OFICIAL'!O6)-'BRAWLERS OFICIAL'!O6)/$BN6</f>
        <v>41.53846153846154</v>
      </c>
      <c r="P6" s="91">
        <f>(( 'BRAWLERS OFICIAL'!P6/20 + 'BRAWLERS OFICIAL'!P6)-'BRAWLERS OFICIAL'!P6)/$BN6</f>
        <v>33.230769230769234</v>
      </c>
      <c r="Q6" s="91">
        <f>(( 'BRAWLERS OFICIAL'!Q6/20 + 'BRAWLERS OFICIAL'!Q6)-'BRAWLERS OFICIAL'!Q6)/$BN6</f>
        <v>16.615384615384617</v>
      </c>
      <c r="R6" s="91">
        <f>(( 'BRAWLERS OFICIAL'!R6/20 + 'BRAWLERS OFICIAL'!R6)-'BRAWLERS OFICIAL'!R6)/$BN6</f>
        <v>8.3076923076923084</v>
      </c>
      <c r="S6" s="91">
        <f>(( 'BRAWLERS OFICIAL'!S6/20 + 'BRAWLERS OFICIAL'!S6)-'BRAWLERS OFICIAL'!S6)/$BN6</f>
        <v>41.53846153846154</v>
      </c>
      <c r="T6" s="91">
        <f>(( 0 + 'BRAWLERS OFICIAL'!T6)-'BRAWLERS OFICIAL'!T6)/$BN6</f>
        <v>0</v>
      </c>
      <c r="U6" s="91">
        <f>(( 0 + 'BRAWLERS OFICIAL'!U6)-'BRAWLERS OFICIAL'!U6)/$BN6</f>
        <v>0</v>
      </c>
      <c r="V6" s="102">
        <f>(( ('BRAWLERS OFICIAL'!V6/20) + 'BRAWLERS OFICIAL'!V6 + AN6 + AV6/3.5 )-'BRAWLERS OFICIAL'!V6)/($BN6)</f>
        <v>4.4505494505494528E-2</v>
      </c>
      <c r="W6" s="92">
        <f>((1 + 'BRAWLERS OFICIAL'!W6)-'BRAWLERS OFICIAL'!W6)/($BN6)</f>
        <v>0.20769230769230768</v>
      </c>
      <c r="X6" s="92">
        <f>(((0)/3 + 'BRAWLERS OFICIAL'!X6)-'BRAWLERS OFICIAL'!X6)</f>
        <v>0</v>
      </c>
      <c r="Y6" s="92">
        <f>((0 + 'BRAWLERS OFICIAL'!Y6)-'BRAWLERS OFICIAL'!Y6)/($BN6)</f>
        <v>0</v>
      </c>
      <c r="Z6" s="92">
        <f>((0.3 + 'BRAWLERS OFICIAL'!Z6)-'BRAWLERS OFICIAL'!Z6)</f>
        <v>0.29999999999999982</v>
      </c>
      <c r="AA6" s="92">
        <f>(((9 + 4 + 5 + 7)/4 + 'BRAWLERS OFICIAL'!AA6)-'BRAWLERS OFICIAL'!AA6)/($BN6)</f>
        <v>1.2980769230769231</v>
      </c>
      <c r="AB6" s="92">
        <f>((0 + 'BRAWLERS OFICIAL'!AB6)-'BRAWLERS OFICIAL'!AB6)/($BN6)</f>
        <v>0</v>
      </c>
      <c r="AC6" s="92">
        <f>((0 + 'BRAWLERS OFICIAL'!AC6)-'BRAWLERS OFICIAL'!AC6)/($BN6)</f>
        <v>0</v>
      </c>
      <c r="AD6" s="92">
        <f>((0 + 'BRAWLERS OFICIAL'!AD6)-'BRAWLERS OFICIAL'!AD6)/($BN6)</f>
        <v>0</v>
      </c>
      <c r="AE6" s="92">
        <f>((0 + 'BRAWLERS OFICIAL'!AE6)-'BRAWLERS OFICIAL'!AE6)/($BN6)</f>
        <v>0</v>
      </c>
      <c r="AF6" s="92">
        <f>((0 + 'BRAWLERS OFICIAL'!AF6)-'BRAWLERS OFICIAL'!AF6)/($BN6)</f>
        <v>0</v>
      </c>
      <c r="AG6" s="92">
        <f>((0 + 'BRAWLERS OFICIAL'!AG6)-'BRAWLERS OFICIAL'!AG6)/($BN6)</f>
        <v>0</v>
      </c>
      <c r="AH6" s="92">
        <f>(( ('BRAWLERS OFICIAL'!AH6/5) + 'BRAWLERS OFICIAL'!AH6)-'BRAWLERS OFICIAL'!AH6)/($BN6)</f>
        <v>0.20769230769230768</v>
      </c>
      <c r="AI6" s="92">
        <f>((0 + 'BRAWLERS OFICIAL'!AI6)-'BRAWLERS OFICIAL'!AI6)/($BN6)</f>
        <v>0</v>
      </c>
      <c r="AJ6" s="92">
        <f>(((BH6/5+1)*AI6 + 'BRAWLERS OFICIAL'!AJ6)-'BRAWLERS OFICIAL'!AJ6)/($BN6)</f>
        <v>0</v>
      </c>
      <c r="AK6" s="92">
        <f>IF( 0 = (1-1), (1-1), ((0 + 'BRAWLERS OFICIAL'!AK6)/1.5)-'BRAWLERS OFICIAL'!AK6 )/($BN6)</f>
        <v>0</v>
      </c>
      <c r="AL6" s="92">
        <f t="shared" si="0"/>
        <v>0</v>
      </c>
      <c r="AM6" s="92">
        <f>((0 + 'BRAWLERS OFICIAL'!AM6)-'BRAWLERS OFICIAL'!AM6)/($BN6)</f>
        <v>0</v>
      </c>
      <c r="AN6" s="92">
        <f>((0/1000 + 'BRAWLERS OFICIAL'!AN6)-'BRAWLERS OFICIAL'!AN6)/($BN6)</f>
        <v>0</v>
      </c>
      <c r="AO6" s="92">
        <f>((0 + 'BRAWLERS OFICIAL'!AO6)-'BRAWLERS OFICIAL'!AO6)/($BN6)</f>
        <v>0</v>
      </c>
      <c r="AP6" s="92">
        <f>IF( 0 = (1-1), (1-1), ((0 + 'BRAWLERS OFICIAL'!AP6)/1.5) )/($BN6)</f>
        <v>0</v>
      </c>
      <c r="AQ6" s="92">
        <f>IF( 0 = (1-1), (1-1), ((0 + 'BRAWLERS OFICIAL'!AQ6)/1.5) )/($BN6)</f>
        <v>0</v>
      </c>
      <c r="AR6" s="92">
        <f>IF( 0 = (1-1), (1-1), ((0 + 'BRAWLERS OFICIAL'!AR6)/2) )/($BN6)</f>
        <v>0</v>
      </c>
      <c r="AS6" s="92">
        <f>((0 + 'BRAWLERS OFICIAL'!AS6)-'BRAWLERS OFICIAL'!AS6)/($BN6)</f>
        <v>0</v>
      </c>
      <c r="AT6" s="92">
        <f>(((0)/4 + 'BRAWLERS OFICIAL'!AT6)-'BRAWLERS OFICIAL'!AT6)/($BN6)</f>
        <v>0</v>
      </c>
      <c r="AU6" s="92">
        <v>0</v>
      </c>
      <c r="AV6" s="91">
        <f>((( 0 )/3 + 'BRAWLERS OFICIAL'!AV6)-'BRAWLERS OFICIAL'!AV6)</f>
        <v>0</v>
      </c>
      <c r="AW6" s="91">
        <f>((( 0 )/2 + 'BRAWLERS OFICIAL'!AW6)-'BRAWLERS OFICIAL'!AW6)/($BN6)</f>
        <v>0</v>
      </c>
      <c r="AX6" s="91">
        <f>((( 0 )/2 + 'BRAWLERS OFICIAL'!AX6)-'BRAWLERS OFICIAL'!AX6)</f>
        <v>0</v>
      </c>
      <c r="AY6" s="91">
        <f>((( 0 )/3 + 'BRAWLERS OFICIAL'!AY6)-'BRAWLERS OFICIAL'!AY6)</f>
        <v>0</v>
      </c>
      <c r="AZ6" s="91">
        <f>((( 0 )/2 + 'BRAWLERS OFICIAL'!AZ6)-'BRAWLERS OFICIAL'!AZ6)/($BN6)</f>
        <v>0</v>
      </c>
      <c r="BA6" s="91">
        <f>((( 0 )/3 + 'BRAWLERS OFICIAL'!BA6)-'BRAWLERS OFICIAL'!BA6)</f>
        <v>0</v>
      </c>
      <c r="BB6" s="91">
        <f>((( 0 )/3 + 'BRAWLERS OFICIAL'!BB6)-'BRAWLERS OFICIAL'!BB6)</f>
        <v>0</v>
      </c>
      <c r="BC6" s="91">
        <f>((0 + 'BRAWLERS OFICIAL'!BC6)-'BRAWLERS OFICIAL'!BC6)/($BN6)</f>
        <v>0</v>
      </c>
      <c r="BD6" s="91">
        <f>((0 + 'BRAWLERS OFICIAL'!BD6)-'BRAWLERS OFICIAL'!BD6)/($BN6)</f>
        <v>0</v>
      </c>
      <c r="BE6" s="91">
        <f>((( 0 )/2 + 'BRAWLERS OFICIAL'!BE6)-'BRAWLERS OFICIAL'!BE6)</f>
        <v>0</v>
      </c>
      <c r="BF6" s="91">
        <f>((0 + 'BRAWLERS OFICIAL'!BF6)-'BRAWLERS OFICIAL'!BF6)/($BN6)</f>
        <v>0</v>
      </c>
      <c r="BG6" s="91">
        <f>((( 0 )/2 + 'BRAWLERS OFICIAL'!BG6)-'BRAWLERS OFICIAL'!BG6)</f>
        <v>0</v>
      </c>
      <c r="BH6" s="91">
        <f>((( 0 )/3 + 'BRAWLERS OFICIAL'!BH6)-'BRAWLERS OFICIAL'!BH6)</f>
        <v>0</v>
      </c>
      <c r="BI6" s="91">
        <f>((( 0 )/2 + 'BRAWLERS OFICIAL'!BI6)-'BRAWLERS OFICIAL'!BI6)</f>
        <v>0</v>
      </c>
      <c r="BJ6" s="91">
        <f>((0 + 'BRAWLERS OFICIAL'!BJ6)-'BRAWLERS OFICIAL'!BJ6)/($BN6)</f>
        <v>0</v>
      </c>
      <c r="BK6" s="91">
        <f>((0 + 'BRAWLERS OFICIAL'!BK6)-'BRAWLERS OFICIAL'!BK6)/($BN6)</f>
        <v>0</v>
      </c>
      <c r="BL6" s="91">
        <f>((0 + 'BRAWLERS OFICIAL'!BL6)-'BRAWLERS OFICIAL'!BL6)/($BN6)</f>
        <v>0</v>
      </c>
      <c r="BN6" s="100">
        <f>('BRAWLERS OFICIAL'!D6 / 'BRAWLERS OFICIAL'!H6 / (1 + ('BRAWLERS OFICIAL'!Y6/5)))*'BRAWLERS OFICIAL'!E6</f>
        <v>4.8148148148148149</v>
      </c>
    </row>
    <row r="7" spans="1:66">
      <c r="B7" s="86" t="s">
        <v>476</v>
      </c>
      <c r="C7" s="87" t="s">
        <v>62</v>
      </c>
      <c r="D7" s="91">
        <f>(( 0 + 'BRAWLERS OFICIAL'!D7)-'BRAWLERS OFICIAL'!D7)/$BN7</f>
        <v>0</v>
      </c>
      <c r="E7" s="91">
        <f>(( 0 + 'BRAWLERS OFICIAL'!E7)-'BRAWLERS OFICIAL'!E7)/$BN7</f>
        <v>0</v>
      </c>
      <c r="F7" s="91">
        <f>(( ('BRAWLERS OFICIAL'!F7/20) + 'BRAWLERS OFICIAL'!F7)-'BRAWLERS OFICIAL'!F7)/$BN7</f>
        <v>9.9096774193548391</v>
      </c>
      <c r="G7" s="91">
        <f>(( 0 + 'BRAWLERS OFICIAL'!G7)-'BRAWLERS OFICIAL'!G7)/$BN7</f>
        <v>0</v>
      </c>
      <c r="H7" s="91">
        <f>(( 0 + 'BRAWLERS OFICIAL'!H7)-'BRAWLERS OFICIAL'!H7)/$BN7</f>
        <v>0</v>
      </c>
      <c r="I7" s="91">
        <f>(( 0 + 'BRAWLERS OFICIAL'!I7)-'BRAWLERS OFICIAL'!I7)/$BN7</f>
        <v>0</v>
      </c>
      <c r="J7" s="91">
        <f>(( 0 + 'BRAWLERS OFICIAL'!J7)-'BRAWLERS OFICIAL'!J7)/$BN7</f>
        <v>0</v>
      </c>
      <c r="K7" s="91">
        <f>(( ('BRAWLERS OFICIAL'!J7 - 'BRAWLERS OFICIAL'!K7) + 'BRAWLERS OFICIAL'!K7)-'BRAWLERS OFICIAL'!K7)/$BN7</f>
        <v>0.26838709677419353</v>
      </c>
      <c r="L7" s="91">
        <f>(( ('BRAWLERS OFICIAL'!J7 - 'BRAWLERS OFICIAL'!L7) + 'BRAWLERS OFICIAL'!L7)-'BRAWLERS OFICIAL'!L7)/$BN7</f>
        <v>0.41290322580645161</v>
      </c>
      <c r="M7" s="91">
        <f>(( 0 + 'BRAWLERS OFICIAL'!M7)-'BRAWLERS OFICIAL'!M7)/$BN7</f>
        <v>0</v>
      </c>
      <c r="N7" s="91">
        <f>(( 0 + 'BRAWLERS OFICIAL'!N7)-'BRAWLERS OFICIAL'!N7)/$BN7</f>
        <v>0</v>
      </c>
      <c r="O7" s="91">
        <f>(( 'BRAWLERS OFICIAL'!O7/20 + 'BRAWLERS OFICIAL'!O7)-'BRAWLERS OFICIAL'!O7)/$BN7</f>
        <v>0</v>
      </c>
      <c r="P7" s="91">
        <f>(( 'BRAWLERS OFICIAL'!P7/20 + 'BRAWLERS OFICIAL'!P7)-'BRAWLERS OFICIAL'!P7)/$BN7</f>
        <v>0</v>
      </c>
      <c r="Q7" s="91">
        <f>(( 'BRAWLERS OFICIAL'!Q7/20 + 'BRAWLERS OFICIAL'!Q7)-'BRAWLERS OFICIAL'!Q7)/$BN7</f>
        <v>0</v>
      </c>
      <c r="R7" s="91">
        <f>(( 'BRAWLERS OFICIAL'!R7/20 + 'BRAWLERS OFICIAL'!R7)-'BRAWLERS OFICIAL'!R7)/$BN7</f>
        <v>0</v>
      </c>
      <c r="S7" s="91">
        <f>(( 'BRAWLERS OFICIAL'!S7/20 + 'BRAWLERS OFICIAL'!S7)-'BRAWLERS OFICIAL'!S7)/$BN7</f>
        <v>0</v>
      </c>
      <c r="T7" s="91">
        <f>(( 0 + 'BRAWLERS OFICIAL'!T7)-'BRAWLERS OFICIAL'!T7)/$BN7</f>
        <v>0</v>
      </c>
      <c r="U7" s="91">
        <f>(( 0 + 'BRAWLERS OFICIAL'!U7)-'BRAWLERS OFICIAL'!U7)/$BN7</f>
        <v>0</v>
      </c>
      <c r="V7" s="102">
        <f>(( ('BRAWLERS OFICIAL'!V7/20) + 'BRAWLERS OFICIAL'!V7 + AN7 + AV7/3.5 )-'BRAWLERS OFICIAL'!V7)/($BN7)</f>
        <v>4.8663594470046097E-2</v>
      </c>
      <c r="W7" s="92">
        <f>((0 + 'BRAWLERS OFICIAL'!W7)-'BRAWLERS OFICIAL'!W7)/($BN7)</f>
        <v>0</v>
      </c>
      <c r="X7" s="92">
        <f>(((0)/3 + 'BRAWLERS OFICIAL'!X7)-'BRAWLERS OFICIAL'!X7)</f>
        <v>0</v>
      </c>
      <c r="Y7" s="92">
        <f>((0 + 'BRAWLERS OFICIAL'!Y7)-'BRAWLERS OFICIAL'!Y7)/($BN7)</f>
        <v>0</v>
      </c>
      <c r="Z7" s="92">
        <f>((0 + 'BRAWLERS OFICIAL'!Z7)-'BRAWLERS OFICIAL'!Z7)</f>
        <v>0</v>
      </c>
      <c r="AA7" s="92">
        <f>(((0)/4 + 'BRAWLERS OFICIAL'!AA7)-'BRAWLERS OFICIAL'!AA7)/($BN7)</f>
        <v>0</v>
      </c>
      <c r="AB7" s="92">
        <f>((0 + 'BRAWLERS OFICIAL'!AB7)-'BRAWLERS OFICIAL'!AB7)/($BN7)</f>
        <v>0</v>
      </c>
      <c r="AC7" s="92">
        <f>((0 + 'BRAWLERS OFICIAL'!AC7)-'BRAWLERS OFICIAL'!AC7)/($BN7)</f>
        <v>0</v>
      </c>
      <c r="AD7" s="92">
        <f>((0 + 'BRAWLERS OFICIAL'!AD7)-'BRAWLERS OFICIAL'!AD7)/($BN7)</f>
        <v>0</v>
      </c>
      <c r="AE7" s="92">
        <f>((0 + 'BRAWLERS OFICIAL'!AE7)-'BRAWLERS OFICIAL'!AE7)/($BN7)</f>
        <v>0</v>
      </c>
      <c r="AF7" s="92">
        <f>((0 + 'BRAWLERS OFICIAL'!AF7)-'BRAWLERS OFICIAL'!AF7)/($BN7)</f>
        <v>0</v>
      </c>
      <c r="AG7" s="92">
        <f>((0 + 'BRAWLERS OFICIAL'!AG7)-'BRAWLERS OFICIAL'!AG7)/($BN7)</f>
        <v>0</v>
      </c>
      <c r="AH7" s="92">
        <f>(( ('BRAWLERS OFICIAL'!AH7/5) + 'BRAWLERS OFICIAL'!AH7)-'BRAWLERS OFICIAL'!AH7)/($BN7)</f>
        <v>0.37161290322580659</v>
      </c>
      <c r="AI7" s="92">
        <f>((3 + 'BRAWLERS OFICIAL'!AI7)-'BRAWLERS OFICIAL'!AI7)/($BN7)</f>
        <v>0.61935483870967745</v>
      </c>
      <c r="AJ7" s="92">
        <f>(((BH7/5+1)*AI7 + 'BRAWLERS OFICIAL'!AJ7)-'BRAWLERS OFICIAL'!AJ7)/($BN7)</f>
        <v>0.12786680541103013</v>
      </c>
      <c r="AK7" s="92">
        <f>IF( 0 = (1-1), (1-1), ((0 + 'BRAWLERS OFICIAL'!AK7)/1.5)-'BRAWLERS OFICIAL'!AK7 )/($BN7)</f>
        <v>0</v>
      </c>
      <c r="AL7" s="92">
        <f t="shared" si="0"/>
        <v>0</v>
      </c>
      <c r="AM7" s="92">
        <f>((0 + 'BRAWLERS OFICIAL'!AM7)-'BRAWLERS OFICIAL'!AM7)/($BN7)</f>
        <v>0</v>
      </c>
      <c r="AN7" s="92">
        <f>((0/1000 + 'BRAWLERS OFICIAL'!AN7)-'BRAWLERS OFICIAL'!AN7)/($BN7)</f>
        <v>0</v>
      </c>
      <c r="AO7" s="92">
        <f>((0 + 'BRAWLERS OFICIAL'!AO7)-'BRAWLERS OFICIAL'!AO7)/($BN7)</f>
        <v>0</v>
      </c>
      <c r="AP7" s="92">
        <f>IF( 0 = (1-1), (1-1), ((0 + 'BRAWLERS OFICIAL'!AP7)/1.5) )/($BN7)</f>
        <v>0</v>
      </c>
      <c r="AQ7" s="92">
        <f>IF( 0 = (1-1), (1-1), ((0 + 'BRAWLERS OFICIAL'!AQ7)/1.5) )/($BN7)</f>
        <v>0</v>
      </c>
      <c r="AR7" s="92">
        <f>IF( 0 = (1-1), (1-1), ((0 + 'BRAWLERS OFICIAL'!AR7)/2) )/($BN7)</f>
        <v>0</v>
      </c>
      <c r="AS7" s="92">
        <f>((0 + 'BRAWLERS OFICIAL'!AS7)-'BRAWLERS OFICIAL'!AS7)/($BN7)</f>
        <v>0</v>
      </c>
      <c r="AT7" s="92">
        <f>(((0)/4 + 'BRAWLERS OFICIAL'!AT7)-'BRAWLERS OFICIAL'!AT7)/($BN7)</f>
        <v>0</v>
      </c>
      <c r="AU7" s="92">
        <v>0</v>
      </c>
      <c r="AV7" s="91">
        <f>((( 0 )/3 + 'BRAWLERS OFICIAL'!AV7)-'BRAWLERS OFICIAL'!AV7)</f>
        <v>0</v>
      </c>
      <c r="AW7" s="91">
        <f>((( 0 )/2 + 'BRAWLERS OFICIAL'!AW7)-'BRAWLERS OFICIAL'!AW7)/($BN7)</f>
        <v>0</v>
      </c>
      <c r="AX7" s="91">
        <f>((( 0 )/2 + 'BRAWLERS OFICIAL'!AX7)-'BRAWLERS OFICIAL'!AX7)</f>
        <v>0</v>
      </c>
      <c r="AY7" s="91">
        <f>((( 0 )/3 + 'BRAWLERS OFICIAL'!AY7)-'BRAWLERS OFICIAL'!AY7)</f>
        <v>0</v>
      </c>
      <c r="AZ7" s="91">
        <f>((( 0 )/2 + 'BRAWLERS OFICIAL'!AZ7)-'BRAWLERS OFICIAL'!AZ7)/($BN7)</f>
        <v>0</v>
      </c>
      <c r="BA7" s="91">
        <f>((( 0 )/3 + 'BRAWLERS OFICIAL'!BA7)-'BRAWLERS OFICIAL'!BA7)</f>
        <v>0</v>
      </c>
      <c r="BB7" s="91">
        <f>((( 0 )/3 + 'BRAWLERS OFICIAL'!BB7)-'BRAWLERS OFICIAL'!BB7)</f>
        <v>0</v>
      </c>
      <c r="BC7" s="91">
        <f>((0 + 'BRAWLERS OFICIAL'!BC7)-'BRAWLERS OFICIAL'!BC7)/($BN7)</f>
        <v>0</v>
      </c>
      <c r="BD7" s="91">
        <f>((0 + 'BRAWLERS OFICIAL'!BD7)-'BRAWLERS OFICIAL'!BD7)/($BN7)</f>
        <v>0</v>
      </c>
      <c r="BE7" s="91">
        <f>((( 0 )/2 + 'BRAWLERS OFICIAL'!BE7)-'BRAWLERS OFICIAL'!BE7)</f>
        <v>0</v>
      </c>
      <c r="BF7" s="91">
        <f>((0 + 'BRAWLERS OFICIAL'!BF7)-'BRAWLERS OFICIAL'!BF7)/($BN7)</f>
        <v>0</v>
      </c>
      <c r="BG7" s="91">
        <f>((( 0 )/2 + 'BRAWLERS OFICIAL'!BG7)-'BRAWLERS OFICIAL'!BG7)</f>
        <v>0</v>
      </c>
      <c r="BH7" s="91">
        <f>((( 0 )/3 + 'BRAWLERS OFICIAL'!BH7)-'BRAWLERS OFICIAL'!BH7)</f>
        <v>0</v>
      </c>
      <c r="BI7" s="91">
        <f>((( 0 )/2 + 'BRAWLERS OFICIAL'!BI7)-'BRAWLERS OFICIAL'!BI7)</f>
        <v>0</v>
      </c>
      <c r="BJ7" s="91">
        <f>((0 + 'BRAWLERS OFICIAL'!BJ7)-'BRAWLERS OFICIAL'!BJ7)/($BN7)</f>
        <v>0</v>
      </c>
      <c r="BK7" s="91">
        <f>((0 + 'BRAWLERS OFICIAL'!BK7)-'BRAWLERS OFICIAL'!BK7)/($BN7)</f>
        <v>0</v>
      </c>
      <c r="BL7" s="91">
        <f>((0 + 'BRAWLERS OFICIAL'!BL7)-'BRAWLERS OFICIAL'!BL7)/($BN7)</f>
        <v>0</v>
      </c>
      <c r="BN7" s="100">
        <f>('BRAWLERS OFICIAL'!D7 / 'BRAWLERS OFICIAL'!H7 / (1 + ('BRAWLERS OFICIAL'!Y7/5)))*'BRAWLERS OFICIAL'!E7</f>
        <v>4.84375</v>
      </c>
    </row>
    <row r="8" spans="1:66">
      <c r="B8" s="86" t="s">
        <v>477</v>
      </c>
      <c r="C8" s="87" t="s">
        <v>44</v>
      </c>
      <c r="D8" s="91">
        <f>(( 0 + 'BRAWLERS OFICIAL'!D8)-'BRAWLERS OFICIAL'!D8)/$BN8</f>
        <v>0</v>
      </c>
      <c r="E8" s="91">
        <f>(( 0 + 'BRAWLERS OFICIAL'!E8)-'BRAWLERS OFICIAL'!E8)/$BN8</f>
        <v>0</v>
      </c>
      <c r="F8" s="91">
        <f>(( ('BRAWLERS OFICIAL'!F8/20) + 'BRAWLERS OFICIAL'!F8)-'BRAWLERS OFICIAL'!F8)/$BN8</f>
        <v>4</v>
      </c>
      <c r="G8" s="91">
        <f>(( 0 + 'BRAWLERS OFICIAL'!G8)-'BRAWLERS OFICIAL'!G8)/$BN8</f>
        <v>0</v>
      </c>
      <c r="H8" s="91">
        <f>(( 0 + 'BRAWLERS OFICIAL'!H8)-'BRAWLERS OFICIAL'!H8)/$BN8</f>
        <v>0</v>
      </c>
      <c r="I8" s="91">
        <f>(( 0 + 'BRAWLERS OFICIAL'!I8)-'BRAWLERS OFICIAL'!I8)/$BN8</f>
        <v>0</v>
      </c>
      <c r="J8" s="91">
        <f>(( 0 + 'BRAWLERS OFICIAL'!J8)-'BRAWLERS OFICIAL'!J8)/$BN8</f>
        <v>0</v>
      </c>
      <c r="K8" s="91">
        <f>(( 0 + 'BRAWLERS OFICIAL'!K8)-'BRAWLERS OFICIAL'!K8)/$BN8</f>
        <v>0</v>
      </c>
      <c r="L8" s="91">
        <f>(( 0 + 'BRAWLERS OFICIAL'!L8)-'BRAWLERS OFICIAL'!L8)/$BN8</f>
        <v>0</v>
      </c>
      <c r="M8" s="91">
        <f>(( 0 + 'BRAWLERS OFICIAL'!M8)-'BRAWLERS OFICIAL'!M8)/$BN8</f>
        <v>0</v>
      </c>
      <c r="N8" s="91">
        <f>(( 0 + 'BRAWLERS OFICIAL'!N8)-'BRAWLERS OFICIAL'!N8)/$BN8</f>
        <v>0</v>
      </c>
      <c r="O8" s="91">
        <f>(( 'BRAWLERS OFICIAL'!O8/20 + 1200 + 'BRAWLERS OFICIAL'!O8)-'BRAWLERS OFICIAL'!O8)/$BN8</f>
        <v>168</v>
      </c>
      <c r="P8" s="91">
        <f>(( 'BRAWLERS OFICIAL'!P8/20 + 1200 + 'BRAWLERS OFICIAL'!P8)-'BRAWLERS OFICIAL'!P8)/$BN8</f>
        <v>168</v>
      </c>
      <c r="Q8" s="91">
        <f>(( 'BRAWLERS OFICIAL'!Q8/20 + 1200 + 'BRAWLERS OFICIAL'!Q8)-'BRAWLERS OFICIAL'!Q8)/$BN8</f>
        <v>168</v>
      </c>
      <c r="R8" s="91">
        <f>(( 'BRAWLERS OFICIAL'!R8/20 + 1200 + 'BRAWLERS OFICIAL'!R8)-'BRAWLERS OFICIAL'!R8)/$BN8</f>
        <v>168</v>
      </c>
      <c r="S8" s="91">
        <f>(( 'BRAWLERS OFICIAL'!S8/20 + 1200 + 'BRAWLERS OFICIAL'!S8)-'BRAWLERS OFICIAL'!S8)/$BN8</f>
        <v>168</v>
      </c>
      <c r="T8" s="91">
        <f>(( 0 + 'BRAWLERS OFICIAL'!T8)-'BRAWLERS OFICIAL'!T8)/$BN8</f>
        <v>0</v>
      </c>
      <c r="U8" s="91">
        <f>(( 0 + 'BRAWLERS OFICIAL'!U8)-'BRAWLERS OFICIAL'!U8)/$BN8</f>
        <v>0</v>
      </c>
      <c r="V8" s="102">
        <f>(( ('BRAWLERS OFICIAL'!V8/20) + 'BRAWLERS OFICIAL'!V8 + AN8 + AV8/3.5 )-'BRAWLERS OFICIAL'!V8)/($BN8)</f>
        <v>3.8095238095238078E-2</v>
      </c>
      <c r="W8" s="92">
        <f>((0 + 'BRAWLERS OFICIAL'!W8)-'BRAWLERS OFICIAL'!W8)/($BN8)</f>
        <v>0</v>
      </c>
      <c r="X8" s="92">
        <f>(((0)/3 + 'BRAWLERS OFICIAL'!X8)-'BRAWLERS OFICIAL'!X8)</f>
        <v>0</v>
      </c>
      <c r="Y8" s="92">
        <f>((2 + 'BRAWLERS OFICIAL'!Y8)-'BRAWLERS OFICIAL'!Y8)/($BN8)</f>
        <v>0.26666666666666666</v>
      </c>
      <c r="Z8" s="92">
        <f>((0 + 'BRAWLERS OFICIAL'!Z8)-'BRAWLERS OFICIAL'!Z8)</f>
        <v>0</v>
      </c>
      <c r="AA8" s="92">
        <f>(((0)/4 + 'BRAWLERS OFICIAL'!AA8)-'BRAWLERS OFICIAL'!AA8)/($BN8)</f>
        <v>0</v>
      </c>
      <c r="AB8" s="92">
        <f>((0 + 'BRAWLERS OFICIAL'!AB8)-'BRAWLERS OFICIAL'!AB8)/($BN8)</f>
        <v>0</v>
      </c>
      <c r="AC8" s="92">
        <f>((0 + 'BRAWLERS OFICIAL'!AC8)-'BRAWLERS OFICIAL'!AC8)/($BN8)</f>
        <v>0</v>
      </c>
      <c r="AD8" s="92">
        <f>((0 + 'BRAWLERS OFICIAL'!AD8)-'BRAWLERS OFICIAL'!AD8)/($BN8)</f>
        <v>0</v>
      </c>
      <c r="AE8" s="92">
        <f>((0 + 'BRAWLERS OFICIAL'!AE8)-'BRAWLERS OFICIAL'!AE8)/($BN8)</f>
        <v>0</v>
      </c>
      <c r="AF8" s="92">
        <f>((0 + 'BRAWLERS OFICIAL'!AF8)-'BRAWLERS OFICIAL'!AF8)/($BN8)</f>
        <v>0</v>
      </c>
      <c r="AG8" s="92">
        <f>((0 + 'BRAWLERS OFICIAL'!AG8)-'BRAWLERS OFICIAL'!AG8)/($BN8)</f>
        <v>0</v>
      </c>
      <c r="AH8" s="92">
        <f>(( ('BRAWLERS OFICIAL'!AH8/5) + 'BRAWLERS OFICIAL'!AH8)-'BRAWLERS OFICIAL'!AH8)/($BN8)</f>
        <v>0.13333333333333333</v>
      </c>
      <c r="AI8" s="92">
        <f>((0 + 'BRAWLERS OFICIAL'!AI8)-'BRAWLERS OFICIAL'!AI8)/($BN8)</f>
        <v>0</v>
      </c>
      <c r="AJ8" s="92">
        <f>(((BH8/5+1)*AI8 + 'BRAWLERS OFICIAL'!AJ8)-'BRAWLERS OFICIAL'!AJ8)/($BN8)</f>
        <v>0</v>
      </c>
      <c r="AK8" s="92">
        <f>IF( 0 = (1-1), (1-1), ((0 + 'BRAWLERS OFICIAL'!AK8)/1.5)-'BRAWLERS OFICIAL'!AK8 )/($BN8)</f>
        <v>0</v>
      </c>
      <c r="AL8" s="92">
        <f t="shared" si="0"/>
        <v>0</v>
      </c>
      <c r="AM8" s="92">
        <f>((0 + 'BRAWLERS OFICIAL'!AM8)-'BRAWLERS OFICIAL'!AM8)/($BN8)</f>
        <v>0</v>
      </c>
      <c r="AN8" s="92">
        <f>((0/1000 + 'BRAWLERS OFICIAL'!AN8)-'BRAWLERS OFICIAL'!AN8)/($BN8)</f>
        <v>0</v>
      </c>
      <c r="AO8" s="92">
        <f>((0 + 'BRAWLERS OFICIAL'!AO8)-'BRAWLERS OFICIAL'!AO8)/($BN8)</f>
        <v>0</v>
      </c>
      <c r="AP8" s="92">
        <f>IF( 0 = (1-1), (1-1), ((0 + 'BRAWLERS OFICIAL'!AP8)/1.5) )/($BN8)</f>
        <v>0</v>
      </c>
      <c r="AQ8" s="92">
        <f>IF( 0 = (1-1), (1-1), ((0 + 'BRAWLERS OFICIAL'!AQ8)/1.5) )/($BN8)</f>
        <v>0</v>
      </c>
      <c r="AR8" s="92">
        <f>IF( 0 = (1-1), (1-1), ((0 + 'BRAWLERS OFICIAL'!AR8)/2) )/($BN8)</f>
        <v>0</v>
      </c>
      <c r="AS8" s="92">
        <f>((0 + 'BRAWLERS OFICIAL'!AS8)-'BRAWLERS OFICIAL'!AS8)/($BN8)</f>
        <v>0</v>
      </c>
      <c r="AT8" s="92">
        <f>(((0)/4 + 'BRAWLERS OFICIAL'!AT8)-'BRAWLERS OFICIAL'!AT8)/($BN8)</f>
        <v>0</v>
      </c>
      <c r="AU8" s="92">
        <v>0</v>
      </c>
      <c r="AV8" s="91">
        <f>((( 0 )/3 + 'BRAWLERS OFICIAL'!AV8)-'BRAWLERS OFICIAL'!AV8)</f>
        <v>0</v>
      </c>
      <c r="AW8" s="91">
        <f>((( 0 )/2 + 'BRAWLERS OFICIAL'!AW8)-'BRAWLERS OFICIAL'!AW8)/($BN8)</f>
        <v>0</v>
      </c>
      <c r="AX8" s="91">
        <f>((( 0 )/2 + 'BRAWLERS OFICIAL'!AX8)-'BRAWLERS OFICIAL'!AX8)</f>
        <v>0</v>
      </c>
      <c r="AY8" s="91">
        <f>((( 0 )/3 + 'BRAWLERS OFICIAL'!AY8)-'BRAWLERS OFICIAL'!AY8)</f>
        <v>0</v>
      </c>
      <c r="AZ8" s="91">
        <f>((( 0 )/2 + 'BRAWLERS OFICIAL'!AZ8)-'BRAWLERS OFICIAL'!AZ8)/($BN8)</f>
        <v>0</v>
      </c>
      <c r="BA8" s="91">
        <f>((( 0 )/3 + 'BRAWLERS OFICIAL'!BA8)-'BRAWLERS OFICIAL'!BA8)</f>
        <v>0</v>
      </c>
      <c r="BB8" s="91">
        <f>((( 0 )/3 + 'BRAWLERS OFICIAL'!BB8)-'BRAWLERS OFICIAL'!BB8)</f>
        <v>0</v>
      </c>
      <c r="BC8" s="91">
        <f>((0 + 'BRAWLERS OFICIAL'!BC8)-'BRAWLERS OFICIAL'!BC8)/($BN8)</f>
        <v>0</v>
      </c>
      <c r="BD8" s="91">
        <f>((0 + 'BRAWLERS OFICIAL'!BD8)-'BRAWLERS OFICIAL'!BD8)/($BN8)</f>
        <v>0</v>
      </c>
      <c r="BE8" s="91">
        <f>((( 0 )/2 + 'BRAWLERS OFICIAL'!BE8)-'BRAWLERS OFICIAL'!BE8)</f>
        <v>0</v>
      </c>
      <c r="BF8" s="91">
        <f>((0 + 'BRAWLERS OFICIAL'!BF8)-'BRAWLERS OFICIAL'!BF8)/($BN8)</f>
        <v>0</v>
      </c>
      <c r="BG8" s="91">
        <f>((( 0 )/2 + 'BRAWLERS OFICIAL'!BG8)-'BRAWLERS OFICIAL'!BG8)</f>
        <v>0</v>
      </c>
      <c r="BH8" s="91">
        <f>((( 0 )/3 + 'BRAWLERS OFICIAL'!BH8)-'BRAWLERS OFICIAL'!BH8)</f>
        <v>0</v>
      </c>
      <c r="BI8" s="91">
        <f>((( 0 )/2 + 'BRAWLERS OFICIAL'!BI8)-'BRAWLERS OFICIAL'!BI8)</f>
        <v>0</v>
      </c>
      <c r="BJ8" s="91">
        <f>((0 + 'BRAWLERS OFICIAL'!BJ8)-'BRAWLERS OFICIAL'!BJ8)/($BN8)</f>
        <v>0</v>
      </c>
      <c r="BK8" s="91">
        <f>((0 + 'BRAWLERS OFICIAL'!BK8)-'BRAWLERS OFICIAL'!BK8)/($BN8)</f>
        <v>0</v>
      </c>
      <c r="BL8" s="91">
        <f>((0 + 'BRAWLERS OFICIAL'!BL8)-'BRAWLERS OFICIAL'!BL8)/($BN8)</f>
        <v>0</v>
      </c>
      <c r="BN8" s="100">
        <f>('BRAWLERS OFICIAL'!D8 / 'BRAWLERS OFICIAL'!H8 / (1 + ('BRAWLERS OFICIAL'!Y8/5)))*'BRAWLERS OFICIAL'!E8</f>
        <v>7.5</v>
      </c>
    </row>
    <row r="9" spans="1:66">
      <c r="B9" s="86" t="s">
        <v>478</v>
      </c>
      <c r="C9" s="88" t="s">
        <v>95</v>
      </c>
      <c r="D9" s="91">
        <f>(( 0 + 'BRAWLERS OFICIAL'!D9)-'BRAWLERS OFICIAL'!D9)/$BN9</f>
        <v>0</v>
      </c>
      <c r="E9" s="91">
        <f>(( 0 + 'BRAWLERS OFICIAL'!E9)-'BRAWLERS OFICIAL'!E9)/$BN9</f>
        <v>0</v>
      </c>
      <c r="F9" s="91">
        <f>(( ('BRAWLERS OFICIAL'!F9/20) + 'BRAWLERS OFICIAL'!F9)-'BRAWLERS OFICIAL'!F9)/$BN9</f>
        <v>7.9411764705882355</v>
      </c>
      <c r="G9" s="91">
        <f>(( 0 + 'BRAWLERS OFICIAL'!G9)-'BRAWLERS OFICIAL'!G9)/$BN9</f>
        <v>0</v>
      </c>
      <c r="H9" s="91">
        <f>(( 0 + 'BRAWLERS OFICIAL'!H9)-'BRAWLERS OFICIAL'!H9)/$BN9</f>
        <v>0</v>
      </c>
      <c r="I9" s="91">
        <f>(( 0 + 'BRAWLERS OFICIAL'!I9)-'BRAWLERS OFICIAL'!I9)/$BN9</f>
        <v>0</v>
      </c>
      <c r="J9" s="91">
        <f>(( 0 + 'BRAWLERS OFICIAL'!J9)-'BRAWLERS OFICIAL'!J9)/$BN9</f>
        <v>0</v>
      </c>
      <c r="K9" s="91">
        <f>(( 0 + 'BRAWLERS OFICIAL'!K9)-'BRAWLERS OFICIAL'!K9)/$BN9</f>
        <v>0</v>
      </c>
      <c r="L9" s="91">
        <f>(( 0 + 'BRAWLERS OFICIAL'!L9)-'BRAWLERS OFICIAL'!L9)/$BN9</f>
        <v>0</v>
      </c>
      <c r="M9" s="91">
        <f>(( 0 + 'BRAWLERS OFICIAL'!M9)-'BRAWLERS OFICIAL'!M9)/$BN9</f>
        <v>0</v>
      </c>
      <c r="N9" s="91">
        <f>(( 0 + 'BRAWLERS OFICIAL'!N9)-'BRAWLERS OFICIAL'!N9)/$BN9</f>
        <v>0</v>
      </c>
      <c r="O9" s="91">
        <f>(( 'BRAWLERS OFICIAL'!O9/20 + 'BRAWLERS OFICIAL'!O9)-'BRAWLERS OFICIAL'!O9)/$BN9</f>
        <v>76.235294117647058</v>
      </c>
      <c r="P9" s="91">
        <f>(( 'BRAWLERS OFICIAL'!P9/20 + 'BRAWLERS OFICIAL'!P9)-'BRAWLERS OFICIAL'!P9)/$BN9</f>
        <v>42.352941176470587</v>
      </c>
      <c r="Q9" s="91">
        <f>(( 'BRAWLERS OFICIAL'!Q9/20 + 'BRAWLERS OFICIAL'!Q9)-'BRAWLERS OFICIAL'!Q9)/$BN9</f>
        <v>25.411764705882355</v>
      </c>
      <c r="R9" s="91">
        <f>(( 'BRAWLERS OFICIAL'!R9/20 + 'BRAWLERS OFICIAL'!R9)-'BRAWLERS OFICIAL'!R9)/$BN9</f>
        <v>0</v>
      </c>
      <c r="S9" s="91">
        <f>(( 'BRAWLERS OFICIAL'!S9/20 + 'BRAWLERS OFICIAL'!S9)-'BRAWLERS OFICIAL'!S9)/$BN9</f>
        <v>76.235294117647058</v>
      </c>
      <c r="T9" s="91">
        <f>(( 0 + 'BRAWLERS OFICIAL'!T9)-'BRAWLERS OFICIAL'!T9)/$BN9</f>
        <v>0</v>
      </c>
      <c r="U9" s="91">
        <f>(( 0 + 'BRAWLERS OFICIAL'!U9)-'BRAWLERS OFICIAL'!U9)/$BN9</f>
        <v>0</v>
      </c>
      <c r="V9" s="102">
        <f>(( ('BRAWLERS OFICIAL'!V9/20) + 'BRAWLERS OFICIAL'!V9 + AN9 + AV9/3.5 )-'BRAWLERS OFICIAL'!V9)/($BN9)</f>
        <v>7.3739495798319302E-2</v>
      </c>
      <c r="W9" s="92">
        <f>((1.5 + 'BRAWLERS OFICIAL'!W9)-'BRAWLERS OFICIAL'!W9)/($BN9)</f>
        <v>0.3970588235294118</v>
      </c>
      <c r="X9" s="92">
        <f>(((0)/3 + 'BRAWLERS OFICIAL'!X9)-'BRAWLERS OFICIAL'!X9)</f>
        <v>0</v>
      </c>
      <c r="Y9" s="92">
        <f>((1 + 'BRAWLERS OFICIAL'!Y9)-'BRAWLERS OFICIAL'!Y9)/($BN9)</f>
        <v>0.26470588235294118</v>
      </c>
      <c r="Z9" s="92">
        <f>((0 + 'BRAWLERS OFICIAL'!Z9)-'BRAWLERS OFICIAL'!Z9)</f>
        <v>0</v>
      </c>
      <c r="AA9" s="92">
        <f>(((0)/4 + 'BRAWLERS OFICIAL'!AA9)-'BRAWLERS OFICIAL'!AA9)/($BN9)</f>
        <v>0</v>
      </c>
      <c r="AB9" s="92">
        <f>((0 + 'BRAWLERS OFICIAL'!AB9)-'BRAWLERS OFICIAL'!AB9)/($BN9)</f>
        <v>0</v>
      </c>
      <c r="AC9" s="92">
        <f>((0 + 'BRAWLERS OFICIAL'!AC9)-'BRAWLERS OFICIAL'!AC9)/($BN9)</f>
        <v>0</v>
      </c>
      <c r="AD9" s="92">
        <f>((0 + 'BRAWLERS OFICIAL'!AD9)-'BRAWLERS OFICIAL'!AD9)/($BN9)</f>
        <v>0</v>
      </c>
      <c r="AE9" s="92">
        <f>((0 + 'BRAWLERS OFICIAL'!AE9)-'BRAWLERS OFICIAL'!AE9)/($BN9)</f>
        <v>0</v>
      </c>
      <c r="AF9" s="92">
        <f>((0 + 'BRAWLERS OFICIAL'!AF9)-'BRAWLERS OFICIAL'!AF9)/($BN9)</f>
        <v>0</v>
      </c>
      <c r="AG9" s="92">
        <f>((0 + 'BRAWLERS OFICIAL'!AG9)-'BRAWLERS OFICIAL'!AG9)/($BN9)</f>
        <v>0</v>
      </c>
      <c r="AH9" s="92">
        <f>(( ('BRAWLERS OFICIAL'!AH9/5) + 'BRAWLERS OFICIAL'!AH9)-'BRAWLERS OFICIAL'!AH9)/($BN9)</f>
        <v>0.37058823529411777</v>
      </c>
      <c r="AI9" s="92">
        <f>((0 + 'BRAWLERS OFICIAL'!AI9)-'BRAWLERS OFICIAL'!AI9)/($BN9)</f>
        <v>0</v>
      </c>
      <c r="AJ9" s="92">
        <f>(((BH9/5+1)*AI9 + 'BRAWLERS OFICIAL'!AJ9)-'BRAWLERS OFICIAL'!AJ9)/($BN9)</f>
        <v>0</v>
      </c>
      <c r="AK9" s="92">
        <f>IF( 0 = (1-1), (1-1), ((0 + 'BRAWLERS OFICIAL'!AK9)/1.5)-'BRAWLERS OFICIAL'!AK9 )/($BN9)</f>
        <v>0</v>
      </c>
      <c r="AL9" s="92">
        <f t="shared" si="0"/>
        <v>0</v>
      </c>
      <c r="AM9" s="92">
        <f>((0 + 'BRAWLERS OFICIAL'!AM9)-'BRAWLERS OFICIAL'!AM9)/($BN9)</f>
        <v>0</v>
      </c>
      <c r="AN9" s="92">
        <f>((0/1000 + 'BRAWLERS OFICIAL'!AN9)-'BRAWLERS OFICIAL'!AN9)/($BN9)</f>
        <v>0</v>
      </c>
      <c r="AO9" s="92">
        <f>((0 + 'BRAWLERS OFICIAL'!AO9)-'BRAWLERS OFICIAL'!AO9)/($BN9)</f>
        <v>0</v>
      </c>
      <c r="AP9" s="92">
        <f>IF( 0 = (1-1), (1-1), ((0 + 'BRAWLERS OFICIAL'!AP9)/1.5) )/($BN9)</f>
        <v>0</v>
      </c>
      <c r="AQ9" s="92">
        <f>IF( 0 = (1-1), (1-1), ((0 + 'BRAWLERS OFICIAL'!AQ9)/1.5) )/($BN9)</f>
        <v>0</v>
      </c>
      <c r="AR9" s="92">
        <f>IF( 0 = (1-1), (1-1), ((0 + 'BRAWLERS OFICIAL'!AR9)/2) )/($BN9)</f>
        <v>0</v>
      </c>
      <c r="AS9" s="92">
        <f>((0 + 'BRAWLERS OFICIAL'!AS9)-'BRAWLERS OFICIAL'!AS9)/($BN9)</f>
        <v>0</v>
      </c>
      <c r="AT9" s="92">
        <f>(((0)/4 + 'BRAWLERS OFICIAL'!AT9)-'BRAWLERS OFICIAL'!AT9)/($BN9)</f>
        <v>0</v>
      </c>
      <c r="AU9" s="92">
        <v>0</v>
      </c>
      <c r="AV9" s="91">
        <f>((( 0 )/3 + 'BRAWLERS OFICIAL'!AV9)-'BRAWLERS OFICIAL'!AV9)</f>
        <v>0</v>
      </c>
      <c r="AW9" s="91">
        <f>((( 0 )/2 + 'BRAWLERS OFICIAL'!AW9)-'BRAWLERS OFICIAL'!AW9)/($BN9)</f>
        <v>0</v>
      </c>
      <c r="AX9" s="91">
        <f>((( 0 )/2 + 'BRAWLERS OFICIAL'!AX9)-'BRAWLERS OFICIAL'!AX9)</f>
        <v>0</v>
      </c>
      <c r="AY9" s="91">
        <f>((( 0 )/3 + 'BRAWLERS OFICIAL'!AY9)-'BRAWLERS OFICIAL'!AY9)</f>
        <v>0</v>
      </c>
      <c r="AZ9" s="91">
        <f>((( 0 )/2 + 'BRAWLERS OFICIAL'!AZ9)-'BRAWLERS OFICIAL'!AZ9)/($BN9)</f>
        <v>0</v>
      </c>
      <c r="BA9" s="91">
        <f>((( 0 )/3 + 'BRAWLERS OFICIAL'!BA9)-'BRAWLERS OFICIAL'!BA9)</f>
        <v>0</v>
      </c>
      <c r="BB9" s="91">
        <f>((( 0 )/3 + 'BRAWLERS OFICIAL'!BB9)-'BRAWLERS OFICIAL'!BB9)</f>
        <v>0</v>
      </c>
      <c r="BC9" s="91">
        <f>((0 + 'BRAWLERS OFICIAL'!BC9)-'BRAWLERS OFICIAL'!BC9)/($BN9)</f>
        <v>0</v>
      </c>
      <c r="BD9" s="91">
        <f>((0 + 'BRAWLERS OFICIAL'!BD9)-'BRAWLERS OFICIAL'!BD9)/($BN9)</f>
        <v>0</v>
      </c>
      <c r="BE9" s="91">
        <f>((( 0 )/2 + 'BRAWLERS OFICIAL'!BE9)-'BRAWLERS OFICIAL'!BE9)</f>
        <v>0</v>
      </c>
      <c r="BF9" s="91">
        <f>((0 + 'BRAWLERS OFICIAL'!BF9)-'BRAWLERS OFICIAL'!BF9)/($BN9)</f>
        <v>0</v>
      </c>
      <c r="BG9" s="91">
        <f>((( 0 )/2 + 'BRAWLERS OFICIAL'!BG9)-'BRAWLERS OFICIAL'!BG9)</f>
        <v>0</v>
      </c>
      <c r="BH9" s="91">
        <f>((( 0 )/3 + 'BRAWLERS OFICIAL'!BH9)-'BRAWLERS OFICIAL'!BH9)</f>
        <v>0</v>
      </c>
      <c r="BI9" s="91">
        <f>((( 0 )/2 + 'BRAWLERS OFICIAL'!BI9)-'BRAWLERS OFICIAL'!BI9)</f>
        <v>0</v>
      </c>
      <c r="BJ9" s="91">
        <f>((0 + 'BRAWLERS OFICIAL'!BJ9)-'BRAWLERS OFICIAL'!BJ9)/($BN9)</f>
        <v>0</v>
      </c>
      <c r="BK9" s="91">
        <f>((0 + 'BRAWLERS OFICIAL'!BK9)-'BRAWLERS OFICIAL'!BK9)/($BN9)</f>
        <v>0</v>
      </c>
      <c r="BL9" s="91">
        <f>((0 + 'BRAWLERS OFICIAL'!BL9)-'BRAWLERS OFICIAL'!BL9)/($BN9)</f>
        <v>0</v>
      </c>
      <c r="BN9" s="100">
        <f>('BRAWLERS OFICIAL'!D9 / 'BRAWLERS OFICIAL'!H9 / (1 + ('BRAWLERS OFICIAL'!Y9/5)))*'BRAWLERS OFICIAL'!E9</f>
        <v>3.7777777777777777</v>
      </c>
    </row>
    <row r="10" spans="1:66">
      <c r="B10" s="86" t="s">
        <v>479</v>
      </c>
      <c r="C10" s="88" t="s">
        <v>87</v>
      </c>
      <c r="D10" s="91">
        <f>(( 0 + 'BRAWLERS OFICIAL'!D10)-'BRAWLERS OFICIAL'!D10)/$BN10</f>
        <v>0</v>
      </c>
      <c r="E10" s="91">
        <f>(( 0 + 'BRAWLERS OFICIAL'!E10)-'BRAWLERS OFICIAL'!E10)/$BN10</f>
        <v>0</v>
      </c>
      <c r="F10" s="91">
        <f>(( ('BRAWLERS OFICIAL'!F10/20) + 'BRAWLERS OFICIAL'!F10)-'BRAWLERS OFICIAL'!F10)/$BN10</f>
        <v>18.239999999999998</v>
      </c>
      <c r="G10" s="91">
        <f>(( 0 + 'BRAWLERS OFICIAL'!G10)-'BRAWLERS OFICIAL'!G10)/$BN10</f>
        <v>0</v>
      </c>
      <c r="H10" s="91">
        <f>(( 0 + 'BRAWLERS OFICIAL'!H10)-'BRAWLERS OFICIAL'!H10)/$BN10</f>
        <v>0</v>
      </c>
      <c r="I10" s="91">
        <f>(( 0 + 'BRAWLERS OFICIAL'!I10)-'BRAWLERS OFICIAL'!I10)/$BN10</f>
        <v>0</v>
      </c>
      <c r="J10" s="91">
        <f>(( 0 + 'BRAWLERS OFICIAL'!J10)-'BRAWLERS OFICIAL'!J10)/$BN10</f>
        <v>0</v>
      </c>
      <c r="K10" s="91">
        <f>(( 0 + 'BRAWLERS OFICIAL'!K10)-'BRAWLERS OFICIAL'!K10)/$BN10</f>
        <v>0</v>
      </c>
      <c r="L10" s="91">
        <f>(( 0 + 'BRAWLERS OFICIAL'!L10)-'BRAWLERS OFICIAL'!L10)/$BN10</f>
        <v>0</v>
      </c>
      <c r="M10" s="91">
        <f>(( 0 + 'BRAWLERS OFICIAL'!M10)-'BRAWLERS OFICIAL'!M10)/$BN10</f>
        <v>0</v>
      </c>
      <c r="N10" s="91">
        <f>(( 0 + 'BRAWLERS OFICIAL'!N10)-'BRAWLERS OFICIAL'!N10)/$BN10</f>
        <v>0</v>
      </c>
      <c r="O10" s="91">
        <f>(( 'BRAWLERS OFICIAL'!O10/20 + 'BRAWLERS OFICIAL'!O10)-'BRAWLERS OFICIAL'!O10)/$BN10</f>
        <v>0</v>
      </c>
      <c r="P10" s="91">
        <f>(( 'BRAWLERS OFICIAL'!P10/20 + 'BRAWLERS OFICIAL'!P10)-'BRAWLERS OFICIAL'!P10)/$BN10</f>
        <v>0</v>
      </c>
      <c r="Q10" s="91">
        <f>(( 'BRAWLERS OFICIAL'!Q10/20 + 'BRAWLERS OFICIAL'!Q10)-'BRAWLERS OFICIAL'!Q10)/$BN10</f>
        <v>0</v>
      </c>
      <c r="R10" s="91">
        <f>(( 'BRAWLERS OFICIAL'!R10/20 + 'BRAWLERS OFICIAL'!R10)-'BRAWLERS OFICIAL'!R10)/$BN10</f>
        <v>0</v>
      </c>
      <c r="S10" s="91">
        <f>(( 'BRAWLERS OFICIAL'!S10/20 + 'BRAWLERS OFICIAL'!S10)-'BRAWLERS OFICIAL'!S10)/$BN10</f>
        <v>0</v>
      </c>
      <c r="T10" s="91">
        <f>(( 0 + 'BRAWLERS OFICIAL'!T10)-'BRAWLERS OFICIAL'!T10)/$BN10</f>
        <v>0</v>
      </c>
      <c r="U10" s="91">
        <f>(( 0 + 'BRAWLERS OFICIAL'!U10)-'BRAWLERS OFICIAL'!U10)/$BN10</f>
        <v>0</v>
      </c>
      <c r="V10" s="102">
        <f>(( ('BRAWLERS OFICIAL'!V10/20) + 'BRAWLERS OFICIAL'!V10 + AN10 + AV10/3.5 )-'BRAWLERS OFICIAL'!V10)/($BN10)</f>
        <v>9.6000000000000085E-2</v>
      </c>
      <c r="W10" s="92">
        <f>((0 + 'BRAWLERS OFICIAL'!W10)-'BRAWLERS OFICIAL'!W10)/($BN10)</f>
        <v>0</v>
      </c>
      <c r="X10" s="92">
        <f>(((0)/3 + 'BRAWLERS OFICIAL'!X10)-'BRAWLERS OFICIAL'!X10)</f>
        <v>0</v>
      </c>
      <c r="Y10" s="92">
        <f>((0 + 'BRAWLERS OFICIAL'!Y10)-'BRAWLERS OFICIAL'!Y10)/($BN10)</f>
        <v>0</v>
      </c>
      <c r="Z10" s="92">
        <f>((0 + 'BRAWLERS OFICIAL'!Z10)-'BRAWLERS OFICIAL'!Z10)</f>
        <v>0</v>
      </c>
      <c r="AA10" s="92">
        <f>(((0)/4 + 'BRAWLERS OFICIAL'!AA10)-'BRAWLERS OFICIAL'!AA10)/($BN10)</f>
        <v>0</v>
      </c>
      <c r="AB10" s="92">
        <f>((0 + 'BRAWLERS OFICIAL'!AB10)-'BRAWLERS OFICIAL'!AB10)/($BN10)</f>
        <v>0</v>
      </c>
      <c r="AC10" s="92">
        <f>((0 + 'BRAWLERS OFICIAL'!AC10)-'BRAWLERS OFICIAL'!AC10)/($BN10)</f>
        <v>0</v>
      </c>
      <c r="AD10" s="92">
        <f>((0 + 'BRAWLERS OFICIAL'!AD10)-'BRAWLERS OFICIAL'!AD10)/($BN10)</f>
        <v>0</v>
      </c>
      <c r="AE10" s="92">
        <f>((0 + 'BRAWLERS OFICIAL'!AE10)-'BRAWLERS OFICIAL'!AE10)/($BN10)</f>
        <v>0</v>
      </c>
      <c r="AF10" s="92">
        <f>((0 + 'BRAWLERS OFICIAL'!AF10)-'BRAWLERS OFICIAL'!AF10)/($BN10)</f>
        <v>0</v>
      </c>
      <c r="AG10" s="92">
        <f>((0 + 'BRAWLERS OFICIAL'!AG10)-'BRAWLERS OFICIAL'!AG10)/($BN10)</f>
        <v>0</v>
      </c>
      <c r="AH10" s="92">
        <f>(( ('BRAWLERS OFICIAL'!AH10/5) + 'BRAWLERS OFICIAL'!AH10)-'BRAWLERS OFICIAL'!AH10)/($BN10)</f>
        <v>0.24</v>
      </c>
      <c r="AI10" s="92">
        <f>((0 + 'BRAWLERS OFICIAL'!AI10)-'BRAWLERS OFICIAL'!AI10)/($BN10)</f>
        <v>0</v>
      </c>
      <c r="AJ10" s="92">
        <f>(((BH10/5+1)*AI10 + 'BRAWLERS OFICIAL'!AJ10)-'BRAWLERS OFICIAL'!AJ10)/($BN10)</f>
        <v>0</v>
      </c>
      <c r="AK10" s="92">
        <f>IF( 0 = (1-1), (1-1), ((0 + 'BRAWLERS OFICIAL'!AK10)/1.5)-'BRAWLERS OFICIAL'!AK10 )/($BN10)</f>
        <v>0</v>
      </c>
      <c r="AL10" s="92">
        <f t="shared" si="0"/>
        <v>0</v>
      </c>
      <c r="AM10" s="92">
        <f>((0 + 'BRAWLERS OFICIAL'!AM10)-'BRAWLERS OFICIAL'!AM10)/($BN10)</f>
        <v>0</v>
      </c>
      <c r="AN10" s="92">
        <f>((0/1000 + 'BRAWLERS OFICIAL'!AN10)-'BRAWLERS OFICIAL'!AN10)/($BN10)</f>
        <v>0</v>
      </c>
      <c r="AO10" s="92">
        <f>((0 + 'BRAWLERS OFICIAL'!AO10)-'BRAWLERS OFICIAL'!AO10)/($BN10)</f>
        <v>0</v>
      </c>
      <c r="AP10" s="92">
        <f>IF( 0 = (1-1), (1-1), ((0 + 'BRAWLERS OFICIAL'!AP10)/1.5) )/($BN10)</f>
        <v>0</v>
      </c>
      <c r="AQ10" s="92">
        <f>IF( 0 = (1-1), (1-1), ((0 + 'BRAWLERS OFICIAL'!AQ10)/1.5) )/($BN10)</f>
        <v>0</v>
      </c>
      <c r="AR10" s="92">
        <f>IF( 0 = (1-1), (1-1), ((0 + 'BRAWLERS OFICIAL'!AR10)/2) )/($BN10)</f>
        <v>0</v>
      </c>
      <c r="AS10" s="92">
        <f>((0 + 'BRAWLERS OFICIAL'!AS10)-'BRAWLERS OFICIAL'!AS10)/($BN10)</f>
        <v>0</v>
      </c>
      <c r="AT10" s="92">
        <f>(((0)/4 + 'BRAWLERS OFICIAL'!AT10)-'BRAWLERS OFICIAL'!AT10)/($BN10)</f>
        <v>0</v>
      </c>
      <c r="AU10" s="92">
        <v>0</v>
      </c>
      <c r="AV10" s="91">
        <f>((( 0 )/3 + 'BRAWLERS OFICIAL'!AV10)-'BRAWLERS OFICIAL'!AV10)</f>
        <v>0</v>
      </c>
      <c r="AW10" s="91">
        <f>((( 0 )/2 + 'BRAWLERS OFICIAL'!AW10)-'BRAWLERS OFICIAL'!AW10)/($BN10)</f>
        <v>0</v>
      </c>
      <c r="AX10" s="91">
        <f>((( 1 + 7 )/2 + 'BRAWLERS OFICIAL'!AX10)-'BRAWLERS OFICIAL'!AX10)</f>
        <v>4</v>
      </c>
      <c r="AY10" s="91">
        <f>((( 0 )/3 + 'BRAWLERS OFICIAL'!AY10)-'BRAWLERS OFICIAL'!AY10)</f>
        <v>0</v>
      </c>
      <c r="AZ10" s="91">
        <f>((( 0 )/2 + 'BRAWLERS OFICIAL'!AZ10)-'BRAWLERS OFICIAL'!AZ10)/($BN10)</f>
        <v>0</v>
      </c>
      <c r="BA10" s="91">
        <f>((( 0 )/3 + 'BRAWLERS OFICIAL'!BA10)-'BRAWLERS OFICIAL'!BA10)</f>
        <v>0</v>
      </c>
      <c r="BB10" s="91">
        <f>((( 0 )/3 + 'BRAWLERS OFICIAL'!BB10)-'BRAWLERS OFICIAL'!BB10)</f>
        <v>0</v>
      </c>
      <c r="BC10" s="91">
        <f>((0 + 'BRAWLERS OFICIAL'!BC10)-'BRAWLERS OFICIAL'!BC10)/($BN10)</f>
        <v>0</v>
      </c>
      <c r="BD10" s="91">
        <f>((0 + 'BRAWLERS OFICIAL'!BD10)-'BRAWLERS OFICIAL'!BD10)/($BN10)</f>
        <v>0</v>
      </c>
      <c r="BE10" s="91">
        <f>((( 0 )/2 + 'BRAWLERS OFICIAL'!BE10)-'BRAWLERS OFICIAL'!BE10)</f>
        <v>0</v>
      </c>
      <c r="BF10" s="91">
        <f>((0 + 'BRAWLERS OFICIAL'!BF10)-'BRAWLERS OFICIAL'!BF10)/($BN10)</f>
        <v>0</v>
      </c>
      <c r="BG10" s="91">
        <f>((( 0 )/2 + 'BRAWLERS OFICIAL'!BG10)-'BRAWLERS OFICIAL'!BG10)</f>
        <v>0</v>
      </c>
      <c r="BH10" s="91">
        <f>((( 0 )/3 + 'BRAWLERS OFICIAL'!BH10)-'BRAWLERS OFICIAL'!BH10)</f>
        <v>0</v>
      </c>
      <c r="BI10" s="91">
        <f>((( 0 )/2 + 'BRAWLERS OFICIAL'!BI10)-'BRAWLERS OFICIAL'!BI10)</f>
        <v>0</v>
      </c>
      <c r="BJ10" s="91">
        <f>((0 + 'BRAWLERS OFICIAL'!BJ10)-'BRAWLERS OFICIAL'!BJ10)/($BN10)</f>
        <v>0</v>
      </c>
      <c r="BK10" s="91">
        <f>((0 + 'BRAWLERS OFICIAL'!BK10)-'BRAWLERS OFICIAL'!BK10)/($BN10)</f>
        <v>0</v>
      </c>
      <c r="BL10" s="91">
        <f>((0 + 'BRAWLERS OFICIAL'!BL10)-'BRAWLERS OFICIAL'!BL10)/($BN10)</f>
        <v>0</v>
      </c>
      <c r="BN10" s="100">
        <f>('BRAWLERS OFICIAL'!D10 / 'BRAWLERS OFICIAL'!H10 / (1 + ('BRAWLERS OFICIAL'!Y10/5)))*'BRAWLERS OFICIAL'!E10</f>
        <v>4.166666666666667</v>
      </c>
    </row>
    <row r="11" spans="1:66">
      <c r="B11" s="86" t="s">
        <v>480</v>
      </c>
      <c r="C11" s="87" t="s">
        <v>15</v>
      </c>
      <c r="D11" s="91">
        <f>(( 0 + 'BRAWLERS OFICIAL'!D11)-'BRAWLERS OFICIAL'!D11)/$BN11</f>
        <v>0</v>
      </c>
      <c r="E11" s="91">
        <f>(( 0 + 'BRAWLERS OFICIAL'!E11)-'BRAWLERS OFICIAL'!E11)/$BN11</f>
        <v>0</v>
      </c>
      <c r="F11" s="91">
        <f>(( ('BRAWLERS OFICIAL'!F11/20) + 'BRAWLERS OFICIAL'!F11)-'BRAWLERS OFICIAL'!F11)/$BN11</f>
        <v>22.628571428571426</v>
      </c>
      <c r="G11" s="91">
        <f>(( 0 + 'BRAWLERS OFICIAL'!G11)-'BRAWLERS OFICIAL'!G11)/$BN11</f>
        <v>0</v>
      </c>
      <c r="H11" s="91">
        <f>(( 0 + 'BRAWLERS OFICIAL'!H11)-'BRAWLERS OFICIAL'!H11)/$BN11</f>
        <v>0</v>
      </c>
      <c r="I11" s="91">
        <f>(( 0 + 'BRAWLERS OFICIAL'!I11)-'BRAWLERS OFICIAL'!I11)/$BN11</f>
        <v>0</v>
      </c>
      <c r="J11" s="91">
        <f>(( 0 + 'BRAWLERS OFICIAL'!J11)-'BRAWLERS OFICIAL'!J11)/$BN11</f>
        <v>0</v>
      </c>
      <c r="K11" s="91">
        <f>(( 0 + 'BRAWLERS OFICIAL'!K11)-'BRAWLERS OFICIAL'!K11)/$BN11</f>
        <v>0</v>
      </c>
      <c r="L11" s="91">
        <f>(( 0 + 'BRAWLERS OFICIAL'!L11)-'BRAWLERS OFICIAL'!L11)/$BN11</f>
        <v>0</v>
      </c>
      <c r="M11" s="91">
        <f>(( 0 + 'BRAWLERS OFICIAL'!M11)-'BRAWLERS OFICIAL'!M11)/$BN11</f>
        <v>0</v>
      </c>
      <c r="N11" s="91">
        <f>(( 0 + 'BRAWLERS OFICIAL'!N11)-'BRAWLERS OFICIAL'!N11)/$BN11</f>
        <v>0</v>
      </c>
      <c r="O11" s="91">
        <f>(( 'BRAWLERS OFICIAL'!O11/20 + 'BRAWLERS OFICIAL'!O11)-'BRAWLERS OFICIAL'!O11)/$BN11</f>
        <v>74.742857142857133</v>
      </c>
      <c r="P11" s="91">
        <f>(( 'BRAWLERS OFICIAL'!P11/20 + 'BRAWLERS OFICIAL'!P11)-'BRAWLERS OFICIAL'!P11)/$BN11</f>
        <v>74.742857142857133</v>
      </c>
      <c r="Q11" s="91">
        <f>(( 'BRAWLERS OFICIAL'!Q11/20 + 'BRAWLERS OFICIAL'!Q11)-'BRAWLERS OFICIAL'!Q11)/$BN11</f>
        <v>37.371428571428567</v>
      </c>
      <c r="R11" s="91">
        <f>(( 'BRAWLERS OFICIAL'!R11/20 + 'BRAWLERS OFICIAL'!R11)-'BRAWLERS OFICIAL'!R11)/$BN11</f>
        <v>0</v>
      </c>
      <c r="S11" s="91">
        <f>(( 'BRAWLERS OFICIAL'!S11/20 + 'BRAWLERS OFICIAL'!S11)-'BRAWLERS OFICIAL'!S11)/$BN11</f>
        <v>74.742857142857133</v>
      </c>
      <c r="T11" s="91">
        <f>(( 0 + 'BRAWLERS OFICIAL'!T11)-'BRAWLERS OFICIAL'!T11)/$BN11</f>
        <v>0</v>
      </c>
      <c r="U11" s="91">
        <f>(( 0 + 'BRAWLERS OFICIAL'!U11)-'BRAWLERS OFICIAL'!U11)/$BN11</f>
        <v>0</v>
      </c>
      <c r="V11" s="102">
        <f>(( ('BRAWLERS OFICIAL'!V11/20) + 'BRAWLERS OFICIAL'!V11 + AN11 + AV11/3.5 )-'BRAWLERS OFICIAL'!V11)/($BN11)</f>
        <v>9.7959183673469341E-2</v>
      </c>
      <c r="W11" s="92">
        <f>((0 + 'BRAWLERS OFICIAL'!W11)-'BRAWLERS OFICIAL'!W11)/($BN11)</f>
        <v>0</v>
      </c>
      <c r="X11" s="92">
        <f>(((0)/3 + 'BRAWLERS OFICIAL'!X11)-'BRAWLERS OFICIAL'!X11)</f>
        <v>0</v>
      </c>
      <c r="Y11" s="92">
        <f>((0 + 'BRAWLERS OFICIAL'!Y11)-'BRAWLERS OFICIAL'!Y11)/($BN11)</f>
        <v>0</v>
      </c>
      <c r="Z11" s="92">
        <f>((0 + 'BRAWLERS OFICIAL'!Z11)-'BRAWLERS OFICIAL'!Z11)</f>
        <v>0</v>
      </c>
      <c r="AA11" s="92">
        <f>(((6 + 4 + 6 + 5)/4)-'BRAWLERS OFICIAL'!AA11)/($BN11)</f>
        <v>0.25714285714285712</v>
      </c>
      <c r="AB11" s="92">
        <f>((0 + 'BRAWLERS OFICIAL'!AB11)-'BRAWLERS OFICIAL'!AB11)/($BN11)</f>
        <v>0</v>
      </c>
      <c r="AC11" s="92">
        <f>((0 + 'BRAWLERS OFICIAL'!AC11)-'BRAWLERS OFICIAL'!AC11)/($BN11)</f>
        <v>0</v>
      </c>
      <c r="AD11" s="92">
        <f>((0 + 'BRAWLERS OFICIAL'!AD11)-'BRAWLERS OFICIAL'!AD11)/($BN11)</f>
        <v>0</v>
      </c>
      <c r="AE11" s="92">
        <f>((0 + 'BRAWLERS OFICIAL'!AE11)-'BRAWLERS OFICIAL'!AE11)/($BN11)</f>
        <v>0</v>
      </c>
      <c r="AF11" s="92">
        <f>((0 + 'BRAWLERS OFICIAL'!AF11)-'BRAWLERS OFICIAL'!AF11)/($BN11)</f>
        <v>0</v>
      </c>
      <c r="AG11" s="92">
        <f>((0 + 'BRAWLERS OFICIAL'!AG11)-'BRAWLERS OFICIAL'!AG11)/($BN11)</f>
        <v>0</v>
      </c>
      <c r="AH11" s="92">
        <f>(( ('BRAWLERS OFICIAL'!AH11/5) + 'BRAWLERS OFICIAL'!AH11)-'BRAWLERS OFICIAL'!AH11)/($BN11)</f>
        <v>0.3428571428571428</v>
      </c>
      <c r="AI11" s="92">
        <f>((0 + 'BRAWLERS OFICIAL'!AI11)-'BRAWLERS OFICIAL'!AI11)/($BN11)</f>
        <v>0</v>
      </c>
      <c r="AJ11" s="92">
        <f>(((BH11/5+1)*AI11 + 'BRAWLERS OFICIAL'!AJ11)-'BRAWLERS OFICIAL'!AJ11)/($BN11)</f>
        <v>0</v>
      </c>
      <c r="AK11" s="92">
        <f>IF( 0 = (1-1), (1-1), ((0 + 'BRAWLERS OFICIAL'!AK11)/1.5)-'BRAWLERS OFICIAL'!AK11 )/($BN11)</f>
        <v>0</v>
      </c>
      <c r="AL11" s="92">
        <f t="shared" si="0"/>
        <v>0</v>
      </c>
      <c r="AM11" s="92">
        <f>((0 + 'BRAWLERS OFICIAL'!AM11)-'BRAWLERS OFICIAL'!AM11)/($BN11)</f>
        <v>0</v>
      </c>
      <c r="AN11" s="92">
        <f>((0/1000 + 'BRAWLERS OFICIAL'!AN11)-'BRAWLERS OFICIAL'!AN11)/($BN11)</f>
        <v>0</v>
      </c>
      <c r="AO11" s="92">
        <f>((0 + 'BRAWLERS OFICIAL'!AO11)-'BRAWLERS OFICIAL'!AO11)/($BN11)</f>
        <v>0</v>
      </c>
      <c r="AP11" s="92">
        <f>IF( 0 = (1-1), (1-1), ((0 + 'BRAWLERS OFICIAL'!AP11)/1.5) )/($BN11)</f>
        <v>0</v>
      </c>
      <c r="AQ11" s="92">
        <f>IF( 0 = (1-1), (1-1), ((0 + 'BRAWLERS OFICIAL'!AQ11)/1.5) )/($BN11)</f>
        <v>0</v>
      </c>
      <c r="AR11" s="92">
        <f>IF( 0 = (1-1), (1-1), ((0 + 'BRAWLERS OFICIAL'!AR11)/2) )/($BN11)</f>
        <v>0</v>
      </c>
      <c r="AS11" s="92">
        <f>((0 + 'BRAWLERS OFICIAL'!AS11)-'BRAWLERS OFICIAL'!AS11)/($BN11)</f>
        <v>0</v>
      </c>
      <c r="AT11" s="92">
        <f>(((0)/4 + 'BRAWLERS OFICIAL'!AT11)-'BRAWLERS OFICIAL'!AT11)/($BN11)</f>
        <v>0</v>
      </c>
      <c r="AU11" s="92">
        <v>0</v>
      </c>
      <c r="AV11" s="91">
        <f>((( 0 )/3 + 'BRAWLERS OFICIAL'!AV11)-'BRAWLERS OFICIAL'!AV11)</f>
        <v>0</v>
      </c>
      <c r="AW11" s="91">
        <f>((( 0 )/2 + 'BRAWLERS OFICIAL'!AW11)-'BRAWLERS OFICIAL'!AW11)/($BN11)</f>
        <v>0</v>
      </c>
      <c r="AX11" s="91">
        <f>((( 0 )/2 + 'BRAWLERS OFICIAL'!AX11)-'BRAWLERS OFICIAL'!AX11)</f>
        <v>0</v>
      </c>
      <c r="AY11" s="91">
        <f>((( 0 )/3 + 'BRAWLERS OFICIAL'!AY11)-'BRAWLERS OFICIAL'!AY11)</f>
        <v>0</v>
      </c>
      <c r="AZ11" s="91">
        <f>((( 0 )/2 + 'BRAWLERS OFICIAL'!AZ11)-'BRAWLERS OFICIAL'!AZ11)/($BN11)</f>
        <v>0</v>
      </c>
      <c r="BA11" s="91">
        <f>((( 0 )/3 + 'BRAWLERS OFICIAL'!BA11)-'BRAWLERS OFICIAL'!BA11)</f>
        <v>0</v>
      </c>
      <c r="BB11" s="91">
        <f>((( 0 )/3 + 'BRAWLERS OFICIAL'!BB11)-'BRAWLERS OFICIAL'!BB11)</f>
        <v>0</v>
      </c>
      <c r="BC11" s="91">
        <f>((0 + 'BRAWLERS OFICIAL'!BC11)-'BRAWLERS OFICIAL'!BC11)/($BN11)</f>
        <v>0</v>
      </c>
      <c r="BD11" s="91">
        <f>((0 + 'BRAWLERS OFICIAL'!BD11)-'BRAWLERS OFICIAL'!BD11)/($BN11)</f>
        <v>0</v>
      </c>
      <c r="BE11" s="91">
        <f>((( 0 )/2 + 'BRAWLERS OFICIAL'!BE11)-'BRAWLERS OFICIAL'!BE11)</f>
        <v>0</v>
      </c>
      <c r="BF11" s="91">
        <f>((0 + 'BRAWLERS OFICIAL'!BF11)-'BRAWLERS OFICIAL'!BF11)/($BN11)</f>
        <v>0</v>
      </c>
      <c r="BG11" s="91">
        <f>((( 0 )/2 + 'BRAWLERS OFICIAL'!BG11)-'BRAWLERS OFICIAL'!BG11)</f>
        <v>0</v>
      </c>
      <c r="BH11" s="91">
        <f>((( 0 )/3 + 'BRAWLERS OFICIAL'!BH11)-'BRAWLERS OFICIAL'!BH11)</f>
        <v>0</v>
      </c>
      <c r="BI11" s="91">
        <f>((( 0 )/2 + 'BRAWLERS OFICIAL'!BI11)-'BRAWLERS OFICIAL'!BI11)</f>
        <v>0</v>
      </c>
      <c r="BJ11" s="91">
        <f>((0 + 'BRAWLERS OFICIAL'!BJ11)-'BRAWLERS OFICIAL'!BJ11)/($BN11)</f>
        <v>0</v>
      </c>
      <c r="BK11" s="91">
        <f>((0 + 'BRAWLERS OFICIAL'!BK11)-'BRAWLERS OFICIAL'!BK11)/($BN11)</f>
        <v>0</v>
      </c>
      <c r="BL11" s="91">
        <f>((0 + 'BRAWLERS OFICIAL'!BL11)-'BRAWLERS OFICIAL'!BL11)/($BN11)</f>
        <v>0</v>
      </c>
      <c r="BN11" s="100">
        <f>('BRAWLERS OFICIAL'!D11 / 'BRAWLERS OFICIAL'!H11 / (1 + ('BRAWLERS OFICIAL'!Y11/5)))*'BRAWLERS OFICIAL'!E11</f>
        <v>2.916666666666667</v>
      </c>
    </row>
    <row r="12" spans="1:66">
      <c r="B12" s="86" t="s">
        <v>481</v>
      </c>
      <c r="C12" s="88" t="s">
        <v>43</v>
      </c>
      <c r="D12" s="91">
        <f>(( 0 + 'BRAWLERS OFICIAL'!D12)-'BRAWLERS OFICIAL'!D12)/$BN12</f>
        <v>0</v>
      </c>
      <c r="E12" s="91">
        <f>(( 0 + 'BRAWLERS OFICIAL'!E12)-'BRAWLERS OFICIAL'!E12)/$BN12</f>
        <v>0</v>
      </c>
      <c r="F12" s="91">
        <f>(( ('BRAWLERS OFICIAL'!F12/20) + 'BRAWLERS OFICIAL'!F12)-'BRAWLERS OFICIAL'!F12)/$BN12</f>
        <v>27.839999999999996</v>
      </c>
      <c r="G12" s="91">
        <f>(( 0 + 'BRAWLERS OFICIAL'!G12)-'BRAWLERS OFICIAL'!G12)/$BN12</f>
        <v>0</v>
      </c>
      <c r="H12" s="91">
        <f>(( 0 + 'BRAWLERS OFICIAL'!H12)-'BRAWLERS OFICIAL'!H12)/$BN12</f>
        <v>0</v>
      </c>
      <c r="I12" s="91">
        <f>(( 0 + 'BRAWLERS OFICIAL'!I12)-'BRAWLERS OFICIAL'!I12)/$BN12</f>
        <v>0</v>
      </c>
      <c r="J12" s="91">
        <f>(( 0 + 'BRAWLERS OFICIAL'!J12)-'BRAWLERS OFICIAL'!J12)/$BN12</f>
        <v>0</v>
      </c>
      <c r="K12" s="91">
        <f>(( 0 + 'BRAWLERS OFICIAL'!K12)-'BRAWLERS OFICIAL'!K12)/$BN12</f>
        <v>0</v>
      </c>
      <c r="L12" s="91">
        <f>(( 0 + 'BRAWLERS OFICIAL'!L12)-'BRAWLERS OFICIAL'!L12)/$BN12</f>
        <v>0</v>
      </c>
      <c r="M12" s="91">
        <f>(( 0 + 'BRAWLERS OFICIAL'!M12)-'BRAWLERS OFICIAL'!M12)/$BN12</f>
        <v>0</v>
      </c>
      <c r="N12" s="91">
        <f>(( 0 + 'BRAWLERS OFICIAL'!N12)-'BRAWLERS OFICIAL'!N12)/$BN12</f>
        <v>0</v>
      </c>
      <c r="O12" s="91">
        <f>(( 'BRAWLERS OFICIAL'!O12/20 + 'BRAWLERS OFICIAL'!O12)-'BRAWLERS OFICIAL'!O12)/$BN12</f>
        <v>29.759999999999998</v>
      </c>
      <c r="P12" s="91">
        <f>(( 'BRAWLERS OFICIAL'!P12/20 + 'BRAWLERS OFICIAL'!P12)-'BRAWLERS OFICIAL'!P12)/$BN12</f>
        <v>29.759999999999998</v>
      </c>
      <c r="Q12" s="91">
        <f>(( 'BRAWLERS OFICIAL'!Q12/20 + 'BRAWLERS OFICIAL'!Q12)-'BRAWLERS OFICIAL'!Q12)/$BN12</f>
        <v>14.879999999999999</v>
      </c>
      <c r="R12" s="91">
        <f>(( 'BRAWLERS OFICIAL'!R12/20 + 'BRAWLERS OFICIAL'!R12)-'BRAWLERS OFICIAL'!R12)/$BN12</f>
        <v>0</v>
      </c>
      <c r="S12" s="91">
        <f>(( 'BRAWLERS OFICIAL'!S12/20 + 'BRAWLERS OFICIAL'!S12)-'BRAWLERS OFICIAL'!S12)/$BN12</f>
        <v>29.759999999999998</v>
      </c>
      <c r="T12" s="91">
        <f>(( 0 + 'BRAWLERS OFICIAL'!T12)-'BRAWLERS OFICIAL'!T12)/$BN12</f>
        <v>0</v>
      </c>
      <c r="U12" s="91">
        <f>(( 0 + 'BRAWLERS OFICIAL'!U12)-'BRAWLERS OFICIAL'!U12)/$BN12</f>
        <v>0</v>
      </c>
      <c r="V12" s="102">
        <f>(( ('BRAWLERS OFICIAL'!V12/20) + 'BRAWLERS OFICIAL'!V12 + AN12 + AV12/3.5 )-'BRAWLERS OFICIAL'!V12)/($BN12)</f>
        <v>0.11657142857142858</v>
      </c>
      <c r="W12" s="92">
        <f>((0 + 'BRAWLERS OFICIAL'!W12)-'BRAWLERS OFICIAL'!W12)/($BN12)</f>
        <v>0</v>
      </c>
      <c r="X12" s="92">
        <f>(((0)/3 + 'BRAWLERS OFICIAL'!X12)-'BRAWLERS OFICIAL'!X12)</f>
        <v>0</v>
      </c>
      <c r="Y12" s="92">
        <f>((2 + 'BRAWLERS OFICIAL'!Y12)-'BRAWLERS OFICIAL'!Y12)/($BN12)</f>
        <v>0.48</v>
      </c>
      <c r="Z12" s="92">
        <f>((0 + 'BRAWLERS OFICIAL'!Z12)-'BRAWLERS OFICIAL'!Z12)</f>
        <v>0</v>
      </c>
      <c r="AA12" s="92">
        <f>(((0)/4 + 'BRAWLERS OFICIAL'!AA12)-'BRAWLERS OFICIAL'!AA12)/($BN12)</f>
        <v>0</v>
      </c>
      <c r="AB12" s="92">
        <f>((0 + 'BRAWLERS OFICIAL'!AB12)-'BRAWLERS OFICIAL'!AB12)/($BN12)</f>
        <v>0</v>
      </c>
      <c r="AC12" s="92">
        <f>((0 + 'BRAWLERS OFICIAL'!AC12)-'BRAWLERS OFICIAL'!AC12)/($BN12)</f>
        <v>0</v>
      </c>
      <c r="AD12" s="92">
        <f>((0 + 'BRAWLERS OFICIAL'!AD12)-'BRAWLERS OFICIAL'!AD12)/($BN12)</f>
        <v>0</v>
      </c>
      <c r="AE12" s="92">
        <f>((2 + 'BRAWLERS OFICIAL'!AE12)-'BRAWLERS OFICIAL'!AE12)/($BN12)</f>
        <v>0.48</v>
      </c>
      <c r="AF12" s="92">
        <f>((1.5 + 'BRAWLERS OFICIAL'!AF12)-'BRAWLERS OFICIAL'!AF12)/($BN12)</f>
        <v>0.36</v>
      </c>
      <c r="AG12" s="92">
        <f>((0 + 'BRAWLERS OFICIAL'!AG12)-'BRAWLERS OFICIAL'!AG12)/($BN12)</f>
        <v>0</v>
      </c>
      <c r="AH12" s="92">
        <f>(( ('BRAWLERS OFICIAL'!AH12/5) + 'BRAWLERS OFICIAL'!AH12)-'BRAWLERS OFICIAL'!AH12)/($BN12)</f>
        <v>0.28800000000000003</v>
      </c>
      <c r="AI12" s="92">
        <f>((0 + 'BRAWLERS OFICIAL'!AI12)-'BRAWLERS OFICIAL'!AI12)/($BN12)</f>
        <v>0</v>
      </c>
      <c r="AJ12" s="92">
        <f>(((BH12/5+1)*AI12 + 'BRAWLERS OFICIAL'!AJ12)-'BRAWLERS OFICIAL'!AJ12)/($BN12)</f>
        <v>0</v>
      </c>
      <c r="AK12" s="92">
        <f>IF( 0 = (1-1), (1-1), ((0 + 'BRAWLERS OFICIAL'!AK12)/1.5)-'BRAWLERS OFICIAL'!AK12 )/($BN12)</f>
        <v>0</v>
      </c>
      <c r="AL12" s="92">
        <f t="shared" si="0"/>
        <v>0</v>
      </c>
      <c r="AM12" s="92">
        <f>((0 + 'BRAWLERS OFICIAL'!AM12)-'BRAWLERS OFICIAL'!AM12)/($BN12)</f>
        <v>0</v>
      </c>
      <c r="AN12" s="92">
        <f>((0/1000 + 'BRAWLERS OFICIAL'!AN12)-'BRAWLERS OFICIAL'!AN12)/($BN12)</f>
        <v>0</v>
      </c>
      <c r="AO12" s="92">
        <f>((0 + 'BRAWLERS OFICIAL'!AO12)-'BRAWLERS OFICIAL'!AO12)/($BN12)</f>
        <v>0</v>
      </c>
      <c r="AP12" s="92">
        <f>IF( 0 = (1-1), (1-1), ((0 + 'BRAWLERS OFICIAL'!AP12)/1.5) )/($BN12)</f>
        <v>0</v>
      </c>
      <c r="AQ12" s="92">
        <f>IF( 0 = (1-1), (1-1), ((0 + 'BRAWLERS OFICIAL'!AQ12)/1.5) )/($BN12)</f>
        <v>0</v>
      </c>
      <c r="AR12" s="92">
        <f>IF( 0 = (1-1), (1-1), ((0 + 'BRAWLERS OFICIAL'!AR12)/2) )/($BN12)</f>
        <v>0</v>
      </c>
      <c r="AS12" s="92">
        <f>((0 + 'BRAWLERS OFICIAL'!AS12)-'BRAWLERS OFICIAL'!AS12)/($BN12)</f>
        <v>0</v>
      </c>
      <c r="AT12" s="92">
        <f>(((0)/4 + 'BRAWLERS OFICIAL'!AT12)-'BRAWLERS OFICIAL'!AT12)/($BN12)</f>
        <v>0</v>
      </c>
      <c r="AU12" s="92">
        <v>0</v>
      </c>
      <c r="AV12" s="91">
        <f>((( 0 )/3 + 'BRAWLERS OFICIAL'!AV12)-'BRAWLERS OFICIAL'!AV12)</f>
        <v>0</v>
      </c>
      <c r="AW12" s="91">
        <f>((( 0 )/2 + 'BRAWLERS OFICIAL'!AW12)-'BRAWLERS OFICIAL'!AW12)/($BN12)</f>
        <v>0</v>
      </c>
      <c r="AX12" s="91">
        <f>((( 0 )/2 + 'BRAWLERS OFICIAL'!AX12)-'BRAWLERS OFICIAL'!AX12)</f>
        <v>0</v>
      </c>
      <c r="AY12" s="91">
        <f>((( 0 )/3 + 'BRAWLERS OFICIAL'!AY12)-'BRAWLERS OFICIAL'!AY12)</f>
        <v>0</v>
      </c>
      <c r="AZ12" s="91">
        <f>((( 0 )/2 + 'BRAWLERS OFICIAL'!AZ12)-'BRAWLERS OFICIAL'!AZ12)/($BN12)</f>
        <v>0</v>
      </c>
      <c r="BA12" s="91">
        <f>((( 0 )/3 + 'BRAWLERS OFICIAL'!BA12)-'BRAWLERS OFICIAL'!BA12)</f>
        <v>0</v>
      </c>
      <c r="BB12" s="91">
        <f>((( 0 )/3 + 'BRAWLERS OFICIAL'!BB12)-'BRAWLERS OFICIAL'!BB12)</f>
        <v>0</v>
      </c>
      <c r="BC12" s="91">
        <f>((0 + 'BRAWLERS OFICIAL'!BC12)-'BRAWLERS OFICIAL'!BC12)/($BN12)</f>
        <v>0</v>
      </c>
      <c r="BD12" s="91">
        <f>((0 + 'BRAWLERS OFICIAL'!BD12)-'BRAWLERS OFICIAL'!BD12)/($BN12)</f>
        <v>0</v>
      </c>
      <c r="BE12" s="91">
        <f>((( 0 )/2 + 'BRAWLERS OFICIAL'!BE12)-'BRAWLERS OFICIAL'!BE12)</f>
        <v>0</v>
      </c>
      <c r="BF12" s="91">
        <f>((0 + 'BRAWLERS OFICIAL'!BF12)-'BRAWLERS OFICIAL'!BF12)/($BN12)</f>
        <v>0</v>
      </c>
      <c r="BG12" s="91">
        <f>((( 0 )/2 + 'BRAWLERS OFICIAL'!BG12)-'BRAWLERS OFICIAL'!BG12)</f>
        <v>0</v>
      </c>
      <c r="BH12" s="91">
        <f>((( 0 )/3 + 'BRAWLERS OFICIAL'!BH12)-'BRAWLERS OFICIAL'!BH12)</f>
        <v>0</v>
      </c>
      <c r="BI12" s="91">
        <f>((( 0 )/2 + 'BRAWLERS OFICIAL'!BI12)-'BRAWLERS OFICIAL'!BI12)</f>
        <v>0</v>
      </c>
      <c r="BJ12" s="91">
        <f>((0 + 'BRAWLERS OFICIAL'!BJ12)-'BRAWLERS OFICIAL'!BJ12)/($BN12)</f>
        <v>0</v>
      </c>
      <c r="BK12" s="91">
        <f>((3 + 'BRAWLERS OFICIAL'!BK12)-'BRAWLERS OFICIAL'!BK12)/($BN12)</f>
        <v>0.72</v>
      </c>
      <c r="BL12" s="91">
        <f>((0 + 'BRAWLERS OFICIAL'!BL12)-'BRAWLERS OFICIAL'!BL12)/($BN12)</f>
        <v>0</v>
      </c>
      <c r="BN12" s="100">
        <f>('BRAWLERS OFICIAL'!D12 / 'BRAWLERS OFICIAL'!H12 / (1 + ('BRAWLERS OFICIAL'!Y12/5)))*'BRAWLERS OFICIAL'!E12</f>
        <v>4.166666666666667</v>
      </c>
    </row>
    <row r="13" spans="1:66">
      <c r="B13" s="86" t="s">
        <v>482</v>
      </c>
      <c r="C13" s="87" t="s">
        <v>93</v>
      </c>
      <c r="D13" s="91">
        <f>(( 0 + 'BRAWLERS OFICIAL'!D13)-'BRAWLERS OFICIAL'!D13)/$BN13</f>
        <v>0</v>
      </c>
      <c r="E13" s="91">
        <f>(( 0 + 'BRAWLERS OFICIAL'!E13)-'BRAWLERS OFICIAL'!E13)/$BN13</f>
        <v>0</v>
      </c>
      <c r="F13" s="91">
        <f>(( ('BRAWLERS OFICIAL'!F13/20) + 'BRAWLERS OFICIAL'!F13)-'BRAWLERS OFICIAL'!F13)/$BN13</f>
        <v>12</v>
      </c>
      <c r="G13" s="91">
        <f>(( 0 + 'BRAWLERS OFICIAL'!G13)-'BRAWLERS OFICIAL'!G13)/$BN13</f>
        <v>0</v>
      </c>
      <c r="H13" s="91">
        <f>(( 0 + 'BRAWLERS OFICIAL'!H13)-'BRAWLERS OFICIAL'!H13)/$BN13</f>
        <v>0</v>
      </c>
      <c r="I13" s="91">
        <f>(( 0 + 'BRAWLERS OFICIAL'!I13)-'BRAWLERS OFICIAL'!I13)/$BN13</f>
        <v>0</v>
      </c>
      <c r="J13" s="91">
        <f>(( 0 + 'BRAWLERS OFICIAL'!J13)-'BRAWLERS OFICIAL'!J13)/$BN13</f>
        <v>0</v>
      </c>
      <c r="K13" s="91">
        <f>(( 0 + 'BRAWLERS OFICIAL'!K13)-'BRAWLERS OFICIAL'!K13)/$BN13</f>
        <v>0</v>
      </c>
      <c r="L13" s="91">
        <f>(( 0 + 'BRAWLERS OFICIAL'!L13)-'BRAWLERS OFICIAL'!L13)/$BN13</f>
        <v>0</v>
      </c>
      <c r="M13" s="91">
        <f>(( 0 + 'BRAWLERS OFICIAL'!M13)-'BRAWLERS OFICIAL'!M13)/$BN13</f>
        <v>0</v>
      </c>
      <c r="N13" s="91">
        <f>(( 0 + 'BRAWLERS OFICIAL'!N13)-'BRAWLERS OFICIAL'!N13)/$BN13</f>
        <v>0</v>
      </c>
      <c r="O13" s="91">
        <f>(( 'BRAWLERS OFICIAL'!O13/20 + 'BRAWLERS OFICIAL'!O13)-'BRAWLERS OFICIAL'!O13)/$BN13</f>
        <v>0</v>
      </c>
      <c r="P13" s="91">
        <f>(( 'BRAWLERS OFICIAL'!P13/20 + 'BRAWLERS OFICIAL'!P13)-'BRAWLERS OFICIAL'!P13)/$BN13</f>
        <v>0</v>
      </c>
      <c r="Q13" s="91">
        <f>(( 'BRAWLERS OFICIAL'!Q13/20 + 'BRAWLERS OFICIAL'!Q13)-'BRAWLERS OFICIAL'!Q13)/$BN13</f>
        <v>0</v>
      </c>
      <c r="R13" s="91">
        <f>(( 'BRAWLERS OFICIAL'!R13/20 + 'BRAWLERS OFICIAL'!R13)-'BRAWLERS OFICIAL'!R13)/$BN13</f>
        <v>0</v>
      </c>
      <c r="S13" s="91">
        <f>(( 'BRAWLERS OFICIAL'!S13/20 + 'BRAWLERS OFICIAL'!S13)-'BRAWLERS OFICIAL'!S13)/$BN13</f>
        <v>0</v>
      </c>
      <c r="T13" s="91">
        <f>(( 0 + 'BRAWLERS OFICIAL'!T13)-'BRAWLERS OFICIAL'!T13)/$BN13</f>
        <v>0</v>
      </c>
      <c r="U13" s="91">
        <f>(( 0 + 'BRAWLERS OFICIAL'!U13)-'BRAWLERS OFICIAL'!U13)/$BN13</f>
        <v>0</v>
      </c>
      <c r="V13" s="102">
        <f>(( ('BRAWLERS OFICIAL'!V13/20) + 'BRAWLERS OFICIAL'!V13 + AN13 + AV13/3.5 )-'BRAWLERS OFICIAL'!V13)/($BN13)</f>
        <v>3.9047619047619025E-2</v>
      </c>
      <c r="W13" s="92">
        <f>((0 + 'BRAWLERS OFICIAL'!W13)-'BRAWLERS OFICIAL'!W13)/($BN13)</f>
        <v>0</v>
      </c>
      <c r="X13" s="92">
        <f>(((1 + 2 + 3)/3 + 'BRAWLERS OFICIAL'!X13)-'BRAWLERS OFICIAL'!X13)</f>
        <v>2</v>
      </c>
      <c r="Y13" s="92">
        <f>((0 + 'BRAWLERS OFICIAL'!Y13)-'BRAWLERS OFICIAL'!Y13)/($BN13)</f>
        <v>0</v>
      </c>
      <c r="Z13" s="92">
        <f>((0 + 'BRAWLERS OFICIAL'!Z13)-'BRAWLERS OFICIAL'!Z13)</f>
        <v>0</v>
      </c>
      <c r="AA13" s="92">
        <f>(((0)/4 + 'BRAWLERS OFICIAL'!AA13)-'BRAWLERS OFICIAL'!AA13)/($BN13)</f>
        <v>0</v>
      </c>
      <c r="AB13" s="92">
        <f>((0 + 'BRAWLERS OFICIAL'!AB13)-'BRAWLERS OFICIAL'!AB13)/($BN13)</f>
        <v>0</v>
      </c>
      <c r="AC13" s="92">
        <f>((0 + 'BRAWLERS OFICIAL'!AC13)-'BRAWLERS OFICIAL'!AC13)/($BN13)</f>
        <v>0</v>
      </c>
      <c r="AD13" s="92">
        <f>((0 + 'BRAWLERS OFICIAL'!AD13)-'BRAWLERS OFICIAL'!AD13)/($BN13)</f>
        <v>0</v>
      </c>
      <c r="AE13" s="92">
        <f>((0 + 'BRAWLERS OFICIAL'!AE13)-'BRAWLERS OFICIAL'!AE13)/($BN13)</f>
        <v>0</v>
      </c>
      <c r="AF13" s="92">
        <f>((0 + 'BRAWLERS OFICIAL'!AF13)-'BRAWLERS OFICIAL'!AF13)/($BN13)</f>
        <v>0</v>
      </c>
      <c r="AG13" s="92">
        <f>((0 + 'BRAWLERS OFICIAL'!AG13)-'BRAWLERS OFICIAL'!AG13)/($BN13)</f>
        <v>0</v>
      </c>
      <c r="AH13" s="92">
        <f>(( ('BRAWLERS OFICIAL'!AH13/5) + 'BRAWLERS OFICIAL'!AH13)-'BRAWLERS OFICIAL'!AH13)/($BN13)</f>
        <v>0.16000000000000003</v>
      </c>
      <c r="AI13" s="92">
        <f>((0 + 'BRAWLERS OFICIAL'!AI13)-'BRAWLERS OFICIAL'!AI13)/($BN13)</f>
        <v>0</v>
      </c>
      <c r="AJ13" s="92">
        <f>(((BH13/5+1)*AI13 + 'BRAWLERS OFICIAL'!AJ13)-'BRAWLERS OFICIAL'!AJ13)/($BN13)</f>
        <v>0</v>
      </c>
      <c r="AK13" s="92">
        <f>IF( 0 = (1-1), (1-1), ((0 + 'BRAWLERS OFICIAL'!AK13)/1.5)-'BRAWLERS OFICIAL'!AK13 )/($BN13)</f>
        <v>0</v>
      </c>
      <c r="AL13" s="92">
        <f t="shared" si="0"/>
        <v>0</v>
      </c>
      <c r="AM13" s="92">
        <f>((0 + 'BRAWLERS OFICIAL'!AM13)-'BRAWLERS OFICIAL'!AM13)/($BN13)</f>
        <v>0</v>
      </c>
      <c r="AN13" s="92">
        <f>((0/1000 + 'BRAWLERS OFICIAL'!AN13)-'BRAWLERS OFICIAL'!AN13)/($BN13)</f>
        <v>0</v>
      </c>
      <c r="AO13" s="92">
        <f>((0 + 'BRAWLERS OFICIAL'!AO13)-'BRAWLERS OFICIAL'!AO13)/($BN13)</f>
        <v>0</v>
      </c>
      <c r="AP13" s="92">
        <f>IF( 0 = (1-1), (1-1), ((0 + 'BRAWLERS OFICIAL'!AP13)/1.5) )/($BN13)</f>
        <v>0</v>
      </c>
      <c r="AQ13" s="92">
        <f>IF( 0 = (1-1), (1-1), ((0 + 'BRAWLERS OFICIAL'!AQ13)/1.5) )/($BN13)</f>
        <v>0</v>
      </c>
      <c r="AR13" s="92">
        <f>IF( 0 = (1-1), (1-1), ((0 + 'BRAWLERS OFICIAL'!AR13)/2) )/($BN13)</f>
        <v>0</v>
      </c>
      <c r="AS13" s="92">
        <f>((0 + 'BRAWLERS OFICIAL'!AS13)-'BRAWLERS OFICIAL'!AS13)/($BN13)</f>
        <v>0</v>
      </c>
      <c r="AT13" s="92">
        <f>(((0)/4 + 'BRAWLERS OFICIAL'!AT13)-'BRAWLERS OFICIAL'!AT13)/($BN13)</f>
        <v>0</v>
      </c>
      <c r="AU13" s="92">
        <v>0</v>
      </c>
      <c r="AV13" s="91">
        <f>((( 0 )/3 + 'BRAWLERS OFICIAL'!AV13)-'BRAWLERS OFICIAL'!AV13)</f>
        <v>0</v>
      </c>
      <c r="AW13" s="91">
        <f>((( 0 )/2 + 'BRAWLERS OFICIAL'!AW13)-'BRAWLERS OFICIAL'!AW13)/($BN13)</f>
        <v>0</v>
      </c>
      <c r="AX13" s="91">
        <f>((( 0 )/2 + 'BRAWLERS OFICIAL'!AX13)-'BRAWLERS OFICIAL'!AX13)</f>
        <v>0</v>
      </c>
      <c r="AY13" s="91">
        <f>((( 0 )/3 + 'BRAWLERS OFICIAL'!AY13)-'BRAWLERS OFICIAL'!AY13)</f>
        <v>0</v>
      </c>
      <c r="AZ13" s="91">
        <f>((( 10 + 0.5 )/2 + 'BRAWLERS OFICIAL'!AZ13)-'BRAWLERS OFICIAL'!AZ13)/($BN13)</f>
        <v>0.7</v>
      </c>
      <c r="BA13" s="91">
        <f>((( 0 )/3 + 'BRAWLERS OFICIAL'!BA13)-'BRAWLERS OFICIAL'!BA13)</f>
        <v>0</v>
      </c>
      <c r="BB13" s="91">
        <f>((( 0 )/3 + 'BRAWLERS OFICIAL'!BB13)-'BRAWLERS OFICIAL'!BB13)</f>
        <v>0</v>
      </c>
      <c r="BC13" s="91">
        <f>((0 + 'BRAWLERS OFICIAL'!BC13)-'BRAWLERS OFICIAL'!BC13)/($BN13)</f>
        <v>0</v>
      </c>
      <c r="BD13" s="91">
        <f>((0 + 'BRAWLERS OFICIAL'!BD13)-'BRAWLERS OFICIAL'!BD13)/($BN13)</f>
        <v>0</v>
      </c>
      <c r="BE13" s="91">
        <f>((( 0 )/2 + 'BRAWLERS OFICIAL'!BE13)-'BRAWLERS OFICIAL'!BE13)</f>
        <v>0</v>
      </c>
      <c r="BF13" s="91">
        <f>((0 + 'BRAWLERS OFICIAL'!BF13)-'BRAWLERS OFICIAL'!BF13)/($BN13)</f>
        <v>0</v>
      </c>
      <c r="BG13" s="91">
        <f>((( 0 )/2 + 'BRAWLERS OFICIAL'!BG13)-'BRAWLERS OFICIAL'!BG13)</f>
        <v>0</v>
      </c>
      <c r="BH13" s="91">
        <f>((( 0 )/3 + 'BRAWLERS OFICIAL'!BH13)-'BRAWLERS OFICIAL'!BH13)</f>
        <v>0</v>
      </c>
      <c r="BI13" s="91">
        <f>((( 0 )/2 + 'BRAWLERS OFICIAL'!BI13)-'BRAWLERS OFICIAL'!BI13)</f>
        <v>0</v>
      </c>
      <c r="BJ13" s="91">
        <f>((0 + 'BRAWLERS OFICIAL'!BJ13)-'BRAWLERS OFICIAL'!BJ13)/($BN13)</f>
        <v>0</v>
      </c>
      <c r="BK13" s="91">
        <f>((0 + 'BRAWLERS OFICIAL'!BK13)-'BRAWLERS OFICIAL'!BK13)/($BN13)</f>
        <v>0</v>
      </c>
      <c r="BL13" s="91">
        <f>((0 + 'BRAWLERS OFICIAL'!BL13)-'BRAWLERS OFICIAL'!BL13)/($BN13)</f>
        <v>0</v>
      </c>
      <c r="BN13" s="100">
        <f>('BRAWLERS OFICIAL'!D13 / 'BRAWLERS OFICIAL'!H13 / (1 + ('BRAWLERS OFICIAL'!Y13/5)))*'BRAWLERS OFICIAL'!E13</f>
        <v>7.5</v>
      </c>
    </row>
    <row r="14" spans="1:66">
      <c r="B14" s="86" t="s">
        <v>483</v>
      </c>
      <c r="C14" s="88" t="s">
        <v>53</v>
      </c>
      <c r="D14" s="91">
        <f>(( 0 + 'BRAWLERS OFICIAL'!D14)-'BRAWLERS OFICIAL'!D14)/$BN14</f>
        <v>0</v>
      </c>
      <c r="E14" s="91">
        <f>(( 0 + 'BRAWLERS OFICIAL'!E14)-'BRAWLERS OFICIAL'!E14)/$BN14</f>
        <v>0</v>
      </c>
      <c r="F14" s="91">
        <f>(( ('BRAWLERS OFICIAL'!F14/20) + 'BRAWLERS OFICIAL'!F14)-'BRAWLERS OFICIAL'!F14)/$BN14</f>
        <v>34.72</v>
      </c>
      <c r="G14" s="91">
        <f>(( 0 + 'BRAWLERS OFICIAL'!G14)-'BRAWLERS OFICIAL'!G14)/$BN14</f>
        <v>0</v>
      </c>
      <c r="H14" s="91">
        <f>(( 0 + 'BRAWLERS OFICIAL'!H14)-'BRAWLERS OFICIAL'!H14)/$BN14</f>
        <v>0</v>
      </c>
      <c r="I14" s="91">
        <f>(( 0 + 'BRAWLERS OFICIAL'!I14)-'BRAWLERS OFICIAL'!I14)/$BN14</f>
        <v>0</v>
      </c>
      <c r="J14" s="91">
        <f>(( 0 + 'BRAWLERS OFICIAL'!J14)-'BRAWLERS OFICIAL'!J14)/$BN14</f>
        <v>0</v>
      </c>
      <c r="K14" s="91">
        <f>(( 0 + 'BRAWLERS OFICIAL'!K14)-'BRAWLERS OFICIAL'!K14)/$BN14</f>
        <v>0</v>
      </c>
      <c r="L14" s="91">
        <f>(( 0 + 'BRAWLERS OFICIAL'!L14)-'BRAWLERS OFICIAL'!L14)/$BN14</f>
        <v>0</v>
      </c>
      <c r="M14" s="91">
        <f>(( 0 + 'BRAWLERS OFICIAL'!M14)-'BRAWLERS OFICIAL'!M14)/$BN14</f>
        <v>0</v>
      </c>
      <c r="N14" s="91">
        <f>(( 0 + 'BRAWLERS OFICIAL'!N14)-'BRAWLERS OFICIAL'!N14)/$BN14</f>
        <v>0</v>
      </c>
      <c r="O14" s="91">
        <f>(( 'BRAWLERS OFICIAL'!O14/20 + 'BRAWLERS OFICIAL'!O14)-'BRAWLERS OFICIAL'!O14)/$BN14</f>
        <v>0</v>
      </c>
      <c r="P14" s="91">
        <f>(( 'BRAWLERS OFICIAL'!P14/20 + 'BRAWLERS OFICIAL'!P14)-'BRAWLERS OFICIAL'!P14)/$BN14</f>
        <v>0</v>
      </c>
      <c r="Q14" s="91">
        <f>(( 'BRAWLERS OFICIAL'!Q14/20 + 'BRAWLERS OFICIAL'!Q14)-'BRAWLERS OFICIAL'!Q14)/$BN14</f>
        <v>0</v>
      </c>
      <c r="R14" s="91">
        <f>(( 'BRAWLERS OFICIAL'!R14/20 + 'BRAWLERS OFICIAL'!R14)-'BRAWLERS OFICIAL'!R14)/$BN14</f>
        <v>0</v>
      </c>
      <c r="S14" s="91">
        <f>(( 'BRAWLERS OFICIAL'!S14/20 + 'BRAWLERS OFICIAL'!S14)-'BRAWLERS OFICIAL'!S14)/$BN14</f>
        <v>0</v>
      </c>
      <c r="T14" s="91">
        <f>(( 0 + 'BRAWLERS OFICIAL'!T14)-'BRAWLERS OFICIAL'!T14)/$BN14</f>
        <v>0</v>
      </c>
      <c r="U14" s="91">
        <f>(( 0 + 'BRAWLERS OFICIAL'!U14)-'BRAWLERS OFICIAL'!U14)/$BN14</f>
        <v>0</v>
      </c>
      <c r="V14" s="102">
        <f>(( ('BRAWLERS OFICIAL'!V14/20) + 'BRAWLERS OFICIAL'!V14 + AN14 + AV14/3.5 )-'BRAWLERS OFICIAL'!V14)/($BN14)</f>
        <v>9.9999999999999895E-2</v>
      </c>
      <c r="W14" s="92">
        <f>((0 + 'BRAWLERS OFICIAL'!W14)-'BRAWLERS OFICIAL'!W14)/($BN14)</f>
        <v>0</v>
      </c>
      <c r="X14" s="92">
        <f>(((0)/3 + 'BRAWLERS OFICIAL'!X14)-'BRAWLERS OFICIAL'!X14)</f>
        <v>0</v>
      </c>
      <c r="Y14" s="92">
        <f>((0 + 'BRAWLERS OFICIAL'!Y14)-'BRAWLERS OFICIAL'!Y14)/($BN14)</f>
        <v>0</v>
      </c>
      <c r="Z14" s="92">
        <f>((0 + 'BRAWLERS OFICIAL'!Z14)-'BRAWLERS OFICIAL'!Z14)</f>
        <v>0</v>
      </c>
      <c r="AA14" s="92">
        <f>(((0)/4 + 'BRAWLERS OFICIAL'!AA14)-'BRAWLERS OFICIAL'!AA14)/($BN14)</f>
        <v>0</v>
      </c>
      <c r="AB14" s="92">
        <f>((0 + 'BRAWLERS OFICIAL'!AB14)-'BRAWLERS OFICIAL'!AB14)/($BN14)</f>
        <v>0</v>
      </c>
      <c r="AC14" s="92">
        <f>((0 + 'BRAWLERS OFICIAL'!AC14)-'BRAWLERS OFICIAL'!AC14)/($BN14)</f>
        <v>0</v>
      </c>
      <c r="AD14" s="92">
        <f>((0 + 'BRAWLERS OFICIAL'!AD14)-'BRAWLERS OFICIAL'!AD14)/($BN14)</f>
        <v>0</v>
      </c>
      <c r="AE14" s="92">
        <f>((0 + 'BRAWLERS OFICIAL'!AE14)-'BRAWLERS OFICIAL'!AE14)/($BN14)</f>
        <v>0</v>
      </c>
      <c r="AF14" s="92">
        <f>((0 + 'BRAWLERS OFICIAL'!AF14)-'BRAWLERS OFICIAL'!AF14)/($BN14)</f>
        <v>0</v>
      </c>
      <c r="AG14" s="92">
        <f>((0 + 'BRAWLERS OFICIAL'!AG14)-'BRAWLERS OFICIAL'!AG14)/($BN14)</f>
        <v>0</v>
      </c>
      <c r="AH14" s="92">
        <f>(( ('BRAWLERS OFICIAL'!AH14/5) + 'BRAWLERS OFICIAL'!AH14)-'BRAWLERS OFICIAL'!AH14)/($BN14)</f>
        <v>0.33600000000000002</v>
      </c>
      <c r="AI14" s="92">
        <f>((0 + 'BRAWLERS OFICIAL'!AI14)-'BRAWLERS OFICIAL'!AI14)/($BN14)</f>
        <v>0</v>
      </c>
      <c r="AJ14" s="92">
        <f>(((BH14/5+1)*AI14 + 'BRAWLERS OFICIAL'!AJ14)-'BRAWLERS OFICIAL'!AJ14)/($BN14)</f>
        <v>0</v>
      </c>
      <c r="AK14" s="92">
        <f>IF( 0 = (1-1), (1-1), ((0 + 'BRAWLERS OFICIAL'!AK14)/1.5)-'BRAWLERS OFICIAL'!AK14 )/($BN14)</f>
        <v>0</v>
      </c>
      <c r="AL14" s="92">
        <f t="shared" si="0"/>
        <v>0</v>
      </c>
      <c r="AM14" s="92">
        <f>((0 + 'BRAWLERS OFICIAL'!AM14)-'BRAWLERS OFICIAL'!AM14)/($BN14)</f>
        <v>0</v>
      </c>
      <c r="AN14" s="92">
        <f>((0/1000 + 'BRAWLERS OFICIAL'!AN14)-'BRAWLERS OFICIAL'!AN14)/($BN14)</f>
        <v>0</v>
      </c>
      <c r="AO14" s="92">
        <f>((0 + 'BRAWLERS OFICIAL'!AO14)-'BRAWLERS OFICIAL'!AO14)/($BN14)</f>
        <v>0</v>
      </c>
      <c r="AP14" s="92">
        <f>IF( 0 = (1-1), (1-1), ((0 + 'BRAWLERS OFICIAL'!AP14)/1.5) )/($BN14)</f>
        <v>0</v>
      </c>
      <c r="AQ14" s="92">
        <f>IF( 0 = (1-1), (1-1), ((0 + 'BRAWLERS OFICIAL'!AQ14)/1.5) )/($BN14)</f>
        <v>0</v>
      </c>
      <c r="AR14" s="92">
        <f>IF( 0 = (1-1), (1-1), ((0 + 'BRAWLERS OFICIAL'!AR14)/2) )/($BN14)</f>
        <v>0</v>
      </c>
      <c r="AS14" s="92">
        <f>((0 + 'BRAWLERS OFICIAL'!AS14)-'BRAWLERS OFICIAL'!AS14)/($BN14)</f>
        <v>0</v>
      </c>
      <c r="AT14" s="92">
        <f>(((0)/4 + 'BRAWLERS OFICIAL'!AT14)-'BRAWLERS OFICIAL'!AT14)/($BN14)</f>
        <v>0</v>
      </c>
      <c r="AU14" s="92">
        <v>0</v>
      </c>
      <c r="AV14" s="91">
        <f>((( 0 )/3 + 'BRAWLERS OFICIAL'!AV14)-'BRAWLERS OFICIAL'!AV14)</f>
        <v>0</v>
      </c>
      <c r="AW14" s="91">
        <f>((( 0 )/2 + 'BRAWLERS OFICIAL'!AW14)-'BRAWLERS OFICIAL'!AW14)/($BN14)</f>
        <v>0</v>
      </c>
      <c r="AX14" s="91">
        <f>((( 0 )/2 + 'BRAWLERS OFICIAL'!AX14)-'BRAWLERS OFICIAL'!AX14)</f>
        <v>0</v>
      </c>
      <c r="AY14" s="91">
        <f>((( 0 )/3 + 'BRAWLERS OFICIAL'!AY14)-'BRAWLERS OFICIAL'!AY14)</f>
        <v>0</v>
      </c>
      <c r="AZ14" s="91">
        <f>((( 0 )/2 + 'BRAWLERS OFICIAL'!AZ14)-'BRAWLERS OFICIAL'!AZ14)/($BN14)</f>
        <v>0</v>
      </c>
      <c r="BA14" s="91">
        <f>((( 0 )/3 + 'BRAWLERS OFICIAL'!BA14)-'BRAWLERS OFICIAL'!BA14)</f>
        <v>0</v>
      </c>
      <c r="BB14" s="91">
        <f>((( 0 )/3 + 'BRAWLERS OFICIAL'!BB14)-'BRAWLERS OFICIAL'!BB14)</f>
        <v>0</v>
      </c>
      <c r="BC14" s="91">
        <f>((0 + 'BRAWLERS OFICIAL'!BC14)-'BRAWLERS OFICIAL'!BC14)/($BN14)</f>
        <v>0</v>
      </c>
      <c r="BD14" s="91">
        <f>((0 + 'BRAWLERS OFICIAL'!BD14)-'BRAWLERS OFICIAL'!BD14)/($BN14)</f>
        <v>0</v>
      </c>
      <c r="BE14" s="91">
        <f>((( 0 )/2 + 'BRAWLERS OFICIAL'!BE14)-'BRAWLERS OFICIAL'!BE14)</f>
        <v>0</v>
      </c>
      <c r="BF14" s="91">
        <f>((0 + 'BRAWLERS OFICIAL'!BF14)-'BRAWLERS OFICIAL'!BF14)/($BN14)</f>
        <v>0</v>
      </c>
      <c r="BG14" s="91">
        <f>((( 0 )/2 + 'BRAWLERS OFICIAL'!BG14)-'BRAWLERS OFICIAL'!BG14)</f>
        <v>0</v>
      </c>
      <c r="BH14" s="91">
        <f>((( 1 + 5 + 3 )/3)-'BRAWLERS OFICIAL'!BH14)</f>
        <v>3</v>
      </c>
      <c r="BI14" s="91">
        <f>((( 0 )/2 + 'BRAWLERS OFICIAL'!BI14)-'BRAWLERS OFICIAL'!BI14)</f>
        <v>0</v>
      </c>
      <c r="BJ14" s="91">
        <f>((0 + 'BRAWLERS OFICIAL'!BJ14)-'BRAWLERS OFICIAL'!BJ14)/($BN14)</f>
        <v>0</v>
      </c>
      <c r="BK14" s="91">
        <f>((0 + 'BRAWLERS OFICIAL'!BK14)-'BRAWLERS OFICIAL'!BK14)/($BN14)</f>
        <v>0</v>
      </c>
      <c r="BL14" s="91">
        <f>((0 + 'BRAWLERS OFICIAL'!BL14)-'BRAWLERS OFICIAL'!BL14)/($BN14)</f>
        <v>0</v>
      </c>
      <c r="BN14" s="100">
        <f>('BRAWLERS OFICIAL'!D14 / 'BRAWLERS OFICIAL'!H14 / (1 + ('BRAWLERS OFICIAL'!Y14/5)))*'BRAWLERS OFICIAL'!E14</f>
        <v>3.5714285714285716</v>
      </c>
    </row>
    <row r="15" spans="1:66">
      <c r="B15" s="86" t="s">
        <v>484</v>
      </c>
      <c r="C15" s="88" t="s">
        <v>84</v>
      </c>
      <c r="D15" s="91">
        <f>(( 0 + 'BRAWLERS OFICIAL'!D15)-'BRAWLERS OFICIAL'!D15)/$BN15</f>
        <v>0</v>
      </c>
      <c r="E15" s="91">
        <f>(( 0 + 'BRAWLERS OFICIAL'!E15)-'BRAWLERS OFICIAL'!E15)/$BN15</f>
        <v>0</v>
      </c>
      <c r="F15" s="91">
        <f>(( ('BRAWLERS OFICIAL'!F15/20) + 'BRAWLERS OFICIAL'!F15)-'BRAWLERS OFICIAL'!F15)/$BN15</f>
        <v>7.3499999999999988</v>
      </c>
      <c r="G15" s="91">
        <f>(( 0 + 'BRAWLERS OFICIAL'!G15)-'BRAWLERS OFICIAL'!G15)/$BN15</f>
        <v>0</v>
      </c>
      <c r="H15" s="91">
        <f>(( 0 + 'BRAWLERS OFICIAL'!H15)-'BRAWLERS OFICIAL'!H15)/$BN15</f>
        <v>0</v>
      </c>
      <c r="I15" s="91">
        <f>(( 0 + 'BRAWLERS OFICIAL'!I15)-'BRAWLERS OFICIAL'!I15)/$BN15</f>
        <v>0</v>
      </c>
      <c r="J15" s="91">
        <f>(( 0 + 'BRAWLERS OFICIAL'!J15)-'BRAWLERS OFICIAL'!J15)/$BN15</f>
        <v>0</v>
      </c>
      <c r="K15" s="91">
        <f>(( 0 + 'BRAWLERS OFICIAL'!K15)-'BRAWLERS OFICIAL'!K15)/$BN15</f>
        <v>0</v>
      </c>
      <c r="L15" s="91">
        <f>(( 0 + 'BRAWLERS OFICIAL'!L15)-'BRAWLERS OFICIAL'!L15)/$BN15</f>
        <v>0</v>
      </c>
      <c r="M15" s="91">
        <f>(( 0 + 'BRAWLERS OFICIAL'!M15)-'BRAWLERS OFICIAL'!M15)/$BN15</f>
        <v>0</v>
      </c>
      <c r="N15" s="91">
        <f>(( 0 + 'BRAWLERS OFICIAL'!N15)-'BRAWLERS OFICIAL'!N15)/$BN15</f>
        <v>0</v>
      </c>
      <c r="O15" s="91">
        <f>(( 'BRAWLERS OFICIAL'!O15 + 'BRAWLERS OFICIAL'!O15)-'BRAWLERS OFICIAL'!O15)/$BN15</f>
        <v>89.999999999999986</v>
      </c>
      <c r="P15" s="91">
        <f>(( 'BRAWLERS OFICIAL'!P15 + 'BRAWLERS OFICIAL'!P15)-'BRAWLERS OFICIAL'!P15)/$BN15</f>
        <v>89.999999999999986</v>
      </c>
      <c r="Q15" s="91">
        <f>(( 'BRAWLERS OFICIAL'!Q15 + 'BRAWLERS OFICIAL'!Q15)-'BRAWLERS OFICIAL'!Q15)/$BN15</f>
        <v>179.99999999999997</v>
      </c>
      <c r="R15" s="91">
        <f>(( 'BRAWLERS OFICIAL'!R15 + 'BRAWLERS OFICIAL'!R15)-'BRAWLERS OFICIAL'!R15)/$BN15</f>
        <v>179.99999999999997</v>
      </c>
      <c r="S15" s="91">
        <f>(( 'BRAWLERS OFICIAL'!S15 + 'BRAWLERS OFICIAL'!S15)-'BRAWLERS OFICIAL'!S15)/$BN15</f>
        <v>539.99999999999989</v>
      </c>
      <c r="T15" s="91">
        <f>(( 0 + 'BRAWLERS OFICIAL'!T15)-'BRAWLERS OFICIAL'!T15)/$BN15</f>
        <v>0</v>
      </c>
      <c r="U15" s="91">
        <f>(( 0 + 'BRAWLERS OFICIAL'!U15)-'BRAWLERS OFICIAL'!U15)/$BN15</f>
        <v>0</v>
      </c>
      <c r="V15" s="102">
        <f>(( ('BRAWLERS OFICIAL'!V15/20) + 'BRAWLERS OFICIAL'!V15 + AN15 + AV15/3.5 )-'BRAWLERS OFICIAL'!V15)/($BN15)</f>
        <v>1.8749999999999996E-2</v>
      </c>
      <c r="W15" s="92">
        <f>((0 + 'BRAWLERS OFICIAL'!W15)-'BRAWLERS OFICIAL'!W15)/($BN15)</f>
        <v>0</v>
      </c>
      <c r="X15" s="92">
        <f>(((0)/3 + 'BRAWLERS OFICIAL'!X15)-'BRAWLERS OFICIAL'!X15)</f>
        <v>0</v>
      </c>
      <c r="Y15" s="92">
        <f>((0 + 'BRAWLERS OFICIAL'!Y15)-'BRAWLERS OFICIAL'!Y15)/($BN15)</f>
        <v>0</v>
      </c>
      <c r="Z15" s="92">
        <f>((0 + 'BRAWLERS OFICIAL'!Z15)-'BRAWLERS OFICIAL'!Z15)</f>
        <v>0</v>
      </c>
      <c r="AA15" s="92">
        <f>(((0)/4 + 'BRAWLERS OFICIAL'!AA15)-'BRAWLERS OFICIAL'!AA15)/($BN15)</f>
        <v>0</v>
      </c>
      <c r="AB15" s="92">
        <f>((0 + 'BRAWLERS OFICIAL'!AB15)-'BRAWLERS OFICIAL'!AB15)/($BN15)</f>
        <v>0</v>
      </c>
      <c r="AC15" s="92">
        <f>((0 + 'BRAWLERS OFICIAL'!AC15)-'BRAWLERS OFICIAL'!AC15)/($BN15)</f>
        <v>0</v>
      </c>
      <c r="AD15" s="92">
        <f>((0 + 'BRAWLERS OFICIAL'!AD15)-'BRAWLERS OFICIAL'!AD15)/($BN15)</f>
        <v>0</v>
      </c>
      <c r="AE15" s="92">
        <f>((0 + 'BRAWLERS OFICIAL'!AE15)-'BRAWLERS OFICIAL'!AE15)/($BN15)</f>
        <v>0</v>
      </c>
      <c r="AF15" s="92">
        <f>((0 + 'BRAWLERS OFICIAL'!AF15)-'BRAWLERS OFICIAL'!AF15)/($BN15)</f>
        <v>0</v>
      </c>
      <c r="AG15" s="92">
        <f>((0 + 'BRAWLERS OFICIAL'!AG15)-'BRAWLERS OFICIAL'!AG15)/($BN15)</f>
        <v>0</v>
      </c>
      <c r="AH15" s="92">
        <f>(( ('BRAWLERS OFICIAL'!AH15/5) + 'BRAWLERS OFICIAL'!AH15)-'BRAWLERS OFICIAL'!AH15)/($BN15)</f>
        <v>7.4999999999999983E-2</v>
      </c>
      <c r="AI15" s="92">
        <f>((0 + 'BRAWLERS OFICIAL'!AI15)-'BRAWLERS OFICIAL'!AI15)/($BN15)</f>
        <v>0</v>
      </c>
      <c r="AJ15" s="92">
        <f>(((BH15/5+1)*AI15 + 'BRAWLERS OFICIAL'!AJ15)-'BRAWLERS OFICIAL'!AJ15)/($BN15)</f>
        <v>0</v>
      </c>
      <c r="AK15" s="92">
        <f>IF( 0 = (1-1), (1-1), ((0 + 'BRAWLERS OFICIAL'!AK15)/1.5)-'BRAWLERS OFICIAL'!AK15 )/($BN15)</f>
        <v>0</v>
      </c>
      <c r="AL15" s="92">
        <f t="shared" si="0"/>
        <v>0</v>
      </c>
      <c r="AM15" s="92">
        <f>((0 + 'BRAWLERS OFICIAL'!AM15)-'BRAWLERS OFICIAL'!AM15)/($BN15)</f>
        <v>0</v>
      </c>
      <c r="AN15" s="92">
        <f>((0/1000 + 'BRAWLERS OFICIAL'!AN15)-'BRAWLERS OFICIAL'!AN15)/($BN15)</f>
        <v>0</v>
      </c>
      <c r="AO15" s="92">
        <f>((0 + 'BRAWLERS OFICIAL'!AO15)-'BRAWLERS OFICIAL'!AO15)/($BN15)</f>
        <v>0</v>
      </c>
      <c r="AP15" s="92">
        <f>IF( 0 = (1-1), (1-1), ((0 + 'BRAWLERS OFICIAL'!AP15)/1.5) )/($BN15)</f>
        <v>0</v>
      </c>
      <c r="AQ15" s="92">
        <f>IF( 0 = (1-1), (1-1), ((0 + 'BRAWLERS OFICIAL'!AQ15)/1.5) )/($BN15)</f>
        <v>0</v>
      </c>
      <c r="AR15" s="92">
        <f>IF( 0 = (1-1), (1-1), ((0 + 'BRAWLERS OFICIAL'!AR15)/2) )/($BN15)</f>
        <v>0</v>
      </c>
      <c r="AS15" s="92">
        <f>((0 + 'BRAWLERS OFICIAL'!AS15)-'BRAWLERS OFICIAL'!AS15)/($BN15)</f>
        <v>0</v>
      </c>
      <c r="AT15" s="92">
        <f>(((0)/4 + 'BRAWLERS OFICIAL'!AT15)-'BRAWLERS OFICIAL'!AT15)/($BN15)</f>
        <v>0</v>
      </c>
      <c r="AU15" s="92">
        <v>0</v>
      </c>
      <c r="AV15" s="91">
        <f>((( 0 )/3 + 'BRAWLERS OFICIAL'!AV15)-'BRAWLERS OFICIAL'!AV15)</f>
        <v>0</v>
      </c>
      <c r="AW15" s="91">
        <f>((( 0 )/2 + 'BRAWLERS OFICIAL'!AW15)-'BRAWLERS OFICIAL'!AW15)/($BN15)</f>
        <v>0</v>
      </c>
      <c r="AX15" s="91">
        <f>((( 0 )/2 + 'BRAWLERS OFICIAL'!AX15)-'BRAWLERS OFICIAL'!AX15)</f>
        <v>0</v>
      </c>
      <c r="AY15" s="91">
        <f>((( 0 )/3 + 'BRAWLERS OFICIAL'!AY15)-'BRAWLERS OFICIAL'!AY15)</f>
        <v>0</v>
      </c>
      <c r="AZ15" s="91">
        <f>((( 0 )/2 + 'BRAWLERS OFICIAL'!AZ15)-'BRAWLERS OFICIAL'!AZ15)/($BN15)</f>
        <v>0</v>
      </c>
      <c r="BA15" s="91">
        <f>((( 0 )/3 + 'BRAWLERS OFICIAL'!BA15)-'BRAWLERS OFICIAL'!BA15)</f>
        <v>0</v>
      </c>
      <c r="BB15" s="91">
        <f>((( 0 )/3 + 'BRAWLERS OFICIAL'!BB15)-'BRAWLERS OFICIAL'!BB15)</f>
        <v>0</v>
      </c>
      <c r="BC15" s="91">
        <f>((0 + 'BRAWLERS OFICIAL'!BC15)-'BRAWLERS OFICIAL'!BC15)/($BN15)</f>
        <v>0</v>
      </c>
      <c r="BD15" s="91">
        <f>((0 + 'BRAWLERS OFICIAL'!BD15)-'BRAWLERS OFICIAL'!BD15)/($BN15)</f>
        <v>0</v>
      </c>
      <c r="BE15" s="91">
        <f>((( 0 )/2 + 'BRAWLERS OFICIAL'!BE15)-'BRAWLERS OFICIAL'!BE15)</f>
        <v>0</v>
      </c>
      <c r="BF15" s="91">
        <f>((0 + 'BRAWLERS OFICIAL'!BF15)-'BRAWLERS OFICIAL'!BF15)/($BN15)</f>
        <v>0</v>
      </c>
      <c r="BG15" s="91">
        <f>((( 0 )/2 + 'BRAWLERS OFICIAL'!BG15)-'BRAWLERS OFICIAL'!BG15)</f>
        <v>0</v>
      </c>
      <c r="BH15" s="91">
        <f>((( 0 )/3 + 'BRAWLERS OFICIAL'!BH15)-'BRAWLERS OFICIAL'!BH15)</f>
        <v>0</v>
      </c>
      <c r="BI15" s="91">
        <f>((( 0 )/2 + 'BRAWLERS OFICIAL'!BI15)-'BRAWLERS OFICIAL'!BI15)</f>
        <v>0</v>
      </c>
      <c r="BJ15" s="91">
        <f>((0 + 'BRAWLERS OFICIAL'!BJ15)-'BRAWLERS OFICIAL'!BJ15)/($BN15)</f>
        <v>0</v>
      </c>
      <c r="BK15" s="91">
        <f>((0 + 'BRAWLERS OFICIAL'!BK15)-'BRAWLERS OFICIAL'!BK15)/($BN15)</f>
        <v>0</v>
      </c>
      <c r="BL15" s="91">
        <f>((0 + 'BRAWLERS OFICIAL'!BL15)-'BRAWLERS OFICIAL'!BL15)/($BN15)</f>
        <v>0</v>
      </c>
      <c r="BN15" s="100">
        <f>('BRAWLERS OFICIAL'!D15 / 'BRAWLERS OFICIAL'!H15 / (1 + ('BRAWLERS OFICIAL'!Y15/5)))*'BRAWLERS OFICIAL'!E15</f>
        <v>13.333333333333336</v>
      </c>
    </row>
    <row r="16" spans="1:66">
      <c r="B16" s="86" t="s">
        <v>485</v>
      </c>
      <c r="C16" s="87" t="s">
        <v>77</v>
      </c>
      <c r="D16" s="91">
        <f>(( 0 + 'BRAWLERS OFICIAL'!D16)-'BRAWLERS OFICIAL'!D16)/$BN16</f>
        <v>0</v>
      </c>
      <c r="E16" s="91">
        <f>(( 0 + 'BRAWLERS OFICIAL'!E16)-'BRAWLERS OFICIAL'!E16)/$BN16</f>
        <v>0</v>
      </c>
      <c r="F16" s="91">
        <f>(( ('BRAWLERS OFICIAL'!F16/20 + 'BRAWLERS OFICIAL'!F16/2) + 'BRAWLERS OFICIAL'!F16)-'BRAWLERS OFICIAL'!F16)/$BN16</f>
        <v>82.499999999999986</v>
      </c>
      <c r="G16" s="91">
        <f>(( 0 + 'BRAWLERS OFICIAL'!G16)-'BRAWLERS OFICIAL'!G16)/$BN16</f>
        <v>0</v>
      </c>
      <c r="H16" s="91">
        <f>(( 0 + 'BRAWLERS OFICIAL'!H16)-'BRAWLERS OFICIAL'!H16)/$BN16</f>
        <v>0</v>
      </c>
      <c r="I16" s="91">
        <f>(( 0 + 'BRAWLERS OFICIAL'!I16)-'BRAWLERS OFICIAL'!I16)/$BN16</f>
        <v>0</v>
      </c>
      <c r="J16" s="91">
        <f>(( 0 + 'BRAWLERS OFICIAL'!J16)-'BRAWLERS OFICIAL'!J16)/$BN16</f>
        <v>0</v>
      </c>
      <c r="K16" s="91">
        <f>(( 0 + 'BRAWLERS OFICIAL'!K16)-'BRAWLERS OFICIAL'!K16)/$BN16</f>
        <v>0</v>
      </c>
      <c r="L16" s="91">
        <f>(( 0 + 'BRAWLERS OFICIAL'!L16)-'BRAWLERS OFICIAL'!L16)/$BN16</f>
        <v>0</v>
      </c>
      <c r="M16" s="91">
        <f>(( 0 + 'BRAWLERS OFICIAL'!M16)-'BRAWLERS OFICIAL'!M16)/$BN16</f>
        <v>0</v>
      </c>
      <c r="N16" s="91">
        <f>(( 0 + 'BRAWLERS OFICIAL'!N16)-'BRAWLERS OFICIAL'!N16)/$BN16</f>
        <v>0</v>
      </c>
      <c r="O16" s="91">
        <f>(( 'BRAWLERS OFICIAL'!O16 + 'BRAWLERS OFICIAL'!O16/20 + 'BRAWLERS OFICIAL'!O16)-'BRAWLERS OFICIAL'!O16)/$BN16</f>
        <v>141.74999999999997</v>
      </c>
      <c r="P16" s="91">
        <f>(( 'BRAWLERS OFICIAL'!P16 + 'BRAWLERS OFICIAL'!P16/20 + 'BRAWLERS OFICIAL'!P16)-'BRAWLERS OFICIAL'!P16)/$BN16</f>
        <v>141.74999999999997</v>
      </c>
      <c r="Q16" s="91">
        <f>(( 'BRAWLERS OFICIAL'!Q16 + 'BRAWLERS OFICIAL'!Q16/20 + 'BRAWLERS OFICIAL'!Q16)-'BRAWLERS OFICIAL'!Q16)/$BN16</f>
        <v>141.74999999999997</v>
      </c>
      <c r="R16" s="91">
        <f>(( 'BRAWLERS OFICIAL'!R16 + 'BRAWLERS OFICIAL'!R16/20 + 'BRAWLERS OFICIAL'!R16)-'BRAWLERS OFICIAL'!R16)/$BN16</f>
        <v>141.74999999999997</v>
      </c>
      <c r="S16" s="91">
        <f>(( 'BRAWLERS OFICIAL'!S16 + 'BRAWLERS OFICIAL'!S16/20 + 'BRAWLERS OFICIAL'!S16)-'BRAWLERS OFICIAL'!S16)/$BN16</f>
        <v>141.74999999999997</v>
      </c>
      <c r="T16" s="91">
        <f>(( 0 + 'BRAWLERS OFICIAL'!T16)-'BRAWLERS OFICIAL'!T16)/$BN16</f>
        <v>0</v>
      </c>
      <c r="U16" s="91">
        <f>(( 0 + 'BRAWLERS OFICIAL'!U16)-'BRAWLERS OFICIAL'!U16)/$BN16</f>
        <v>0</v>
      </c>
      <c r="V16" s="102">
        <f>(( ('BRAWLERS OFICIAL'!V16/20) + 'BRAWLERS OFICIAL'!V16 + AN16 + AV16/3.5 )-'BRAWLERS OFICIAL'!V16)/($BN16)</f>
        <v>2.7500000000000031E-2</v>
      </c>
      <c r="W16" s="92">
        <f>((0 + 'BRAWLERS OFICIAL'!W16)-'BRAWLERS OFICIAL'!W16)/($BN16)</f>
        <v>0</v>
      </c>
      <c r="X16" s="92">
        <f>(((0)/3 + 'BRAWLERS OFICIAL'!X16)-'BRAWLERS OFICIAL'!X16)</f>
        <v>0</v>
      </c>
      <c r="Y16" s="92">
        <f>((0 + 'BRAWLERS OFICIAL'!Y16)-'BRAWLERS OFICIAL'!Y16)/($BN16)</f>
        <v>0</v>
      </c>
      <c r="Z16" s="92">
        <f>((0 + 'BRAWLERS OFICIAL'!Z16)-'BRAWLERS OFICIAL'!Z16)</f>
        <v>0</v>
      </c>
      <c r="AA16" s="92">
        <f>(((0)/4 + 'BRAWLERS OFICIAL'!AA16)-'BRAWLERS OFICIAL'!AA16)/($BN16)</f>
        <v>0</v>
      </c>
      <c r="AB16" s="92">
        <f>((0 + 'BRAWLERS OFICIAL'!AB16)-'BRAWLERS OFICIAL'!AB16)/($BN16)</f>
        <v>0</v>
      </c>
      <c r="AC16" s="92">
        <f>((0 + 'BRAWLERS OFICIAL'!AC16)-'BRAWLERS OFICIAL'!AC16)/($BN16)</f>
        <v>0</v>
      </c>
      <c r="AD16" s="92">
        <f>((0 + 'BRAWLERS OFICIAL'!AD16)-'BRAWLERS OFICIAL'!AD16)/($BN16)</f>
        <v>0</v>
      </c>
      <c r="AE16" s="92">
        <f>((0 + 'BRAWLERS OFICIAL'!AE16)-'BRAWLERS OFICIAL'!AE16)/($BN16)</f>
        <v>0</v>
      </c>
      <c r="AF16" s="92">
        <f>((0 + 'BRAWLERS OFICIAL'!AF16)-'BRAWLERS OFICIAL'!AF16)/($BN16)</f>
        <v>0</v>
      </c>
      <c r="AG16" s="92">
        <f>((0 + 'BRAWLERS OFICIAL'!AG16)-'BRAWLERS OFICIAL'!AG16)/($BN16)</f>
        <v>0</v>
      </c>
      <c r="AH16" s="92">
        <f>(( ('BRAWLERS OFICIAL'!AH16/5) + 'BRAWLERS OFICIAL'!AH16)-'BRAWLERS OFICIAL'!AH16)/($BN16)</f>
        <v>0.13500000000000004</v>
      </c>
      <c r="AI16" s="92">
        <f>((0 + 'BRAWLERS OFICIAL'!AI16)-'BRAWLERS OFICIAL'!AI16)/($BN16)</f>
        <v>0</v>
      </c>
      <c r="AJ16" s="92">
        <f>(((BH16/5+1)*AI16 + 'BRAWLERS OFICIAL'!AJ16)-'BRAWLERS OFICIAL'!AJ16)/($BN16)</f>
        <v>0</v>
      </c>
      <c r="AK16" s="92">
        <f>IF( 0 = (1-1), (1-1), ((0 + 'BRAWLERS OFICIAL'!AK16)/1.5)-'BRAWLERS OFICIAL'!AK16 )/($BN16)</f>
        <v>0</v>
      </c>
      <c r="AL16" s="92">
        <f t="shared" si="0"/>
        <v>0</v>
      </c>
      <c r="AM16" s="92">
        <f>((0 + 'BRAWLERS OFICIAL'!AM16)-'BRAWLERS OFICIAL'!AM16)/($BN16)</f>
        <v>0</v>
      </c>
      <c r="AN16" s="92">
        <f>((0/1000 + 'BRAWLERS OFICIAL'!AN16)-'BRAWLERS OFICIAL'!AN16)/($BN16)</f>
        <v>0</v>
      </c>
      <c r="AO16" s="92">
        <f>((0 + 'BRAWLERS OFICIAL'!AO16)-'BRAWLERS OFICIAL'!AO16)/($BN16)</f>
        <v>0</v>
      </c>
      <c r="AP16" s="92">
        <f>IF( 0 = (1-1), (1-1), ((0 + 'BRAWLERS OFICIAL'!AP16)/1.5) )/($BN16)</f>
        <v>0</v>
      </c>
      <c r="AQ16" s="92">
        <f>IF( 0 = (1-1), (1-1), ((0 + 'BRAWLERS OFICIAL'!AQ16)/1.5) )/($BN16)</f>
        <v>0</v>
      </c>
      <c r="AR16" s="92">
        <f>IF( 0 = (1-1), (1-1), ((0 + 'BRAWLERS OFICIAL'!AR16)/2) )/($BN16)</f>
        <v>0</v>
      </c>
      <c r="AS16" s="92">
        <f>((0 + 'BRAWLERS OFICIAL'!AS16)-'BRAWLERS OFICIAL'!AS16)/($BN16)</f>
        <v>0</v>
      </c>
      <c r="AT16" s="92">
        <f>(((0)/4 + 'BRAWLERS OFICIAL'!AT16)-'BRAWLERS OFICIAL'!AT16)/($BN16)</f>
        <v>0</v>
      </c>
      <c r="AU16" s="92">
        <v>0</v>
      </c>
      <c r="AV16" s="91">
        <f>((( 0 )/3 + 'BRAWLERS OFICIAL'!AV16)-'BRAWLERS OFICIAL'!AV16)</f>
        <v>0</v>
      </c>
      <c r="AW16" s="91">
        <f>((( 0 )/2 + 'BRAWLERS OFICIAL'!AW16)-'BRAWLERS OFICIAL'!AW16)/($BN16)</f>
        <v>0</v>
      </c>
      <c r="AX16" s="91">
        <f>((( 0 )/2 + 'BRAWLERS OFICIAL'!AX16)-'BRAWLERS OFICIAL'!AX16)</f>
        <v>0</v>
      </c>
      <c r="AY16" s="91">
        <f>((( 0 )/3 + 'BRAWLERS OFICIAL'!AY16)-'BRAWLERS OFICIAL'!AY16)</f>
        <v>0</v>
      </c>
      <c r="AZ16" s="91">
        <f>((( 0 )/2 + 'BRAWLERS OFICIAL'!AZ16)-'BRAWLERS OFICIAL'!AZ16)/($BN16)</f>
        <v>0</v>
      </c>
      <c r="BA16" s="91">
        <f>((( 0 )/3 + 'BRAWLERS OFICIAL'!BA16)-'BRAWLERS OFICIAL'!BA16)</f>
        <v>0</v>
      </c>
      <c r="BB16" s="91">
        <f>((( 0 )/3 + 'BRAWLERS OFICIAL'!BB16)-'BRAWLERS OFICIAL'!BB16)</f>
        <v>0</v>
      </c>
      <c r="BC16" s="91">
        <f>((0 + 'BRAWLERS OFICIAL'!BC16)-'BRAWLERS OFICIAL'!BC16)/($BN16)</f>
        <v>0</v>
      </c>
      <c r="BD16" s="91">
        <f>((0 + 'BRAWLERS OFICIAL'!BD16)-'BRAWLERS OFICIAL'!BD16)/($BN16)</f>
        <v>0</v>
      </c>
      <c r="BE16" s="91">
        <f>((( 0 )/2 + 'BRAWLERS OFICIAL'!BE16)-'BRAWLERS OFICIAL'!BE16)</f>
        <v>0</v>
      </c>
      <c r="BF16" s="91">
        <f>((0 + 'BRAWLERS OFICIAL'!BF16)-'BRAWLERS OFICIAL'!BF16)/($BN16)</f>
        <v>0</v>
      </c>
      <c r="BG16" s="91">
        <f>((( 0 )/2 + 'BRAWLERS OFICIAL'!BG16)-'BRAWLERS OFICIAL'!BG16)</f>
        <v>0</v>
      </c>
      <c r="BH16" s="91">
        <f>((( 0 )/3 + 'BRAWLERS OFICIAL'!BH16)-'BRAWLERS OFICIAL'!BH16)</f>
        <v>0</v>
      </c>
      <c r="BI16" s="91">
        <f>((( 0 )/2 + 'BRAWLERS OFICIAL'!BI16)-'BRAWLERS OFICIAL'!BI16)</f>
        <v>0</v>
      </c>
      <c r="BJ16" s="91">
        <f>((0 + 'BRAWLERS OFICIAL'!BJ16)-'BRAWLERS OFICIAL'!BJ16)/($BN16)</f>
        <v>0</v>
      </c>
      <c r="BK16" s="91">
        <f>((0 + 'BRAWLERS OFICIAL'!BK16)-'BRAWLERS OFICIAL'!BK16)/($BN16)</f>
        <v>0</v>
      </c>
      <c r="BL16" s="91">
        <f>((0 + 'BRAWLERS OFICIAL'!BL16)-'BRAWLERS OFICIAL'!BL16)/($BN16)</f>
        <v>0</v>
      </c>
      <c r="BN16" s="100">
        <f>('BRAWLERS OFICIAL'!D16 / 'BRAWLERS OFICIAL'!H16 / (1 + ('BRAWLERS OFICIAL'!Y16/5)))*'BRAWLERS OFICIAL'!E16</f>
        <v>13.333333333333336</v>
      </c>
    </row>
    <row r="17" spans="2:66">
      <c r="B17" s="86" t="s">
        <v>218</v>
      </c>
      <c r="C17" s="88" t="s">
        <v>101</v>
      </c>
      <c r="D17" s="91">
        <f>(( 0 + 'BRAWLERS OFICIAL'!D17)-'BRAWLERS OFICIAL'!D17)/$BN17</f>
        <v>0</v>
      </c>
      <c r="E17" s="91">
        <f>(( 0 + 'BRAWLERS OFICIAL'!E17)-'BRAWLERS OFICIAL'!E17)/$BN17</f>
        <v>0</v>
      </c>
      <c r="F17" s="91">
        <f>(( ('BRAWLERS OFICIAL'!F17/20) + 'BRAWLERS OFICIAL'!F17)-'BRAWLERS OFICIAL'!F17)/$BN17</f>
        <v>8.742857142857142</v>
      </c>
      <c r="G17" s="91">
        <f>(( 0 + 'BRAWLERS OFICIAL'!G17)-'BRAWLERS OFICIAL'!G17)/$BN17</f>
        <v>0</v>
      </c>
      <c r="H17" s="91">
        <f>(( 0 + 'BRAWLERS OFICIAL'!H17)-'BRAWLERS OFICIAL'!H17)/$BN17</f>
        <v>0</v>
      </c>
      <c r="I17" s="91">
        <f>(( 0 + 'BRAWLERS OFICIAL'!I17)-'BRAWLERS OFICIAL'!I17)/$BN17</f>
        <v>0</v>
      </c>
      <c r="J17" s="91">
        <f>(( 0 + 'BRAWLERS OFICIAL'!J17)-'BRAWLERS OFICIAL'!J17)/$BN17</f>
        <v>0</v>
      </c>
      <c r="K17" s="91">
        <f>(( 0 + 'BRAWLERS OFICIAL'!K17)-'BRAWLERS OFICIAL'!K17)/$BN17</f>
        <v>0</v>
      </c>
      <c r="L17" s="91">
        <f>(( 0 + 'BRAWLERS OFICIAL'!L17)-'BRAWLERS OFICIAL'!L17)/$BN17</f>
        <v>0</v>
      </c>
      <c r="M17" s="91">
        <f>(( 0 + 'BRAWLERS OFICIAL'!M17)-'BRAWLERS OFICIAL'!M17)/$BN17</f>
        <v>0</v>
      </c>
      <c r="N17" s="91">
        <f>(( 0 + 'BRAWLERS OFICIAL'!N17)-'BRAWLERS OFICIAL'!N17)/$BN17</f>
        <v>0</v>
      </c>
      <c r="O17" s="91">
        <f>(( 'BRAWLERS OFICIAL'!O17+('BRAWLERS OFICIAL'!O17/20) + 'BRAWLERS OFICIAL'!O17/20 + 'BRAWLERS OFICIAL'!O17)-'BRAWLERS OFICIAL'!O17)/$BN17</f>
        <v>565.71428571428567</v>
      </c>
      <c r="P17" s="91">
        <f>(( 'BRAWLERS OFICIAL'!P17+('BRAWLERS OFICIAL'!P17/20) + 'BRAWLERS OFICIAL'!P17/20 + 'BRAWLERS OFICIAL'!P17)-'BRAWLERS OFICIAL'!P17)/$BN17</f>
        <v>424.28571428571422</v>
      </c>
      <c r="Q17" s="91">
        <f>(( 'BRAWLERS OFICIAL'!Q17+('BRAWLERS OFICIAL'!Q17/20) + 'BRAWLERS OFICIAL'!Q17/20 + 'BRAWLERS OFICIAL'!Q17)-'BRAWLERS OFICIAL'!Q17)/$BN17</f>
        <v>282.85714285714283</v>
      </c>
      <c r="R17" s="91">
        <f>(( 'BRAWLERS OFICIAL'!R17+('BRAWLERS OFICIAL'!R17/20) + 'BRAWLERS OFICIAL'!R17/20 + 'BRAWLERS OFICIAL'!R17)-'BRAWLERS OFICIAL'!R17)/$BN17</f>
        <v>141.42857142857142</v>
      </c>
      <c r="S17" s="91">
        <f>(( 'BRAWLERS OFICIAL'!S17+('BRAWLERS OFICIAL'!S17/20) + 'BRAWLERS OFICIAL'!S17/20 + 'BRAWLERS OFICIAL'!S17)-'BRAWLERS OFICIAL'!S17)/$BN17</f>
        <v>565.71428571428567</v>
      </c>
      <c r="T17" s="91">
        <f>(( 0 + 'BRAWLERS OFICIAL'!T17)-'BRAWLERS OFICIAL'!T17)/$BN17</f>
        <v>0</v>
      </c>
      <c r="U17" s="91">
        <f>(( 0 + 'BRAWLERS OFICIAL'!U17)-'BRAWLERS OFICIAL'!U17)/$BN17</f>
        <v>0</v>
      </c>
      <c r="V17" s="102">
        <f>(( ('BRAWLERS OFICIAL'!V17/20) + 'BRAWLERS OFICIAL'!V17 + AN17 + AV17/3.5 )-'BRAWLERS OFICIAL'!V17)/($BN17)</f>
        <v>2.2040816326530589E-2</v>
      </c>
      <c r="W17" s="92">
        <f>((0 + 'BRAWLERS OFICIAL'!W17)-'BRAWLERS OFICIAL'!W17)/($BN17)</f>
        <v>0</v>
      </c>
      <c r="X17" s="92">
        <f>(((0)/3 + 'BRAWLERS OFICIAL'!X17)-'BRAWLERS OFICIAL'!X17)</f>
        <v>0</v>
      </c>
      <c r="Y17" s="92">
        <f>((0 + 'BRAWLERS OFICIAL'!Y17)-'BRAWLERS OFICIAL'!Y17)/($BN17)</f>
        <v>0</v>
      </c>
      <c r="Z17" s="92">
        <f>((0 + 'BRAWLERS OFICIAL'!Z17)-'BRAWLERS OFICIAL'!Z17)</f>
        <v>0</v>
      </c>
      <c r="AA17" s="92">
        <f>(((0)/4 + 'BRAWLERS OFICIAL'!AA17)-'BRAWLERS OFICIAL'!AA17)/($BN17)</f>
        <v>0</v>
      </c>
      <c r="AB17" s="92">
        <f>((0 + 'BRAWLERS OFICIAL'!AB17)-'BRAWLERS OFICIAL'!AB17)/($BN17)</f>
        <v>0</v>
      </c>
      <c r="AC17" s="92">
        <f>((0 + 'BRAWLERS OFICIAL'!AC17)-'BRAWLERS OFICIAL'!AC17)/($BN17)</f>
        <v>0</v>
      </c>
      <c r="AD17" s="92">
        <f>((0 + 'BRAWLERS OFICIAL'!AD17)-'BRAWLERS OFICIAL'!AD17)/($BN17)</f>
        <v>0</v>
      </c>
      <c r="AE17" s="92">
        <f>((0 + 'BRAWLERS OFICIAL'!AE17)-'BRAWLERS OFICIAL'!AE17)/($BN17)</f>
        <v>0</v>
      </c>
      <c r="AF17" s="92">
        <f>((0 + 'BRAWLERS OFICIAL'!AF17)-'BRAWLERS OFICIAL'!AF17)/($BN17)</f>
        <v>0</v>
      </c>
      <c r="AG17" s="92">
        <f>((0 + 'BRAWLERS OFICIAL'!AG17)-'BRAWLERS OFICIAL'!AG17)/($BN17)</f>
        <v>0</v>
      </c>
      <c r="AH17" s="92">
        <f>(( ('BRAWLERS OFICIAL'!AH17/5) + 'BRAWLERS OFICIAL'!AH17)-'BRAWLERS OFICIAL'!AH17)/($BN17)</f>
        <v>0.12857142857142856</v>
      </c>
      <c r="AI17" s="92">
        <f>((0 + 'BRAWLERS OFICIAL'!AI17)-'BRAWLERS OFICIAL'!AI17)/($BN17)</f>
        <v>0</v>
      </c>
      <c r="AJ17" s="92">
        <f>(((BH17/5+1)*AI17 + 'BRAWLERS OFICIAL'!AJ17)-'BRAWLERS OFICIAL'!AJ17)/($BN17)</f>
        <v>0</v>
      </c>
      <c r="AK17" s="92">
        <f>IF( 0 = (1-1), (1-1), ((0 + 'BRAWLERS OFICIAL'!AK17)/1.5)-'BRAWLERS OFICIAL'!AK17 )/($BN17)</f>
        <v>0</v>
      </c>
      <c r="AL17" s="92">
        <f t="shared" si="0"/>
        <v>0</v>
      </c>
      <c r="AM17" s="92">
        <f>((0 + 'BRAWLERS OFICIAL'!AM17)-'BRAWLERS OFICIAL'!AM17)/($BN17)</f>
        <v>0</v>
      </c>
      <c r="AN17" s="92">
        <f>((0/1000 + 'BRAWLERS OFICIAL'!AN17)-'BRAWLERS OFICIAL'!AN17)/($BN17)</f>
        <v>0</v>
      </c>
      <c r="AO17" s="92">
        <f>((0 + 'BRAWLERS OFICIAL'!AO17)-'BRAWLERS OFICIAL'!AO17)/($BN17)</f>
        <v>0</v>
      </c>
      <c r="AP17" s="92">
        <f>IF( 0 = (1-1), (1-1), ((0 + 'BRAWLERS OFICIAL'!AP17)/1.5) )/($BN17)</f>
        <v>0</v>
      </c>
      <c r="AQ17" s="92">
        <f>IF( 2 = (1-1), (1-1), ((2 + 'BRAWLERS OFICIAL'!AQ17)/1.5) )/($BN17)</f>
        <v>1.0285714285714285</v>
      </c>
      <c r="AR17" s="92">
        <f>IF( 0 = (1-1), (1-1), ((0 + 'BRAWLERS OFICIAL'!AR17)/2) )/($BN17)</f>
        <v>0</v>
      </c>
      <c r="AS17" s="92">
        <f>((0 + 'BRAWLERS OFICIAL'!AS17)-'BRAWLERS OFICIAL'!AS17)/($BN17)</f>
        <v>0</v>
      </c>
      <c r="AT17" s="92">
        <f>(((0)/4 + 'BRAWLERS OFICIAL'!AT17)-'BRAWLERS OFICIAL'!AT17)/($BN17)</f>
        <v>0</v>
      </c>
      <c r="AU17" s="92">
        <v>0</v>
      </c>
      <c r="AV17" s="91">
        <f>((( 0 )/3 + 'BRAWLERS OFICIAL'!AV17)-'BRAWLERS OFICIAL'!AV17)</f>
        <v>0</v>
      </c>
      <c r="AW17" s="91">
        <f>((( 0 )/2 + 'BRAWLERS OFICIAL'!AW17)-'BRAWLERS OFICIAL'!AW17)/($BN17)</f>
        <v>0</v>
      </c>
      <c r="AX17" s="91">
        <f>((( 0 )/2 + 'BRAWLERS OFICIAL'!AX17)-'BRAWLERS OFICIAL'!AX17)</f>
        <v>0</v>
      </c>
      <c r="AY17" s="91">
        <f>((( 0 )/3 + 'BRAWLERS OFICIAL'!AY17)-'BRAWLERS OFICIAL'!AY17)</f>
        <v>0</v>
      </c>
      <c r="AZ17" s="91">
        <f>((( 0 )/2 + 'BRAWLERS OFICIAL'!AZ17)-'BRAWLERS OFICIAL'!AZ17)/($BN17)</f>
        <v>0</v>
      </c>
      <c r="BA17" s="91">
        <f>((( 0 )/3 + 'BRAWLERS OFICIAL'!BA17)-'BRAWLERS OFICIAL'!BA17)</f>
        <v>0</v>
      </c>
      <c r="BB17" s="91">
        <f>((( 0 )/3 + 'BRAWLERS OFICIAL'!BB17)-'BRAWLERS OFICIAL'!BB17)</f>
        <v>0</v>
      </c>
      <c r="BC17" s="91">
        <f>((0 + 'BRAWLERS OFICIAL'!BC17)-'BRAWLERS OFICIAL'!BC17)/($BN17)</f>
        <v>0</v>
      </c>
      <c r="BD17" s="91">
        <f>((0 + 'BRAWLERS OFICIAL'!BD17)-'BRAWLERS OFICIAL'!BD17)/($BN17)</f>
        <v>0</v>
      </c>
      <c r="BE17" s="91">
        <f>((( 0 )/2 + 'BRAWLERS OFICIAL'!BE17)-'BRAWLERS OFICIAL'!BE17)</f>
        <v>0</v>
      </c>
      <c r="BF17" s="91">
        <f>((0 + 'BRAWLERS OFICIAL'!BF17)-'BRAWLERS OFICIAL'!BF17)/($BN17)</f>
        <v>0</v>
      </c>
      <c r="BG17" s="91">
        <f>((( 0 )/2 + 'BRAWLERS OFICIAL'!BG17)-'BRAWLERS OFICIAL'!BG17)</f>
        <v>0</v>
      </c>
      <c r="BH17" s="91">
        <f>((( 0 )/3 + 'BRAWLERS OFICIAL'!BH17)-'BRAWLERS OFICIAL'!BH17)</f>
        <v>0</v>
      </c>
      <c r="BI17" s="91">
        <f>((( 0 )/2 + 'BRAWLERS OFICIAL'!BI17)-'BRAWLERS OFICIAL'!BI17)</f>
        <v>0</v>
      </c>
      <c r="BJ17" s="91">
        <f>((0 + 'BRAWLERS OFICIAL'!BJ17)-'BRAWLERS OFICIAL'!BJ17)/($BN17)</f>
        <v>0</v>
      </c>
      <c r="BK17" s="91">
        <f>((0 + 'BRAWLERS OFICIAL'!BK17)-'BRAWLERS OFICIAL'!BK17)/($BN17)</f>
        <v>0</v>
      </c>
      <c r="BL17" s="91">
        <f>((0 + 'BRAWLERS OFICIAL'!BL17)-'BRAWLERS OFICIAL'!BL17)/($BN17)</f>
        <v>0</v>
      </c>
      <c r="BN17" s="100">
        <f>('BRAWLERS OFICIAL'!D17 / 'BRAWLERS OFICIAL'!H17 / (1 + ('BRAWLERS OFICIAL'!Y17/5)))*'BRAWLERS OFICIAL'!E17</f>
        <v>7.7777777777777786</v>
      </c>
    </row>
    <row r="18" spans="2:66">
      <c r="B18" s="86" t="s">
        <v>486</v>
      </c>
      <c r="C18" s="87" t="s">
        <v>57</v>
      </c>
      <c r="D18" s="91">
        <f>(( 0 + 'BRAWLERS OFICIAL'!D18)-'BRAWLERS OFICIAL'!D18)/$BN18</f>
        <v>0</v>
      </c>
      <c r="E18" s="91">
        <f>(( 0 + 'BRAWLERS OFICIAL'!E18)-'BRAWLERS OFICIAL'!E18)/$BN18</f>
        <v>0</v>
      </c>
      <c r="F18" s="91">
        <f>(( ('BRAWLERS OFICIAL'!F18/20) + 'BRAWLERS OFICIAL'!F18)-'BRAWLERS OFICIAL'!F18)/$BN18</f>
        <v>6.75</v>
      </c>
      <c r="G18" s="91">
        <f>(( 0 + 'BRAWLERS OFICIAL'!G18)-'BRAWLERS OFICIAL'!G18)/$BN18</f>
        <v>0</v>
      </c>
      <c r="H18" s="91">
        <f>(( 0 + 'BRAWLERS OFICIAL'!H18)-'BRAWLERS OFICIAL'!H18)/$BN18</f>
        <v>0</v>
      </c>
      <c r="I18" s="91">
        <f>(( 0 + 'BRAWLERS OFICIAL'!I18)-'BRAWLERS OFICIAL'!I18)/$BN18</f>
        <v>0</v>
      </c>
      <c r="J18" s="91">
        <f>(( 0 + 'BRAWLERS OFICIAL'!J18)-'BRAWLERS OFICIAL'!J18)/$BN18</f>
        <v>0</v>
      </c>
      <c r="K18" s="91">
        <f>(( 0 + 'BRAWLERS OFICIAL'!K18)-'BRAWLERS OFICIAL'!K18)/$BN18</f>
        <v>0</v>
      </c>
      <c r="L18" s="91">
        <f>(( 0 + 'BRAWLERS OFICIAL'!L18)-'BRAWLERS OFICIAL'!L18)/$BN18</f>
        <v>0</v>
      </c>
      <c r="M18" s="91">
        <f>(( 0 + 'BRAWLERS OFICIAL'!M18)-'BRAWLERS OFICIAL'!M18)/$BN18</f>
        <v>0</v>
      </c>
      <c r="N18" s="91">
        <f>(( 0 + 'BRAWLERS OFICIAL'!N18)-'BRAWLERS OFICIAL'!N18)/$BN18</f>
        <v>0</v>
      </c>
      <c r="O18" s="91">
        <f>(( 'BRAWLERS OFICIAL'!O18/5 + 'BRAWLERS OFICIAL'!O18)-'BRAWLERS OFICIAL'!O18)/$BN18</f>
        <v>24</v>
      </c>
      <c r="P18" s="91">
        <f>(( 'BRAWLERS OFICIAL'!P18/5 + 'BRAWLERS OFICIAL'!P18)-'BRAWLERS OFICIAL'!P18)/$BN18</f>
        <v>48</v>
      </c>
      <c r="Q18" s="91">
        <f>(( 'BRAWLERS OFICIAL'!Q18/5 + 'BRAWLERS OFICIAL'!Q18)-'BRAWLERS OFICIAL'!Q18)/$BN18</f>
        <v>36</v>
      </c>
      <c r="R18" s="91">
        <f>(( 'BRAWLERS OFICIAL'!R18/5 + 'BRAWLERS OFICIAL'!R18)-'BRAWLERS OFICIAL'!R18)/$BN18</f>
        <v>0</v>
      </c>
      <c r="S18" s="91">
        <f>(( 'BRAWLERS OFICIAL'!S18/5 + 'BRAWLERS OFICIAL'!S18)-'BRAWLERS OFICIAL'!S18)/$BN18</f>
        <v>96</v>
      </c>
      <c r="T18" s="91">
        <f>(( 0 + 'BRAWLERS OFICIAL'!T18)-'BRAWLERS OFICIAL'!T18)/$BN18</f>
        <v>0</v>
      </c>
      <c r="U18" s="91">
        <f>(( 0 + 'BRAWLERS OFICIAL'!U18)-'BRAWLERS OFICIAL'!U18)/$BN18</f>
        <v>0</v>
      </c>
      <c r="V18" s="102">
        <f>(( ('BRAWLERS OFICIAL'!V18/20) + 'BRAWLERS OFICIAL'!V18 + AN18 + AV18/3.5 )-'BRAWLERS OFICIAL'!V18)/($BN18)</f>
        <v>2.4482142857142897E-2</v>
      </c>
      <c r="W18" s="92">
        <f>((0 + 'BRAWLERS OFICIAL'!W18)-'BRAWLERS OFICIAL'!W18)/($BN18)</f>
        <v>0</v>
      </c>
      <c r="X18" s="92">
        <f>(((0)/3 + 'BRAWLERS OFICIAL'!X18)-'BRAWLERS OFICIAL'!X18)</f>
        <v>0</v>
      </c>
      <c r="Y18" s="92">
        <f>((0 + 'BRAWLERS OFICIAL'!Y18)-'BRAWLERS OFICIAL'!Y18)/($BN18)</f>
        <v>0</v>
      </c>
      <c r="Z18" s="92">
        <f>((0 + 'BRAWLERS OFICIAL'!Z18)-'BRAWLERS OFICIAL'!Z18)</f>
        <v>0</v>
      </c>
      <c r="AA18" s="92">
        <f>(((0)/4 + 'BRAWLERS OFICIAL'!AA18)-'BRAWLERS OFICIAL'!AA18)/($BN18)</f>
        <v>0</v>
      </c>
      <c r="AB18" s="92">
        <f>((0 + 'BRAWLERS OFICIAL'!AB18)-'BRAWLERS OFICIAL'!AB18)/($BN18)</f>
        <v>0</v>
      </c>
      <c r="AC18" s="92">
        <f>((0 + 'BRAWLERS OFICIAL'!AC18)-'BRAWLERS OFICIAL'!AC18)/($BN18)</f>
        <v>0</v>
      </c>
      <c r="AD18" s="92">
        <f>((0 + 'BRAWLERS OFICIAL'!AD18)-'BRAWLERS OFICIAL'!AD18)/($BN18)</f>
        <v>0</v>
      </c>
      <c r="AE18" s="92">
        <f>((0 + 'BRAWLERS OFICIAL'!AE18)-'BRAWLERS OFICIAL'!AE18)/($BN18)</f>
        <v>0</v>
      </c>
      <c r="AF18" s="92">
        <f>((0 + 'BRAWLERS OFICIAL'!AF18)-'BRAWLERS OFICIAL'!AF18)/($BN18)</f>
        <v>0</v>
      </c>
      <c r="AG18" s="92">
        <f>((0 + 'BRAWLERS OFICIAL'!AG18)-'BRAWLERS OFICIAL'!AG18)/($BN18)</f>
        <v>0</v>
      </c>
      <c r="AH18" s="92">
        <f>(( ('BRAWLERS OFICIAL'!AH18/5) + 'BRAWLERS OFICIAL'!AH18)-'BRAWLERS OFICIAL'!AH18)/($BN18)</f>
        <v>7.4999999999999997E-2</v>
      </c>
      <c r="AI18" s="92">
        <f>((0 + 'BRAWLERS OFICIAL'!AI18)-'BRAWLERS OFICIAL'!AI18)/($BN18)</f>
        <v>0</v>
      </c>
      <c r="AJ18" s="92">
        <f>(((BH18/5+1)*AI18 + 'BRAWLERS OFICIAL'!AJ18)-'BRAWLERS OFICIAL'!AJ18)/($BN18)</f>
        <v>0</v>
      </c>
      <c r="AK18" s="92">
        <f>IF( 0 = (1-1), (1-1), ((0 + 'BRAWLERS OFICIAL'!AK18)/1.5)-'BRAWLERS OFICIAL'!AK18 )/($BN18)</f>
        <v>0</v>
      </c>
      <c r="AL18" s="92">
        <f t="shared" si="0"/>
        <v>0</v>
      </c>
      <c r="AM18" s="92">
        <f>((0 + 'BRAWLERS OFICIAL'!AM18)-'BRAWLERS OFICIAL'!AM18)/($BN18)</f>
        <v>0</v>
      </c>
      <c r="AN18" s="92">
        <f>(('BRAWLERS OFICIAL'!AN18/5 + 'BRAWLERS OFICIAL'!AN18)-'BRAWLERS OFICIAL'!AN18)/($BN18)</f>
        <v>0.10500000000000002</v>
      </c>
      <c r="AO18" s="92">
        <f>(('BRAWLERS OFICIAL'!AO18/5 + 'BRAWLERS OFICIAL'!AO18)-'BRAWLERS OFICIAL'!AO18)/($BN18)</f>
        <v>5.9999999999999984E-2</v>
      </c>
      <c r="AP18" s="92">
        <f>IF( 1 = (1-1), (1-1), ((1 + 'BRAWLERS OFICIAL'!AP18)/1.5) )/($BN18)</f>
        <v>0.25</v>
      </c>
      <c r="AQ18" s="92">
        <f>IF( 'BRAWLERS OFICIAL'!AQ18/4 = (1-1), (1-1), (('BRAWLERS OFICIAL'!AQ18/4 + 'BRAWLERS OFICIAL'!AQ18)/1.5) )/($BN18)</f>
        <v>0.25</v>
      </c>
      <c r="AR18" s="92">
        <f>IF( 0 = (1-1), (1-1), ((0 + 'BRAWLERS OFICIAL'!AR18)/2) )/($BN18)</f>
        <v>0</v>
      </c>
      <c r="AS18" s="92">
        <f>((0 + 'BRAWLERS OFICIAL'!AS18)-'BRAWLERS OFICIAL'!AS18)/($BN18)</f>
        <v>0</v>
      </c>
      <c r="AT18" s="92">
        <f>(((0)/4 + 'BRAWLERS OFICIAL'!AT18)-'BRAWLERS OFICIAL'!AT18)/($BN18)</f>
        <v>0</v>
      </c>
      <c r="AU18" s="92">
        <v>0</v>
      </c>
      <c r="AV18" s="91">
        <f>((( 0 )/3 + 'BRAWLERS OFICIAL'!AV18)-'BRAWLERS OFICIAL'!AV18)</f>
        <v>0</v>
      </c>
      <c r="AW18" s="91">
        <f>((( 0 )/2 + 'BRAWLERS OFICIAL'!AW18)-'BRAWLERS OFICIAL'!AW18)/($BN18)</f>
        <v>0</v>
      </c>
      <c r="AX18" s="91">
        <f>((( 0 )/2 + 'BRAWLERS OFICIAL'!AX18)-'BRAWLERS OFICIAL'!AX18)</f>
        <v>0</v>
      </c>
      <c r="AY18" s="91">
        <f>((( 0 )/3 + 'BRAWLERS OFICIAL'!AY18)-'BRAWLERS OFICIAL'!AY18)</f>
        <v>0</v>
      </c>
      <c r="AZ18" s="91">
        <f>((( 0 )/2 + 'BRAWLERS OFICIAL'!AZ18)-'BRAWLERS OFICIAL'!AZ18)/($BN18)</f>
        <v>0</v>
      </c>
      <c r="BA18" s="91">
        <f>((( 0 )/3 + 'BRAWLERS OFICIAL'!BA18)-'BRAWLERS OFICIAL'!BA18)</f>
        <v>0</v>
      </c>
      <c r="BB18" s="91">
        <f>((( 0 )/3 + 'BRAWLERS OFICIAL'!BB18)-'BRAWLERS OFICIAL'!BB18)</f>
        <v>0</v>
      </c>
      <c r="BC18" s="91">
        <f>((0 + 'BRAWLERS OFICIAL'!BC18)-'BRAWLERS OFICIAL'!BC18)/($BN18)</f>
        <v>0</v>
      </c>
      <c r="BD18" s="91">
        <f>((0 + 'BRAWLERS OFICIAL'!BD18)-'BRAWLERS OFICIAL'!BD18)/($BN18)</f>
        <v>0</v>
      </c>
      <c r="BE18" s="91">
        <f>((( 0 )/2 + 'BRAWLERS OFICIAL'!BE18)-'BRAWLERS OFICIAL'!BE18)</f>
        <v>0</v>
      </c>
      <c r="BF18" s="91">
        <f>((0 + 'BRAWLERS OFICIAL'!BF18)-'BRAWLERS OFICIAL'!BF18)/($BN18)</f>
        <v>0</v>
      </c>
      <c r="BG18" s="91">
        <f>((( 0 )/2 + 'BRAWLERS OFICIAL'!BG18)-'BRAWLERS OFICIAL'!BG18)</f>
        <v>0</v>
      </c>
      <c r="BH18" s="91">
        <f>((( 0 )/3 + 'BRAWLERS OFICIAL'!BH18)-'BRAWLERS OFICIAL'!BH18)</f>
        <v>0</v>
      </c>
      <c r="BI18" s="91">
        <f>((( 0 )/2 + 'BRAWLERS OFICIAL'!BI18)-'BRAWLERS OFICIAL'!BI18)</f>
        <v>0</v>
      </c>
      <c r="BJ18" s="91">
        <f>((0 + 'BRAWLERS OFICIAL'!BJ18)-'BRAWLERS OFICIAL'!BJ18)/($BN18)</f>
        <v>0</v>
      </c>
      <c r="BK18" s="91">
        <f>((0 + 'BRAWLERS OFICIAL'!BK18)-'BRAWLERS OFICIAL'!BK18)/($BN18)</f>
        <v>0</v>
      </c>
      <c r="BL18" s="91">
        <f>((0 + 'BRAWLERS OFICIAL'!BL18)-'BRAWLERS OFICIAL'!BL18)/($BN18)</f>
        <v>0</v>
      </c>
      <c r="BN18" s="100">
        <f>('BRAWLERS OFICIAL'!D18 / 'BRAWLERS OFICIAL'!H18 / (1 + ('BRAWLERS OFICIAL'!Y18/5)))*'BRAWLERS OFICIAL'!E18</f>
        <v>13.333333333333334</v>
      </c>
    </row>
    <row r="19" spans="2:66">
      <c r="B19" s="86" t="s">
        <v>487</v>
      </c>
      <c r="C19" s="87" t="s">
        <v>40</v>
      </c>
      <c r="D19" s="91">
        <f>(( 0 + 'BRAWLERS OFICIAL'!D19)-'BRAWLERS OFICIAL'!D19)/$BN19</f>
        <v>0</v>
      </c>
      <c r="E19" s="91">
        <f>(( 0 + 'BRAWLERS OFICIAL'!E19)-'BRAWLERS OFICIAL'!E19)/$BN19</f>
        <v>0</v>
      </c>
      <c r="F19" s="91">
        <f>(( ('BRAWLERS OFICIAL'!F19/20) + 'BRAWLERS OFICIAL'!F19)-'BRAWLERS OFICIAL'!F19)/$BN19</f>
        <v>10.4</v>
      </c>
      <c r="G19" s="91">
        <f>(( 0 + 'BRAWLERS OFICIAL'!G19)-'BRAWLERS OFICIAL'!G19)/$BN19</f>
        <v>0</v>
      </c>
      <c r="H19" s="91">
        <f>(( 0 + 'BRAWLERS OFICIAL'!H19)-'BRAWLERS OFICIAL'!H19)/$BN19</f>
        <v>0</v>
      </c>
      <c r="I19" s="91">
        <f>(( 0 + 'BRAWLERS OFICIAL'!I19)-'BRAWLERS OFICIAL'!I19)/$BN19</f>
        <v>0</v>
      </c>
      <c r="J19" s="91">
        <f>(( 0 + 'BRAWLERS OFICIAL'!J19)-'BRAWLERS OFICIAL'!J19)/$BN19</f>
        <v>0</v>
      </c>
      <c r="K19" s="91">
        <f>(( 0 + 'BRAWLERS OFICIAL'!K19)-'BRAWLERS OFICIAL'!K19)/$BN19</f>
        <v>0</v>
      </c>
      <c r="L19" s="91">
        <f>(( 0 + 'BRAWLERS OFICIAL'!L19)-'BRAWLERS OFICIAL'!L19)/$BN19</f>
        <v>0</v>
      </c>
      <c r="M19" s="91">
        <f>(( 0 + 'BRAWLERS OFICIAL'!M19)-'BRAWLERS OFICIAL'!M19)/$BN19</f>
        <v>0</v>
      </c>
      <c r="N19" s="91">
        <f>(( 0 + 'BRAWLERS OFICIAL'!N19)-'BRAWLERS OFICIAL'!N19)/$BN19</f>
        <v>0</v>
      </c>
      <c r="O19" s="91">
        <f>(( 'BRAWLERS OFICIAL'!O19*3/20 + 'BRAWLERS OFICIAL'!O19)-'BRAWLERS OFICIAL'!O19)/$BN19</f>
        <v>0</v>
      </c>
      <c r="P19" s="91">
        <f>(( 'BRAWLERS OFICIAL'!P19*3/20 + 'BRAWLERS OFICIAL'!P19)-'BRAWLERS OFICIAL'!P19)/$BN19</f>
        <v>12</v>
      </c>
      <c r="Q19" s="91">
        <f>(( 'BRAWLERS OFICIAL'!Q19*3/20 + 'BRAWLERS OFICIAL'!Q19)-'BRAWLERS OFICIAL'!Q19)/$BN19</f>
        <v>36</v>
      </c>
      <c r="R19" s="91">
        <f>(( 'BRAWLERS OFICIAL'!R19*3/20 + 'BRAWLERS OFICIAL'!R19)-'BRAWLERS OFICIAL'!R19)/$BN19</f>
        <v>24</v>
      </c>
      <c r="S19" s="91">
        <f>(( 'BRAWLERS OFICIAL'!S19*3/20 + 'BRAWLERS OFICIAL'!S19)-'BRAWLERS OFICIAL'!S19)/$BN19</f>
        <v>12</v>
      </c>
      <c r="T19" s="91">
        <f>(( 0 + 'BRAWLERS OFICIAL'!T19)-'BRAWLERS OFICIAL'!T19)/$BN19</f>
        <v>0</v>
      </c>
      <c r="U19" s="91">
        <f>(( 0 + 'BRAWLERS OFICIAL'!U19)-'BRAWLERS OFICIAL'!U19)/$BN19</f>
        <v>0</v>
      </c>
      <c r="V19" s="102">
        <f>(( ('BRAWLERS OFICIAL'!V19/20) + 'BRAWLERS OFICIAL'!V19 + AN19 + AV19/3.5 )-'BRAWLERS OFICIAL'!V19)/($BN19)</f>
        <v>4.4285714285714303E-2</v>
      </c>
      <c r="W19" s="92">
        <f>((0 + 'BRAWLERS OFICIAL'!W19)-'BRAWLERS OFICIAL'!W19)/($BN19)</f>
        <v>0</v>
      </c>
      <c r="X19" s="92">
        <f>(((0)/3 + 'BRAWLERS OFICIAL'!X19)-'BRAWLERS OFICIAL'!X19)</f>
        <v>0</v>
      </c>
      <c r="Y19" s="92">
        <f>((0 + 'BRAWLERS OFICIAL'!Y19)-'BRAWLERS OFICIAL'!Y19)/($BN19)</f>
        <v>0</v>
      </c>
      <c r="Z19" s="92">
        <f>((0 + 'BRAWLERS OFICIAL'!Z19)-'BRAWLERS OFICIAL'!Z19)</f>
        <v>0</v>
      </c>
      <c r="AA19" s="92">
        <f>(((0)/4 + 'BRAWLERS OFICIAL'!AA19)-'BRAWLERS OFICIAL'!AA19)/($BN19)</f>
        <v>0</v>
      </c>
      <c r="AB19" s="92">
        <f>((0 + 'BRAWLERS OFICIAL'!AB19)-'BRAWLERS OFICIAL'!AB19)/($BN19)</f>
        <v>0</v>
      </c>
      <c r="AC19" s="92">
        <f>((0 + 'BRAWLERS OFICIAL'!AC19)-'BRAWLERS OFICIAL'!AC19)/($BN19)</f>
        <v>0</v>
      </c>
      <c r="AD19" s="92">
        <f>((0 + 'BRAWLERS OFICIAL'!AD19)-'BRAWLERS OFICIAL'!AD19)/($BN19)</f>
        <v>0</v>
      </c>
      <c r="AE19" s="92">
        <f>((0 + 'BRAWLERS OFICIAL'!AE19)-'BRAWLERS OFICIAL'!AE19)/($BN19)</f>
        <v>0</v>
      </c>
      <c r="AF19" s="92">
        <f>((0 + 'BRAWLERS OFICIAL'!AF19)-'BRAWLERS OFICIAL'!AF19)/($BN19)</f>
        <v>0</v>
      </c>
      <c r="AG19" s="92">
        <f>((0 + 'BRAWLERS OFICIAL'!AG19)-'BRAWLERS OFICIAL'!AG19)/($BN19)</f>
        <v>0</v>
      </c>
      <c r="AH19" s="92">
        <f>(( ('BRAWLERS OFICIAL'!AH19/5) + 'BRAWLERS OFICIAL'!AH19)-'BRAWLERS OFICIAL'!AH19)/($BN19)</f>
        <v>0.2</v>
      </c>
      <c r="AI19" s="92">
        <f>((0 + 'BRAWLERS OFICIAL'!AI19)-'BRAWLERS OFICIAL'!AI19)/($BN19)</f>
        <v>0</v>
      </c>
      <c r="AJ19" s="92">
        <f>(((BH19/5+1)*AI19 + 'BRAWLERS OFICIAL'!AJ19)-'BRAWLERS OFICIAL'!AJ19)/($BN19)</f>
        <v>0</v>
      </c>
      <c r="AK19" s="92">
        <f>IF( 4 = (1-1), (1-1), ((12 + 'BRAWLERS OFICIAL'!AK19)/1.5)-'BRAWLERS OFICIAL'!AK19 )/($BN19)</f>
        <v>1.0666666666666669</v>
      </c>
      <c r="AL19" s="92">
        <f>IF( 3 = (1-1), (1-1), ( 3 ) )/($BN19)</f>
        <v>0.6</v>
      </c>
      <c r="AM19" s="92">
        <f>((0 + 'BRAWLERS OFICIAL'!AM19)-'BRAWLERS OFICIAL'!AM19)/($BN19)</f>
        <v>0</v>
      </c>
      <c r="AN19" s="92">
        <f>((0/1000 + 'BRAWLERS OFICIAL'!AN19)-'BRAWLERS OFICIAL'!AN19)/($BN19)</f>
        <v>0</v>
      </c>
      <c r="AO19" s="92">
        <f>((0.4 + 'BRAWLERS OFICIAL'!AO19)-'BRAWLERS OFICIAL'!AO19)/($BN19)</f>
        <v>7.9999999999999988E-2</v>
      </c>
      <c r="AP19" s="92">
        <f>IF( 0 = (1-1), (1-1), ((0 + 'BRAWLERS OFICIAL'!AP19)/1.5) )/($BN19)</f>
        <v>0</v>
      </c>
      <c r="AQ19" s="92">
        <f>IF( 0 = (1-1), (1-1), ((0 + 'BRAWLERS OFICIAL'!AQ19)/1.5) )/($BN19)</f>
        <v>0</v>
      </c>
      <c r="AR19" s="92">
        <f>IF( 0 = (1-1), (1-1), ((0 + 'BRAWLERS OFICIAL'!AR19)/2) )/($BN19)</f>
        <v>0</v>
      </c>
      <c r="AS19" s="92">
        <f>((0 + 'BRAWLERS OFICIAL'!AS19)-'BRAWLERS OFICIAL'!AS19)/($BN19)</f>
        <v>0</v>
      </c>
      <c r="AT19" s="92">
        <f>(((0)/4 + 'BRAWLERS OFICIAL'!AT19)-'BRAWLERS OFICIAL'!AT19)/($BN19)</f>
        <v>0</v>
      </c>
      <c r="AU19" s="92">
        <v>0</v>
      </c>
      <c r="AV19" s="91">
        <f>((( 0 )/3 + 'BRAWLERS OFICIAL'!AV19)-'BRAWLERS OFICIAL'!AV19)</f>
        <v>0</v>
      </c>
      <c r="AW19" s="91">
        <f>((( 0 )/2 + 'BRAWLERS OFICIAL'!AW19)-'BRAWLERS OFICIAL'!AW19)/($BN19)</f>
        <v>0</v>
      </c>
      <c r="AX19" s="91">
        <f>((( 0 )/2 + 'BRAWLERS OFICIAL'!AX19)-'BRAWLERS OFICIAL'!AX19)</f>
        <v>0</v>
      </c>
      <c r="AY19" s="91">
        <f>((( 0 )/3 + 'BRAWLERS OFICIAL'!AY19)-'BRAWLERS OFICIAL'!AY19)</f>
        <v>0</v>
      </c>
      <c r="AZ19" s="91">
        <f>((( 0 )/2 + 'BRAWLERS OFICIAL'!AZ19)-'BRAWLERS OFICIAL'!AZ19)/($BN19)</f>
        <v>0</v>
      </c>
      <c r="BA19" s="91">
        <f>((( 0 )/3 + 'BRAWLERS OFICIAL'!BA19)-'BRAWLERS OFICIAL'!BA19)</f>
        <v>0</v>
      </c>
      <c r="BB19" s="91">
        <f>((( 0 )/3 + 'BRAWLERS OFICIAL'!BB19)-'BRAWLERS OFICIAL'!BB19)</f>
        <v>0</v>
      </c>
      <c r="BC19" s="91">
        <f>((0 + 'BRAWLERS OFICIAL'!BC19)-'BRAWLERS OFICIAL'!BC19)/($BN19)</f>
        <v>0</v>
      </c>
      <c r="BD19" s="91">
        <f>((0 + 'BRAWLERS OFICIAL'!BD19)-'BRAWLERS OFICIAL'!BD19)/($BN19)</f>
        <v>0</v>
      </c>
      <c r="BE19" s="91">
        <f>((( 0 )/2 + 'BRAWLERS OFICIAL'!BE19)-'BRAWLERS OFICIAL'!BE19)</f>
        <v>0</v>
      </c>
      <c r="BF19" s="91">
        <f>((0 + 'BRAWLERS OFICIAL'!BF19)-'BRAWLERS OFICIAL'!BF19)/($BN19)</f>
        <v>0</v>
      </c>
      <c r="BG19" s="91">
        <f>((( 0 )/2 + 'BRAWLERS OFICIAL'!BG19)-'BRAWLERS OFICIAL'!BG19)</f>
        <v>0</v>
      </c>
      <c r="BH19" s="91">
        <f>((( 0 )/3 + 'BRAWLERS OFICIAL'!BH19)-'BRAWLERS OFICIAL'!BH19)</f>
        <v>0</v>
      </c>
      <c r="BI19" s="91">
        <f>((( 0 )/2 + 'BRAWLERS OFICIAL'!BI19)-'BRAWLERS OFICIAL'!BI19)</f>
        <v>0</v>
      </c>
      <c r="BJ19" s="91">
        <f>((0 + 'BRAWLERS OFICIAL'!BJ19)-'BRAWLERS OFICIAL'!BJ19)/($BN19)</f>
        <v>0</v>
      </c>
      <c r="BK19" s="91">
        <f>((0 + 'BRAWLERS OFICIAL'!BK19)-'BRAWLERS OFICIAL'!BK19)/($BN19)</f>
        <v>0</v>
      </c>
      <c r="BL19" s="91">
        <f>((0 + 'BRAWLERS OFICIAL'!BL19)-'BRAWLERS OFICIAL'!BL19)/($BN19)</f>
        <v>0</v>
      </c>
      <c r="BN19" s="100">
        <f>('BRAWLERS OFICIAL'!D19 / 'BRAWLERS OFICIAL'!H19 / (1 + ('BRAWLERS OFICIAL'!Y19/5)))*'BRAWLERS OFICIAL'!E19</f>
        <v>5</v>
      </c>
    </row>
    <row r="20" spans="2:66">
      <c r="B20" s="89" t="s">
        <v>488</v>
      </c>
      <c r="C20" s="90" t="s">
        <v>69</v>
      </c>
      <c r="D20" s="91">
        <f>(( 0 + 'BRAWLERS OFICIAL'!D20)-'BRAWLERS OFICIAL'!D20)/$BN20</f>
        <v>0</v>
      </c>
      <c r="E20" s="91">
        <f>(( 0 + 'BRAWLERS OFICIAL'!E20)-'BRAWLERS OFICIAL'!E20)/$BN20</f>
        <v>0</v>
      </c>
      <c r="F20" s="91">
        <f>(( ('BRAWLERS OFICIAL'!F20/20) + 'BRAWLERS OFICIAL'!F20)-'BRAWLERS OFICIAL'!F20)/$BN20</f>
        <v>6.6064516129032258</v>
      </c>
      <c r="G20" s="91">
        <f>(( 0 + 'BRAWLERS OFICIAL'!G20)-'BRAWLERS OFICIAL'!G20)/$BN20</f>
        <v>0</v>
      </c>
      <c r="H20" s="91">
        <f>(( 0 + 'BRAWLERS OFICIAL'!H20)-'BRAWLERS OFICIAL'!H20)/$BN20</f>
        <v>0</v>
      </c>
      <c r="I20" s="91">
        <f>(( 0 + 'BRAWLERS OFICIAL'!I20)-'BRAWLERS OFICIAL'!I20)/$BN20</f>
        <v>0</v>
      </c>
      <c r="J20" s="91">
        <f>(( 0 + 'BRAWLERS OFICIAL'!J20)-'BRAWLERS OFICIAL'!J20)/$BN20</f>
        <v>0</v>
      </c>
      <c r="K20" s="91">
        <f>(( 0 + 'BRAWLERS OFICIAL'!K20)-'BRAWLERS OFICIAL'!K20)/$BN20</f>
        <v>0</v>
      </c>
      <c r="L20" s="91">
        <f>(( 0 + 'BRAWLERS OFICIAL'!L20)-'BRAWLERS OFICIAL'!L20)/$BN20</f>
        <v>0</v>
      </c>
      <c r="M20" s="91">
        <f>(( 0 + 'BRAWLERS OFICIAL'!M20)-'BRAWLERS OFICIAL'!M20)/$BN20</f>
        <v>0</v>
      </c>
      <c r="N20" s="91">
        <f>(( 0 + 'BRAWLERS OFICIAL'!N20)-'BRAWLERS OFICIAL'!N20)/$BN20</f>
        <v>0</v>
      </c>
      <c r="O20" s="91">
        <f>(( 'BRAWLERS OFICIAL'!O20/20 + 'BRAWLERS OFICIAL'!O20)-'BRAWLERS OFICIAL'!O20)/$BN20</f>
        <v>0</v>
      </c>
      <c r="P20" s="91">
        <f>(( 'BRAWLERS OFICIAL'!P20/20 + 'BRAWLERS OFICIAL'!P20)-'BRAWLERS OFICIAL'!P20)/$BN20</f>
        <v>0</v>
      </c>
      <c r="Q20" s="91">
        <f>(( 'BRAWLERS OFICIAL'!Q20/20 + 'BRAWLERS OFICIAL'!Q20)-'BRAWLERS OFICIAL'!Q20)/$BN20</f>
        <v>0</v>
      </c>
      <c r="R20" s="91">
        <f>(( 'BRAWLERS OFICIAL'!R20/20 + 'BRAWLERS OFICIAL'!R20)-'BRAWLERS OFICIAL'!R20)/$BN20</f>
        <v>0</v>
      </c>
      <c r="S20" s="91">
        <f>(( 'BRAWLERS OFICIAL'!S20/20 + 'BRAWLERS OFICIAL'!S20)-'BRAWLERS OFICIAL'!S20)/$BN20</f>
        <v>0</v>
      </c>
      <c r="T20" s="91">
        <f>(( 0 + 'BRAWLERS OFICIAL'!T20)-'BRAWLERS OFICIAL'!T20)/$BN20</f>
        <v>0</v>
      </c>
      <c r="U20" s="91">
        <f>(( 0 + 'BRAWLERS OFICIAL'!U20)-'BRAWLERS OFICIAL'!U20)/$BN20</f>
        <v>0</v>
      </c>
      <c r="V20" s="102">
        <f>(( ('BRAWLERS OFICIAL'!V20/20) + 'BRAWLERS OFICIAL'!V20 + AN20 + AV20/3.5 )-'BRAWLERS OFICIAL'!V20)/($BN20)</f>
        <v>5.1612903225806452E-2</v>
      </c>
      <c r="W20" s="92">
        <f>((0 + 'BRAWLERS OFICIAL'!W20)-'BRAWLERS OFICIAL'!W20)/($BN20)</f>
        <v>0</v>
      </c>
      <c r="X20" s="92">
        <f>(((0)/3 + 'BRAWLERS OFICIAL'!X20)-'BRAWLERS OFICIAL'!X20)</f>
        <v>0</v>
      </c>
      <c r="Y20" s="92">
        <f>((0 + 'BRAWLERS OFICIAL'!Y20)-'BRAWLERS OFICIAL'!Y20)/($BN20)</f>
        <v>0</v>
      </c>
      <c r="Z20" s="92">
        <f>((0 + 'BRAWLERS OFICIAL'!Z20)-'BRAWLERS OFICIAL'!Z20)</f>
        <v>0</v>
      </c>
      <c r="AA20" s="92">
        <f>(((0)/4 + 'BRAWLERS OFICIAL'!AA20)-'BRAWLERS OFICIAL'!AA20)/($BN20)</f>
        <v>0</v>
      </c>
      <c r="AB20" s="92">
        <f>((0 + 'BRAWLERS OFICIAL'!AB20)-'BRAWLERS OFICIAL'!AB20)/($BN20)</f>
        <v>0</v>
      </c>
      <c r="AC20" s="92">
        <f>((0 + 'BRAWLERS OFICIAL'!AC20)-'BRAWLERS OFICIAL'!AC20)/($BN20)</f>
        <v>0</v>
      </c>
      <c r="AD20" s="92">
        <f>((0 + 'BRAWLERS OFICIAL'!AD20)-'BRAWLERS OFICIAL'!AD20)/($BN20)</f>
        <v>0</v>
      </c>
      <c r="AE20" s="92">
        <f>((0 + 'BRAWLERS OFICIAL'!AE20)-'BRAWLERS OFICIAL'!AE20)/($BN20)</f>
        <v>0</v>
      </c>
      <c r="AF20" s="92">
        <f>((0 + 'BRAWLERS OFICIAL'!AF20)-'BRAWLERS OFICIAL'!AF20)/($BN20)</f>
        <v>0</v>
      </c>
      <c r="AG20" s="92">
        <f>((0 + 'BRAWLERS OFICIAL'!AG20)-'BRAWLERS OFICIAL'!AG20)/($BN20)</f>
        <v>0</v>
      </c>
      <c r="AH20" s="92">
        <f>(( ('BRAWLERS OFICIAL'!AH20/5) + 'BRAWLERS OFICIAL'!AH20)-'BRAWLERS OFICIAL'!AH20)/($BN20)</f>
        <v>0.41290322580645161</v>
      </c>
      <c r="AI20" s="92">
        <f>((0 + 'BRAWLERS OFICIAL'!AI20)-'BRAWLERS OFICIAL'!AI20)/($BN20)</f>
        <v>0</v>
      </c>
      <c r="AJ20" s="92">
        <f>(((BH20/5+1)*AI20 + 'BRAWLERS OFICIAL'!AJ20)-'BRAWLERS OFICIAL'!AJ20)/($BN20)</f>
        <v>0</v>
      </c>
      <c r="AK20" s="92">
        <f>IF( 0 = (1-1), (1-1), ((0 + 'BRAWLERS OFICIAL'!AK20)/1.5)-'BRAWLERS OFICIAL'!AK20 )/($BN20)</f>
        <v>0</v>
      </c>
      <c r="AL20" s="92">
        <f t="shared" si="0"/>
        <v>0</v>
      </c>
      <c r="AM20" s="92">
        <f>((0 + 'BRAWLERS OFICIAL'!AM20)-'BRAWLERS OFICIAL'!AM20)/($BN20)</f>
        <v>0</v>
      </c>
      <c r="AN20" s="92">
        <f>((0/1000 + 'BRAWLERS OFICIAL'!AN20)-'BRAWLERS OFICIAL'!AN20)/($BN20)</f>
        <v>0</v>
      </c>
      <c r="AO20" s="92">
        <f>((0 + 'BRAWLERS OFICIAL'!AO20)-'BRAWLERS OFICIAL'!AO20)/($BN20)</f>
        <v>0</v>
      </c>
      <c r="AP20" s="92">
        <f>IF( 0 = (1-1), (1-1), ((0 + 'BRAWLERS OFICIAL'!AP20)/1.5) )/($BN20)</f>
        <v>0</v>
      </c>
      <c r="AQ20" s="92">
        <f>IF( 0 = (1-1), (1-1), ((0 + 'BRAWLERS OFICIAL'!AQ20)/1.5) )/($BN20)</f>
        <v>0</v>
      </c>
      <c r="AR20" s="92">
        <f>IF( 0 = (1-1), (1-1), ((0 + 'BRAWLERS OFICIAL'!AR20)/2) )/($BN20)</f>
        <v>0</v>
      </c>
      <c r="AS20" s="92">
        <f>((0 + 'BRAWLERS OFICIAL'!AS20)-'BRAWLERS OFICIAL'!AS20)/($BN20)</f>
        <v>0</v>
      </c>
      <c r="AT20" s="92">
        <f>(((0)/4 + 'BRAWLERS OFICIAL'!AT20)-'BRAWLERS OFICIAL'!AT20)/($BN20)</f>
        <v>0</v>
      </c>
      <c r="AU20" s="92">
        <v>2.5</v>
      </c>
      <c r="AV20" s="91">
        <f>((( 0 )/3 + 'BRAWLERS OFICIAL'!AV20)-'BRAWLERS OFICIAL'!AV20)</f>
        <v>0</v>
      </c>
      <c r="AW20" s="91">
        <f>((( 0 )/2 + 'BRAWLERS OFICIAL'!AW20)-'BRAWLERS OFICIAL'!AW20)/($BN20)</f>
        <v>0</v>
      </c>
      <c r="AX20" s="91">
        <f>((( 0 )/2 + 'BRAWLERS OFICIAL'!AX20)-'BRAWLERS OFICIAL'!AX20)</f>
        <v>0</v>
      </c>
      <c r="AY20" s="91">
        <f>((( 0 )/3 + 'BRAWLERS OFICIAL'!AY20)-'BRAWLERS OFICIAL'!AY20)</f>
        <v>0</v>
      </c>
      <c r="AZ20" s="91">
        <f>((( 0 )/2 + 'BRAWLERS OFICIAL'!AZ20)-'BRAWLERS OFICIAL'!AZ20)/($BN20)</f>
        <v>0</v>
      </c>
      <c r="BA20" s="91">
        <f>((( 6 + 4 )/2)-'BRAWLERS OFICIAL'!BA20)</f>
        <v>0.5</v>
      </c>
      <c r="BB20" s="91">
        <f>((( 0 )/3 + 'BRAWLERS OFICIAL'!BB20)-'BRAWLERS OFICIAL'!BB20)</f>
        <v>0</v>
      </c>
      <c r="BC20" s="91">
        <f>((0 + 'BRAWLERS OFICIAL'!BC20)-'BRAWLERS OFICIAL'!BC20)/($BN20)</f>
        <v>0</v>
      </c>
      <c r="BD20" s="91">
        <f>((0 + 'BRAWLERS OFICIAL'!BD20)-'BRAWLERS OFICIAL'!BD20)/($BN20)</f>
        <v>0</v>
      </c>
      <c r="BE20" s="91">
        <f>((( 0 )/2 + 'BRAWLERS OFICIAL'!BE20)-'BRAWLERS OFICIAL'!BE20)</f>
        <v>0</v>
      </c>
      <c r="BF20" s="91">
        <f>((0 + 'BRAWLERS OFICIAL'!BF20)-'BRAWLERS OFICIAL'!BF20)/($BN20)</f>
        <v>0</v>
      </c>
      <c r="BG20" s="91">
        <f>((( 0 )/2 + 'BRAWLERS OFICIAL'!BG20)-'BRAWLERS OFICIAL'!BG20)</f>
        <v>0</v>
      </c>
      <c r="BH20" s="91">
        <f>((( 0 )/3 + 'BRAWLERS OFICIAL'!BH20)-'BRAWLERS OFICIAL'!BH20)</f>
        <v>0</v>
      </c>
      <c r="BI20" s="91">
        <f>((( 0 )/2 + 'BRAWLERS OFICIAL'!BI20)-'BRAWLERS OFICIAL'!BI20)</f>
        <v>0</v>
      </c>
      <c r="BJ20" s="91">
        <f>((0 + 'BRAWLERS OFICIAL'!BJ20)-'BRAWLERS OFICIAL'!BJ20)/($BN20)</f>
        <v>0</v>
      </c>
      <c r="BK20" s="91">
        <f>((0 + 'BRAWLERS OFICIAL'!BK20)-'BRAWLERS OFICIAL'!BK20)/($BN20)</f>
        <v>0</v>
      </c>
      <c r="BL20" s="91">
        <f>((0 + 'BRAWLERS OFICIAL'!BL20)-'BRAWLERS OFICIAL'!BL20)/($BN20)</f>
        <v>0</v>
      </c>
      <c r="BN20" s="100">
        <f>('BRAWLERS OFICIAL'!D20 / 'BRAWLERS OFICIAL'!H20 / (1 + ('BRAWLERS OFICIAL'!Y20/5)))*'BRAWLERS OFICIAL'!E20</f>
        <v>4.84375</v>
      </c>
    </row>
    <row r="21" spans="2:66">
      <c r="C21" t="s">
        <v>390</v>
      </c>
    </row>
    <row r="23" spans="2:66">
      <c r="J23" t="s">
        <v>489</v>
      </c>
    </row>
  </sheetData>
  <conditionalFormatting sqref="D3:BL20">
    <cfRule type="cellIs" dxfId="1" priority="15" operator="greaterThan">
      <formula>0</formula>
    </cfRule>
  </conditionalFormatting>
  <conditionalFormatting sqref="BN3:BN20">
    <cfRule type="cellIs" dxfId="0" priority="12" operator="greaterThan">
      <formula>0</formula>
    </cfRule>
  </conditionalFormatting>
  <dataValidations count="1">
    <dataValidation allowBlank="1" showInputMessage="1" showErrorMessage="1" sqref="B2:B20" xr:uid="{BA7926C3-E578-4FE2-A89B-65A4EA91E54D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2025-05-09T23:59:11Z</dcterms:created>
  <dcterms:modified xsi:type="dcterms:W3CDTF">2026-06-05T13:03:16Z</dcterms:modified>
  <cp:category/>
  <cp:contentStatus/>
</cp:coreProperties>
</file>