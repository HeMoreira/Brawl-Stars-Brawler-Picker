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hidePivotFieldList="1"/>
  <xr:revisionPtr revIDLastSave="0" documentId="8_{42972700-A46A-48CE-8E37-861492342110}" xr6:coauthVersionLast="47" xr6:coauthVersionMax="47" xr10:uidLastSave="{00000000-0000-0000-0000-000000000000}"/>
  <bookViews>
    <workbookView xWindow="240" yWindow="105" windowWidth="14805" windowHeight="8010" firstSheet="9" activeTab="9" xr2:uid="{00000000-000D-0000-FFFF-FFFF00000000}"/>
  </bookViews>
  <sheets>
    <sheet name="Planilha2" sheetId="2" r:id="rId1"/>
    <sheet name="Planilha1" sheetId="1" r:id="rId2"/>
    <sheet name="DADOS UTEISA" sheetId="3" r:id="rId3"/>
    <sheet name="Planilha3" sheetId="10" r:id="rId4"/>
    <sheet name="BRAWLERS OFICIAL" sheetId="4" r:id="rId5"/>
    <sheet name="PRIMEIRO ACESSÓRIO" sheetId="5" r:id="rId6"/>
    <sheet name="SEGUNDO ACESSÓRIO" sheetId="6" r:id="rId7"/>
    <sheet name="PRIMEIRO PODER-DE-ESTRELA" sheetId="7" r:id="rId8"/>
    <sheet name="SEGUNDO PODER-DE-ESTRELA" sheetId="8" r:id="rId9"/>
    <sheet name="HIPERCARGA" sheetId="9" r:id="rId10"/>
  </sheets>
  <calcPr calcId="191028"/>
  <pivotCaches>
    <pivotCache cacheId="260" r:id="rId11"/>
    <pivotCache cacheId="261" r:id="rId12"/>
    <pivotCache cacheId="262" r:id="rId13"/>
    <pivotCache cacheId="263" r:id="rId14"/>
    <pivotCache cacheId="264" r:id="rId15"/>
    <pivotCache cacheId="265" r:id="rId16"/>
    <pivotCache cacheId="266"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5" l="1"/>
  <c r="CO5" i="4"/>
  <c r="BK14" i="9"/>
  <c r="BL20" i="9"/>
  <c r="BK20" i="9"/>
  <c r="BJ20" i="9"/>
  <c r="BL19" i="9"/>
  <c r="BK19" i="9"/>
  <c r="BJ19" i="9"/>
  <c r="BL18" i="9"/>
  <c r="BJ18" i="9"/>
  <c r="BL17" i="9"/>
  <c r="BK17" i="9"/>
  <c r="BJ17" i="9"/>
  <c r="BL16" i="9"/>
  <c r="BK16" i="9"/>
  <c r="BJ16" i="9"/>
  <c r="BL15" i="9"/>
  <c r="BK15" i="9"/>
  <c r="BJ15" i="9"/>
  <c r="BL14" i="9"/>
  <c r="BJ14" i="9"/>
  <c r="BL13" i="9"/>
  <c r="BK13" i="9"/>
  <c r="BJ13" i="9"/>
  <c r="BL12" i="9"/>
  <c r="BK12" i="9"/>
  <c r="BJ12" i="9"/>
  <c r="BL11" i="9"/>
  <c r="BK11" i="9"/>
  <c r="BJ11" i="9"/>
  <c r="BL10" i="9"/>
  <c r="BK10" i="9"/>
  <c r="BJ10" i="9"/>
  <c r="BL9" i="9"/>
  <c r="BK9" i="9"/>
  <c r="BJ9" i="9"/>
  <c r="BL8" i="9"/>
  <c r="BK8" i="9"/>
  <c r="BJ8" i="9"/>
  <c r="BL7" i="9"/>
  <c r="BK7" i="9"/>
  <c r="BJ7" i="9"/>
  <c r="BL6" i="9"/>
  <c r="BJ6" i="9"/>
  <c r="BL5" i="9"/>
  <c r="BK5" i="9"/>
  <c r="BJ5" i="9"/>
  <c r="BL4" i="9"/>
  <c r="BK4" i="9"/>
  <c r="BJ4" i="9"/>
  <c r="BH4" i="9"/>
  <c r="BH5" i="9"/>
  <c r="BH6" i="9"/>
  <c r="BH7" i="9"/>
  <c r="BH8" i="9"/>
  <c r="BH9" i="9"/>
  <c r="BH10" i="9"/>
  <c r="BH11" i="9"/>
  <c r="BH12" i="9"/>
  <c r="BH13" i="9"/>
  <c r="BH14" i="9"/>
  <c r="BH15" i="9"/>
  <c r="BH16" i="9"/>
  <c r="BH17" i="9"/>
  <c r="BH18" i="9"/>
  <c r="BH19" i="9"/>
  <c r="BH20" i="9"/>
  <c r="BA20" i="9"/>
  <c r="BA10" i="9"/>
  <c r="BE4" i="9"/>
  <c r="BE5" i="9"/>
  <c r="BE6" i="9"/>
  <c r="BE7" i="9"/>
  <c r="BE8" i="9"/>
  <c r="BE9" i="9"/>
  <c r="BE10" i="9"/>
  <c r="BE11" i="9"/>
  <c r="BE12" i="9"/>
  <c r="BE14" i="9"/>
  <c r="BE15" i="9"/>
  <c r="BE16" i="9"/>
  <c r="BE17" i="9"/>
  <c r="BE18" i="9"/>
  <c r="BE19" i="9"/>
  <c r="BE20" i="9"/>
  <c r="BD4" i="9"/>
  <c r="BD5" i="9"/>
  <c r="BD6" i="9"/>
  <c r="BD7" i="9"/>
  <c r="BD8" i="9"/>
  <c r="BD9" i="9"/>
  <c r="BD10" i="9"/>
  <c r="BD11" i="9"/>
  <c r="BD12" i="9"/>
  <c r="BD13" i="9"/>
  <c r="BD14" i="9"/>
  <c r="BD15" i="9"/>
  <c r="BD16" i="9"/>
  <c r="BD17" i="9"/>
  <c r="BD18" i="9"/>
  <c r="BD19" i="9"/>
  <c r="AY4" i="9"/>
  <c r="BA4" i="9"/>
  <c r="BB4" i="9"/>
  <c r="AY5" i="9"/>
  <c r="BA5" i="9"/>
  <c r="BB5" i="9"/>
  <c r="AY6" i="9"/>
  <c r="BA6" i="9"/>
  <c r="BB6" i="9"/>
  <c r="AY7" i="9"/>
  <c r="BA7" i="9"/>
  <c r="BB7" i="9"/>
  <c r="AY8" i="9"/>
  <c r="BA8" i="9"/>
  <c r="BB8" i="9"/>
  <c r="AY9" i="9"/>
  <c r="BA9" i="9"/>
  <c r="BB9" i="9"/>
  <c r="BB10" i="9"/>
  <c r="BA11" i="9"/>
  <c r="BB11" i="9"/>
  <c r="AY12" i="9"/>
  <c r="BA12" i="9"/>
  <c r="BB12" i="9"/>
  <c r="AY13" i="9"/>
  <c r="BA13" i="9"/>
  <c r="BB13" i="9"/>
  <c r="AY14" i="9"/>
  <c r="BA14" i="9"/>
  <c r="BB14" i="9"/>
  <c r="AY15" i="9"/>
  <c r="BA15" i="9"/>
  <c r="BB15" i="9"/>
  <c r="AY16" i="9"/>
  <c r="BA16" i="9"/>
  <c r="BB16" i="9"/>
  <c r="AY17" i="9"/>
  <c r="BA17" i="9"/>
  <c r="BB17" i="9"/>
  <c r="AY18" i="9"/>
  <c r="BA18" i="9"/>
  <c r="BB18" i="9"/>
  <c r="AY19" i="9"/>
  <c r="BA19" i="9"/>
  <c r="BB19" i="9"/>
  <c r="AY20" i="9"/>
  <c r="BB20" i="9"/>
  <c r="BL3" i="9"/>
  <c r="BK3" i="9"/>
  <c r="BJ3" i="9"/>
  <c r="BH3" i="9"/>
  <c r="BE3" i="9"/>
  <c r="BD3" i="9"/>
  <c r="BB3" i="9"/>
  <c r="BA3" i="9"/>
  <c r="AY3" i="9"/>
  <c r="AB8" i="9"/>
  <c r="AB9" i="9"/>
  <c r="AB10" i="9"/>
  <c r="AB11" i="9"/>
  <c r="AB12" i="9"/>
  <c r="AB13" i="9"/>
  <c r="AB14" i="9"/>
  <c r="AB15" i="9"/>
  <c r="AB16" i="9"/>
  <c r="AB17" i="9"/>
  <c r="AB18" i="9"/>
  <c r="AB19" i="9"/>
  <c r="AB20" i="9"/>
  <c r="Z13" i="9"/>
  <c r="Z10" i="9"/>
  <c r="Z12" i="9"/>
  <c r="Z14" i="9"/>
  <c r="Z15" i="9"/>
  <c r="Z17" i="9"/>
  <c r="Z18" i="9"/>
  <c r="Z19" i="9"/>
  <c r="AB7" i="9"/>
  <c r="AB6" i="9"/>
  <c r="Z6" i="9"/>
  <c r="AB5" i="9"/>
  <c r="Z5" i="9"/>
  <c r="Z4" i="9"/>
  <c r="AB4" i="9"/>
  <c r="AB3" i="9"/>
  <c r="BQ3" i="8"/>
  <c r="BQ15" i="8"/>
  <c r="BQ9" i="8"/>
  <c r="F20" i="7"/>
  <c r="J19" i="8"/>
  <c r="N19" i="8"/>
  <c r="K19" i="8"/>
  <c r="L19" i="8"/>
  <c r="M19" i="8"/>
  <c r="AP18" i="7"/>
  <c r="Z16" i="4"/>
  <c r="Z16" i="9" s="1"/>
  <c r="Z16" i="8"/>
  <c r="AK16" i="8"/>
  <c r="Y16" i="8"/>
  <c r="X16" i="4"/>
  <c r="BM15" i="8"/>
  <c r="BI15" i="8"/>
  <c r="AD15" i="8"/>
  <c r="AB15" i="8"/>
  <c r="AA15" i="8"/>
  <c r="Z15" i="8"/>
  <c r="Y14" i="7"/>
  <c r="L14" i="7"/>
  <c r="AY13" i="8"/>
  <c r="BD13" i="7"/>
  <c r="BK9" i="7"/>
  <c r="Z9" i="4"/>
  <c r="BK8" i="7"/>
  <c r="BM3" i="8"/>
  <c r="BM4" i="8"/>
  <c r="BM6" i="8"/>
  <c r="BM9" i="8"/>
  <c r="BM11" i="8"/>
  <c r="BM12" i="8"/>
  <c r="BM14" i="8"/>
  <c r="BM16" i="8"/>
  <c r="BM17" i="8"/>
  <c r="BM19" i="8"/>
  <c r="BN3" i="8"/>
  <c r="BO3" i="8"/>
  <c r="BN4" i="8"/>
  <c r="BO4" i="8"/>
  <c r="BN6" i="8"/>
  <c r="BO6" i="8"/>
  <c r="BN9" i="8"/>
  <c r="BO9" i="8"/>
  <c r="BN11" i="8"/>
  <c r="BO11" i="8"/>
  <c r="BN12" i="8"/>
  <c r="BO12" i="8"/>
  <c r="BN14" i="8"/>
  <c r="BO14" i="8"/>
  <c r="BN15" i="8"/>
  <c r="BO15" i="8"/>
  <c r="BN16" i="8"/>
  <c r="BO16" i="8"/>
  <c r="BN17" i="8"/>
  <c r="BO17" i="8"/>
  <c r="BN19" i="8"/>
  <c r="BO19" i="8"/>
  <c r="BN20" i="8"/>
  <c r="BL3" i="8"/>
  <c r="BL4" i="8"/>
  <c r="BL5" i="8"/>
  <c r="BL6" i="8"/>
  <c r="BL7" i="8"/>
  <c r="BL8" i="8"/>
  <c r="BL9" i="8"/>
  <c r="BL10" i="8"/>
  <c r="BL11" i="8"/>
  <c r="BL12" i="8"/>
  <c r="BL13" i="8"/>
  <c r="BL14" i="8"/>
  <c r="BL15" i="8"/>
  <c r="BL16" i="8"/>
  <c r="BL17" i="8"/>
  <c r="BL18" i="8"/>
  <c r="BL19" i="8"/>
  <c r="BJ3" i="8"/>
  <c r="BJ4" i="8"/>
  <c r="BJ5" i="8"/>
  <c r="BJ6" i="8"/>
  <c r="BJ7" i="8"/>
  <c r="BJ8" i="8"/>
  <c r="BJ9" i="8"/>
  <c r="BJ10" i="8"/>
  <c r="BJ11" i="8"/>
  <c r="BJ12" i="8"/>
  <c r="BJ13" i="8"/>
  <c r="BJ14" i="8"/>
  <c r="BJ15" i="8"/>
  <c r="BJ16" i="8"/>
  <c r="BJ17" i="8"/>
  <c r="BJ18" i="8"/>
  <c r="BJ19" i="8"/>
  <c r="BI17" i="8"/>
  <c r="BI19" i="8"/>
  <c r="BI3" i="8"/>
  <c r="BI4" i="8"/>
  <c r="BI6" i="8"/>
  <c r="BI9" i="8"/>
  <c r="BI11" i="8"/>
  <c r="BI12" i="8"/>
  <c r="BI14" i="8"/>
  <c r="BI16" i="8"/>
  <c r="AY3" i="8"/>
  <c r="AY4" i="8"/>
  <c r="AY5" i="8"/>
  <c r="AY6" i="8"/>
  <c r="AY7" i="8"/>
  <c r="AY8" i="8"/>
  <c r="AY9" i="8"/>
  <c r="AY12" i="8"/>
  <c r="AY14" i="8"/>
  <c r="AY15" i="8"/>
  <c r="AY16" i="8"/>
  <c r="AY17" i="8"/>
  <c r="AY18" i="8"/>
  <c r="AY19" i="8"/>
  <c r="AZ3" i="8"/>
  <c r="BA3" i="8"/>
  <c r="BB3" i="8"/>
  <c r="BC3" i="8"/>
  <c r="BD3" i="8"/>
  <c r="BE3" i="8"/>
  <c r="BF3" i="8"/>
  <c r="BG3" i="8"/>
  <c r="BH3" i="8"/>
  <c r="AZ4" i="8"/>
  <c r="BA4" i="8"/>
  <c r="BB4" i="8"/>
  <c r="BC4" i="8"/>
  <c r="BD4" i="8"/>
  <c r="BE4" i="8"/>
  <c r="BF4" i="8"/>
  <c r="BG4" i="8"/>
  <c r="BH4" i="8"/>
  <c r="BA5" i="8"/>
  <c r="BB5" i="8"/>
  <c r="BD5" i="8"/>
  <c r="BE5" i="8"/>
  <c r="BH5" i="8"/>
  <c r="AZ6" i="8"/>
  <c r="BA6" i="8"/>
  <c r="BB6" i="8"/>
  <c r="BC6" i="8"/>
  <c r="BD6" i="8"/>
  <c r="BE6" i="8"/>
  <c r="BF6" i="8"/>
  <c r="BG6" i="8"/>
  <c r="BH6" i="8"/>
  <c r="BA7" i="8"/>
  <c r="BB7" i="8"/>
  <c r="BD7" i="8"/>
  <c r="BE7" i="8"/>
  <c r="BH7" i="8"/>
  <c r="BA8" i="8"/>
  <c r="BB8" i="8"/>
  <c r="BD8" i="8"/>
  <c r="BE8" i="8"/>
  <c r="BH8" i="8"/>
  <c r="AZ9" i="8"/>
  <c r="BA9" i="8"/>
  <c r="BB9" i="8"/>
  <c r="BC9" i="8"/>
  <c r="BD9" i="8"/>
  <c r="BE9" i="8"/>
  <c r="BF9" i="8"/>
  <c r="BG9" i="8"/>
  <c r="BH9" i="8"/>
  <c r="BA10" i="8"/>
  <c r="BB10" i="8"/>
  <c r="BD10" i="8"/>
  <c r="BE10" i="8"/>
  <c r="BH10" i="8"/>
  <c r="AZ11" i="8"/>
  <c r="BA11" i="8"/>
  <c r="BB11" i="8"/>
  <c r="BC11" i="8"/>
  <c r="BD11" i="8"/>
  <c r="BE11" i="8"/>
  <c r="BF11" i="8"/>
  <c r="BG11" i="8"/>
  <c r="BH11" i="8"/>
  <c r="AZ12" i="8"/>
  <c r="BA12" i="8"/>
  <c r="BB12" i="8"/>
  <c r="BC12" i="8"/>
  <c r="BD12" i="8"/>
  <c r="BE12" i="8"/>
  <c r="BF12" i="8"/>
  <c r="BG12" i="8"/>
  <c r="BH12" i="8"/>
  <c r="BA13" i="8"/>
  <c r="BB13" i="8"/>
  <c r="BD13" i="8"/>
  <c r="BH13" i="8"/>
  <c r="AZ14" i="8"/>
  <c r="BA14" i="8"/>
  <c r="BB14" i="8"/>
  <c r="BC14" i="8"/>
  <c r="BD14" i="8"/>
  <c r="BE14" i="8"/>
  <c r="BF14" i="8"/>
  <c r="BG14" i="8"/>
  <c r="BH14" i="8"/>
  <c r="AZ15" i="8"/>
  <c r="BA15" i="8"/>
  <c r="BB15" i="8"/>
  <c r="BC15" i="8"/>
  <c r="BD15" i="8"/>
  <c r="BE15" i="8"/>
  <c r="BF15" i="8"/>
  <c r="BG15" i="8"/>
  <c r="BH15" i="8"/>
  <c r="AZ16" i="8"/>
  <c r="BA16" i="8"/>
  <c r="BB16" i="8"/>
  <c r="BC16" i="8"/>
  <c r="BD16" i="8"/>
  <c r="BE16" i="8"/>
  <c r="BF16" i="8"/>
  <c r="BG16" i="8"/>
  <c r="BH16" i="8"/>
  <c r="AZ17" i="8"/>
  <c r="BA17" i="8"/>
  <c r="BB17" i="8"/>
  <c r="BC17" i="8"/>
  <c r="BD17" i="8"/>
  <c r="BE17" i="8"/>
  <c r="BF17" i="8"/>
  <c r="BG17" i="8"/>
  <c r="BH17" i="8"/>
  <c r="BA18" i="8"/>
  <c r="BB18" i="8"/>
  <c r="BD18" i="8"/>
  <c r="BE18" i="8"/>
  <c r="BH18" i="8"/>
  <c r="AZ19" i="8"/>
  <c r="BA19" i="8"/>
  <c r="BB19" i="8"/>
  <c r="BC19" i="8"/>
  <c r="BD19" i="8"/>
  <c r="BE19" i="8"/>
  <c r="BF19" i="8"/>
  <c r="BG19" i="8"/>
  <c r="BH19" i="8"/>
  <c r="BK3" i="8"/>
  <c r="BK4" i="8"/>
  <c r="BK5" i="8"/>
  <c r="BK7" i="8"/>
  <c r="BK9" i="8"/>
  <c r="BK10" i="8"/>
  <c r="BK11" i="8"/>
  <c r="BK12" i="8"/>
  <c r="BK13" i="8"/>
  <c r="BK14" i="8"/>
  <c r="BK15" i="8"/>
  <c r="BK16" i="8"/>
  <c r="BK17" i="8"/>
  <c r="BK19" i="8"/>
  <c r="BK8" i="8"/>
  <c r="AB6" i="8"/>
  <c r="Z5" i="8"/>
  <c r="AU6" i="8"/>
  <c r="BQ5" i="8"/>
  <c r="AJ9" i="8"/>
  <c r="Y6" i="8"/>
  <c r="Y3" i="8"/>
  <c r="Y4" i="8"/>
  <c r="Y5" i="8"/>
  <c r="Y9" i="8"/>
  <c r="Y11" i="8"/>
  <c r="Y12" i="8"/>
  <c r="Y14" i="8"/>
  <c r="Y15" i="8"/>
  <c r="Y17" i="8"/>
  <c r="Y19" i="8"/>
  <c r="AA3" i="8"/>
  <c r="AA4" i="8"/>
  <c r="AA5" i="8"/>
  <c r="AA6" i="8"/>
  <c r="AA9" i="8"/>
  <c r="AA11" i="8"/>
  <c r="AA12" i="8"/>
  <c r="AA14" i="8"/>
  <c r="AA16" i="8"/>
  <c r="AA17" i="8"/>
  <c r="AA19" i="8"/>
  <c r="AB13" i="7"/>
  <c r="AB4" i="7"/>
  <c r="AB5" i="7"/>
  <c r="AB6" i="7"/>
  <c r="AB7" i="7"/>
  <c r="AB8" i="7"/>
  <c r="AB9" i="7"/>
  <c r="AB10" i="7"/>
  <c r="AB11" i="7"/>
  <c r="AB12" i="7"/>
  <c r="AB14" i="7"/>
  <c r="AB15" i="7"/>
  <c r="AB16" i="7"/>
  <c r="AB17" i="7"/>
  <c r="AB18" i="7"/>
  <c r="AB19" i="7"/>
  <c r="AB20" i="7"/>
  <c r="AB3" i="7"/>
  <c r="AB10" i="8"/>
  <c r="AB4" i="8"/>
  <c r="AB5" i="8"/>
  <c r="AB7" i="8"/>
  <c r="AB8" i="8"/>
  <c r="AB9" i="8"/>
  <c r="AB11" i="8"/>
  <c r="AB12" i="8"/>
  <c r="AB13" i="8"/>
  <c r="AB14" i="8"/>
  <c r="AB16" i="8"/>
  <c r="AB17" i="8"/>
  <c r="AB18" i="8"/>
  <c r="AB19" i="8"/>
  <c r="AB20" i="8"/>
  <c r="AB3" i="8"/>
  <c r="AC3" i="8"/>
  <c r="AD3" i="8"/>
  <c r="AE3" i="8"/>
  <c r="AF3" i="8"/>
  <c r="AD4" i="8"/>
  <c r="AE4" i="8"/>
  <c r="AF4" i="8"/>
  <c r="AC5" i="8"/>
  <c r="AD5" i="8"/>
  <c r="AE5" i="8"/>
  <c r="AF5" i="8"/>
  <c r="AD6" i="8"/>
  <c r="AE6" i="8"/>
  <c r="AF6" i="8"/>
  <c r="AC9" i="8"/>
  <c r="AD9" i="8"/>
  <c r="AE9" i="8"/>
  <c r="AF9" i="8"/>
  <c r="AD11" i="8"/>
  <c r="AE11" i="8"/>
  <c r="AF11" i="8"/>
  <c r="AC12" i="8"/>
  <c r="AD12" i="8"/>
  <c r="AE12" i="8"/>
  <c r="AF12" i="8"/>
  <c r="AC14" i="8"/>
  <c r="AD14" i="8"/>
  <c r="AE14" i="8"/>
  <c r="AF14" i="8"/>
  <c r="AE15" i="8"/>
  <c r="AF15" i="8"/>
  <c r="AC16" i="8"/>
  <c r="AD16" i="8"/>
  <c r="AE16" i="8"/>
  <c r="AF16" i="8"/>
  <c r="AD17" i="8"/>
  <c r="AE17" i="8"/>
  <c r="AF17" i="8"/>
  <c r="AC19" i="8"/>
  <c r="AD19" i="8"/>
  <c r="AE19" i="8"/>
  <c r="AF19" i="8"/>
  <c r="AJ4" i="8"/>
  <c r="AJ3" i="8"/>
  <c r="AJ6" i="8"/>
  <c r="AJ11" i="8"/>
  <c r="AJ12" i="8"/>
  <c r="AJ14" i="8"/>
  <c r="AJ15" i="8"/>
  <c r="AJ16" i="8"/>
  <c r="AJ17" i="8"/>
  <c r="AJ19" i="8"/>
  <c r="AK3" i="8"/>
  <c r="AK4" i="8"/>
  <c r="AK5" i="8"/>
  <c r="AK6" i="8"/>
  <c r="AK9" i="8"/>
  <c r="AK11" i="8"/>
  <c r="AK12" i="8"/>
  <c r="AK14" i="8"/>
  <c r="AK15" i="8"/>
  <c r="AK17" i="8"/>
  <c r="AK19" i="8"/>
  <c r="AO3" i="8"/>
  <c r="AO4" i="8"/>
  <c r="AO5" i="8"/>
  <c r="AO6" i="8"/>
  <c r="AO9" i="8"/>
  <c r="AO11" i="8"/>
  <c r="AO12" i="8"/>
  <c r="AO14" i="8"/>
  <c r="AO15" i="8"/>
  <c r="AO16" i="8"/>
  <c r="AO17" i="8"/>
  <c r="AO19" i="8"/>
  <c r="AU3" i="8"/>
  <c r="AU4" i="8"/>
  <c r="AU5" i="8"/>
  <c r="AU9" i="8"/>
  <c r="AU11" i="8"/>
  <c r="AU12" i="8"/>
  <c r="AU14" i="8"/>
  <c r="AU15" i="8"/>
  <c r="AU16" i="8"/>
  <c r="AU17" i="8"/>
  <c r="AU19" i="8"/>
  <c r="Z4" i="8"/>
  <c r="Z6" i="8"/>
  <c r="Z9" i="8"/>
  <c r="Z10" i="8"/>
  <c r="Z12" i="8"/>
  <c r="Z13" i="8"/>
  <c r="Z14" i="8"/>
  <c r="Z17" i="8"/>
  <c r="Z18" i="8"/>
  <c r="Z19" i="8"/>
  <c r="AG3" i="8"/>
  <c r="AH3" i="8"/>
  <c r="AI3" i="8"/>
  <c r="AG4" i="8"/>
  <c r="AH4" i="8"/>
  <c r="AI4" i="8"/>
  <c r="AG5" i="8"/>
  <c r="AH5" i="8"/>
  <c r="AI5" i="8"/>
  <c r="AG6" i="8"/>
  <c r="AH6" i="8"/>
  <c r="AI6" i="8"/>
  <c r="AG7" i="8"/>
  <c r="AH7" i="8"/>
  <c r="AI7" i="8"/>
  <c r="AG8" i="8"/>
  <c r="AH8" i="8"/>
  <c r="AI8" i="8"/>
  <c r="AG9" i="8"/>
  <c r="AH9" i="8"/>
  <c r="AI9" i="8"/>
  <c r="AG10" i="8"/>
  <c r="AH10" i="8"/>
  <c r="AI10" i="8"/>
  <c r="AG11" i="8"/>
  <c r="AH11" i="8"/>
  <c r="AI11" i="8"/>
  <c r="AG12" i="8"/>
  <c r="AH12" i="8"/>
  <c r="AI12" i="8"/>
  <c r="AG13" i="8"/>
  <c r="AH13" i="8"/>
  <c r="AI13" i="8"/>
  <c r="AG14" i="8"/>
  <c r="AH14" i="8"/>
  <c r="AI14" i="8"/>
  <c r="AG15" i="8"/>
  <c r="AH15" i="8"/>
  <c r="AI15" i="8"/>
  <c r="AG16" i="8"/>
  <c r="AH16" i="8"/>
  <c r="AI16" i="8"/>
  <c r="AG17" i="8"/>
  <c r="AH17" i="8"/>
  <c r="AI17" i="8"/>
  <c r="AG18" i="8"/>
  <c r="AH18" i="8"/>
  <c r="AI18" i="8"/>
  <c r="AG19" i="8"/>
  <c r="AH19" i="8"/>
  <c r="AI19" i="8"/>
  <c r="AN19" i="8"/>
  <c r="AM19" i="8"/>
  <c r="AM3" i="8"/>
  <c r="AN3" i="8"/>
  <c r="AM4" i="8"/>
  <c r="AN4" i="8"/>
  <c r="AM5" i="8"/>
  <c r="AN5" i="8"/>
  <c r="AM6" i="8"/>
  <c r="AN6" i="8"/>
  <c r="AM7" i="8"/>
  <c r="AN7" i="8"/>
  <c r="AM8" i="8"/>
  <c r="AN8" i="8"/>
  <c r="AM9" i="8"/>
  <c r="AN9" i="8"/>
  <c r="AM10" i="8"/>
  <c r="AN10" i="8"/>
  <c r="AM11" i="8"/>
  <c r="AN11" i="8"/>
  <c r="AM12" i="8"/>
  <c r="AN12" i="8"/>
  <c r="AM13" i="8"/>
  <c r="AN13" i="8"/>
  <c r="AM14" i="8"/>
  <c r="AN14" i="8"/>
  <c r="AM15" i="8"/>
  <c r="AN15" i="8"/>
  <c r="AM16" i="8"/>
  <c r="AN16" i="8"/>
  <c r="AM17" i="8"/>
  <c r="AN17" i="8"/>
  <c r="AN18" i="8"/>
  <c r="AM18" i="8"/>
  <c r="AP3" i="8"/>
  <c r="AQ3" i="8"/>
  <c r="AR3" i="8"/>
  <c r="AS3" i="8"/>
  <c r="AT3" i="8"/>
  <c r="AP4" i="8"/>
  <c r="AQ4" i="8"/>
  <c r="AR4" i="8"/>
  <c r="AS4" i="8"/>
  <c r="AT4" i="8"/>
  <c r="AP5" i="8"/>
  <c r="AQ5" i="8"/>
  <c r="AR5" i="8"/>
  <c r="AS5" i="8"/>
  <c r="AT5" i="8"/>
  <c r="AP6" i="8"/>
  <c r="AQ6" i="8"/>
  <c r="AR6" i="8"/>
  <c r="AS6" i="8"/>
  <c r="AT6" i="8"/>
  <c r="AP7" i="8"/>
  <c r="AQ7" i="8"/>
  <c r="AR7" i="8"/>
  <c r="AS7" i="8"/>
  <c r="AT7" i="8"/>
  <c r="AP8" i="8"/>
  <c r="AQ8" i="8"/>
  <c r="AR8" i="8"/>
  <c r="AS8" i="8"/>
  <c r="AT8" i="8"/>
  <c r="AP9" i="8"/>
  <c r="AQ9" i="8"/>
  <c r="AR9" i="8"/>
  <c r="AS9" i="8"/>
  <c r="AT9" i="8"/>
  <c r="AP10" i="8"/>
  <c r="AQ10" i="8"/>
  <c r="AR10" i="8"/>
  <c r="AS10" i="8"/>
  <c r="AT10" i="8"/>
  <c r="AP11" i="8"/>
  <c r="AQ11" i="8"/>
  <c r="AR11" i="8"/>
  <c r="AS11" i="8"/>
  <c r="AT11" i="8"/>
  <c r="AP12" i="8"/>
  <c r="AQ12" i="8"/>
  <c r="AR12" i="8"/>
  <c r="AS12" i="8"/>
  <c r="AT12" i="8"/>
  <c r="AP13" i="8"/>
  <c r="AQ13" i="8"/>
  <c r="AR13" i="8"/>
  <c r="AS13" i="8"/>
  <c r="AT13" i="8"/>
  <c r="AP14" i="8"/>
  <c r="AQ14" i="8"/>
  <c r="AR14" i="8"/>
  <c r="AS14" i="8"/>
  <c r="AT14" i="8"/>
  <c r="AP15" i="8"/>
  <c r="AQ15" i="8"/>
  <c r="AR15" i="8"/>
  <c r="AS15" i="8"/>
  <c r="AT15" i="8"/>
  <c r="AP16" i="8"/>
  <c r="X16" i="8" s="1"/>
  <c r="AQ16" i="8"/>
  <c r="AR16" i="8"/>
  <c r="AS16" i="8"/>
  <c r="AT16" i="8"/>
  <c r="AP17" i="8"/>
  <c r="AQ17" i="8"/>
  <c r="AR17" i="8"/>
  <c r="AS17" i="8"/>
  <c r="AT17" i="8"/>
  <c r="AP18" i="8"/>
  <c r="AQ18" i="8"/>
  <c r="AR18" i="8"/>
  <c r="AS18" i="8"/>
  <c r="AT18" i="8"/>
  <c r="AP19" i="8"/>
  <c r="AQ19" i="8"/>
  <c r="AR19" i="8"/>
  <c r="AS19" i="8"/>
  <c r="AT19" i="8"/>
  <c r="AV3" i="8"/>
  <c r="AV4" i="8"/>
  <c r="AV5" i="8"/>
  <c r="AV6" i="8"/>
  <c r="AV7" i="8"/>
  <c r="AV8" i="8"/>
  <c r="AV9" i="8"/>
  <c r="AV10" i="8"/>
  <c r="AV11" i="8"/>
  <c r="AV12" i="8"/>
  <c r="AV13" i="8"/>
  <c r="AV14" i="8"/>
  <c r="AV15" i="8"/>
  <c r="AV16" i="8"/>
  <c r="BQ7" i="8"/>
  <c r="BQ10" i="8"/>
  <c r="BQ13" i="8"/>
  <c r="BQ18" i="8"/>
  <c r="BO20" i="8"/>
  <c r="BM20" i="8"/>
  <c r="BL20" i="8"/>
  <c r="BK20" i="8"/>
  <c r="BJ20" i="8"/>
  <c r="BI20" i="8"/>
  <c r="BH20" i="8"/>
  <c r="BG20" i="8"/>
  <c r="BF20" i="8"/>
  <c r="BE20" i="8"/>
  <c r="BC20" i="8"/>
  <c r="BB20" i="8"/>
  <c r="BA20" i="8"/>
  <c r="AZ20" i="8"/>
  <c r="AY20" i="8"/>
  <c r="AV20" i="8"/>
  <c r="AU20" i="8"/>
  <c r="AT20" i="8"/>
  <c r="AS20" i="8"/>
  <c r="AR20" i="8"/>
  <c r="AQ20" i="8"/>
  <c r="AP20" i="8"/>
  <c r="AO20" i="8"/>
  <c r="AN20" i="8"/>
  <c r="AM20" i="8"/>
  <c r="AK20" i="8"/>
  <c r="AJ20" i="8"/>
  <c r="AI20" i="8"/>
  <c r="AH20" i="8"/>
  <c r="AG20" i="8"/>
  <c r="AF20" i="8"/>
  <c r="AE20" i="8"/>
  <c r="AD20" i="8"/>
  <c r="AC20" i="8"/>
  <c r="AA20" i="8"/>
  <c r="Y20" i="8"/>
  <c r="W20" i="8"/>
  <c r="V20" i="8"/>
  <c r="U20" i="8"/>
  <c r="T20" i="8"/>
  <c r="S20" i="8"/>
  <c r="R20" i="8"/>
  <c r="Q20" i="8"/>
  <c r="N20" i="8"/>
  <c r="M20" i="8"/>
  <c r="L20" i="8"/>
  <c r="K20" i="8"/>
  <c r="J20" i="8"/>
  <c r="H20" i="8"/>
  <c r="F20" i="8"/>
  <c r="AZ5" i="7"/>
  <c r="AZ10" i="7"/>
  <c r="AZ11" i="7"/>
  <c r="AZ12" i="7"/>
  <c r="AZ14" i="7"/>
  <c r="AZ15" i="7"/>
  <c r="AZ16" i="7"/>
  <c r="AZ17" i="7"/>
  <c r="AZ19" i="7"/>
  <c r="BC5" i="7"/>
  <c r="BC10" i="7"/>
  <c r="BC11" i="7"/>
  <c r="BC12" i="7"/>
  <c r="BC14" i="7"/>
  <c r="BC15" i="7"/>
  <c r="BC16" i="7"/>
  <c r="BC17" i="7"/>
  <c r="BC19" i="7"/>
  <c r="BF5" i="7"/>
  <c r="BG5" i="7"/>
  <c r="BF10" i="7"/>
  <c r="BG10" i="7"/>
  <c r="BF11" i="7"/>
  <c r="BG11" i="7"/>
  <c r="BF12" i="7"/>
  <c r="BG12" i="7"/>
  <c r="BF14" i="7"/>
  <c r="BG14" i="7"/>
  <c r="BF15" i="7"/>
  <c r="BG15" i="7"/>
  <c r="BF16" i="7"/>
  <c r="BG16" i="7"/>
  <c r="BF17" i="7"/>
  <c r="BG17" i="7"/>
  <c r="BF19" i="7"/>
  <c r="BG19" i="7"/>
  <c r="BI5" i="7"/>
  <c r="BI10" i="7"/>
  <c r="BI11" i="7"/>
  <c r="BI12" i="7"/>
  <c r="BI14" i="7"/>
  <c r="BI15" i="7"/>
  <c r="BI16" i="7"/>
  <c r="BI17" i="7"/>
  <c r="BI19" i="7"/>
  <c r="BM5" i="7"/>
  <c r="BN5" i="7"/>
  <c r="BO5" i="7"/>
  <c r="BM10" i="7"/>
  <c r="BN10" i="7"/>
  <c r="BO10" i="7"/>
  <c r="BM11" i="7"/>
  <c r="BN11" i="7"/>
  <c r="BO11" i="7"/>
  <c r="BM12" i="7"/>
  <c r="BN12" i="7"/>
  <c r="BO12" i="7"/>
  <c r="BM14" i="7"/>
  <c r="BN14" i="7"/>
  <c r="BO14" i="7"/>
  <c r="BM15" i="7"/>
  <c r="BN15" i="7"/>
  <c r="BO15" i="7"/>
  <c r="BM16" i="7"/>
  <c r="BN16" i="7"/>
  <c r="BO16" i="7"/>
  <c r="BM17" i="7"/>
  <c r="BN17" i="7"/>
  <c r="BO17" i="7"/>
  <c r="BM19" i="7"/>
  <c r="BN19" i="7"/>
  <c r="BO19" i="7"/>
  <c r="BJ3" i="7"/>
  <c r="BK3" i="7"/>
  <c r="BL3" i="7"/>
  <c r="BJ4" i="7"/>
  <c r="BK4" i="7"/>
  <c r="BL4" i="7"/>
  <c r="BJ5" i="7"/>
  <c r="BK5" i="7"/>
  <c r="BL5" i="7"/>
  <c r="BJ6" i="7"/>
  <c r="BL6" i="7"/>
  <c r="BJ7" i="7"/>
  <c r="BK7" i="7"/>
  <c r="BL7" i="7"/>
  <c r="BJ8" i="7"/>
  <c r="BL8" i="7"/>
  <c r="BJ9" i="7"/>
  <c r="BL9" i="7"/>
  <c r="BJ10" i="7"/>
  <c r="BK10" i="7"/>
  <c r="BL10" i="7"/>
  <c r="BJ11" i="7"/>
  <c r="BK11" i="7"/>
  <c r="BL11" i="7"/>
  <c r="BJ12" i="7"/>
  <c r="BK12" i="7"/>
  <c r="BL12" i="7"/>
  <c r="BJ13" i="7"/>
  <c r="BK13" i="7"/>
  <c r="BL13" i="7"/>
  <c r="BJ14" i="7"/>
  <c r="BK14" i="7"/>
  <c r="BL14" i="7"/>
  <c r="BJ15" i="7"/>
  <c r="BK15" i="7"/>
  <c r="BL15" i="7"/>
  <c r="BJ16" i="7"/>
  <c r="BK16" i="7"/>
  <c r="BL16" i="7"/>
  <c r="BJ17" i="7"/>
  <c r="BK17" i="7"/>
  <c r="BL17" i="7"/>
  <c r="BJ18" i="7"/>
  <c r="BL18" i="7"/>
  <c r="BJ19" i="7"/>
  <c r="BK19" i="7"/>
  <c r="BL19" i="7"/>
  <c r="BH3" i="7"/>
  <c r="BH4" i="7"/>
  <c r="BH5" i="7"/>
  <c r="BH6" i="7"/>
  <c r="BH7" i="7"/>
  <c r="BH8" i="7"/>
  <c r="BH9" i="7"/>
  <c r="BH10" i="7"/>
  <c r="BH11" i="7"/>
  <c r="BH12" i="7"/>
  <c r="BH13" i="7"/>
  <c r="BH14" i="7"/>
  <c r="BH15" i="7"/>
  <c r="BH16" i="7"/>
  <c r="BH17" i="7"/>
  <c r="BH18" i="7"/>
  <c r="BH19" i="7"/>
  <c r="BA3" i="7"/>
  <c r="BB3" i="7"/>
  <c r="BA4" i="7"/>
  <c r="BB4" i="7"/>
  <c r="BA5" i="7"/>
  <c r="BB5" i="7"/>
  <c r="BA6" i="7"/>
  <c r="BB6" i="7"/>
  <c r="BA7" i="7"/>
  <c r="BB7" i="7"/>
  <c r="BA8" i="7"/>
  <c r="BB8" i="7"/>
  <c r="BA9" i="7"/>
  <c r="BB9" i="7"/>
  <c r="BA10" i="7"/>
  <c r="BB10" i="7"/>
  <c r="BA11" i="7"/>
  <c r="BB11" i="7"/>
  <c r="BA12" i="7"/>
  <c r="BB12" i="7"/>
  <c r="BA13" i="7"/>
  <c r="BB13" i="7"/>
  <c r="BA14" i="7"/>
  <c r="BB14" i="7"/>
  <c r="BA15" i="7"/>
  <c r="BB15" i="7"/>
  <c r="BA16" i="7"/>
  <c r="BB16" i="7"/>
  <c r="BA17" i="7"/>
  <c r="BB17" i="7"/>
  <c r="BA18" i="7"/>
  <c r="BB18" i="7"/>
  <c r="BA19" i="7"/>
  <c r="BB19" i="7"/>
  <c r="AY3" i="7"/>
  <c r="AY4" i="7"/>
  <c r="AY5" i="7"/>
  <c r="AY6" i="7"/>
  <c r="AY7" i="7"/>
  <c r="AY8" i="7"/>
  <c r="AY9" i="7"/>
  <c r="AY12" i="7"/>
  <c r="AY13" i="7"/>
  <c r="AY14" i="7"/>
  <c r="AY15" i="7"/>
  <c r="AY16" i="7"/>
  <c r="AY17" i="7"/>
  <c r="AY18" i="7"/>
  <c r="AY19" i="7"/>
  <c r="BE3" i="7"/>
  <c r="BE4" i="7"/>
  <c r="BE5" i="7"/>
  <c r="BE6" i="7"/>
  <c r="BE7" i="7"/>
  <c r="BE8" i="7"/>
  <c r="BE9" i="7"/>
  <c r="BE10" i="7"/>
  <c r="BE11" i="7"/>
  <c r="BE12" i="7"/>
  <c r="BE14" i="7"/>
  <c r="BE15" i="7"/>
  <c r="BE16" i="7"/>
  <c r="BE17" i="7"/>
  <c r="BE18" i="7"/>
  <c r="BE19" i="7"/>
  <c r="BD3" i="7"/>
  <c r="BD4" i="7"/>
  <c r="BD5" i="7"/>
  <c r="BD6" i="7"/>
  <c r="BD7" i="7"/>
  <c r="BD8" i="7"/>
  <c r="BD9" i="7"/>
  <c r="BD10" i="7"/>
  <c r="BD12" i="7"/>
  <c r="BD11" i="7"/>
  <c r="BD14" i="7"/>
  <c r="BD15" i="7"/>
  <c r="BD16" i="7"/>
  <c r="BD17" i="7"/>
  <c r="BD18" i="7"/>
  <c r="BD19" i="7"/>
  <c r="AU15" i="7"/>
  <c r="AU5" i="7"/>
  <c r="AU10" i="7"/>
  <c r="AU11" i="7"/>
  <c r="AU12" i="7"/>
  <c r="AU14" i="7"/>
  <c r="AU16" i="7"/>
  <c r="AU17" i="7"/>
  <c r="AU19" i="7"/>
  <c r="AO5" i="7"/>
  <c r="AO10" i="7"/>
  <c r="AO11" i="7"/>
  <c r="AO12" i="7"/>
  <c r="AO14" i="7"/>
  <c r="AO15" i="7"/>
  <c r="AO16" i="7"/>
  <c r="AO17" i="7"/>
  <c r="AO19" i="7"/>
  <c r="AJ5" i="7"/>
  <c r="AK5" i="7"/>
  <c r="AJ10" i="7"/>
  <c r="AK10" i="7"/>
  <c r="AJ11" i="7"/>
  <c r="AK11" i="7"/>
  <c r="AJ12" i="7"/>
  <c r="AK12" i="7"/>
  <c r="AJ14" i="7"/>
  <c r="AK14" i="7"/>
  <c r="AJ15" i="7"/>
  <c r="AK15" i="7"/>
  <c r="AJ16" i="7"/>
  <c r="AK16" i="7"/>
  <c r="AJ17" i="7"/>
  <c r="AK17" i="7"/>
  <c r="AJ19" i="7"/>
  <c r="AK19" i="7"/>
  <c r="AA5" i="7"/>
  <c r="AC5" i="7"/>
  <c r="AD5" i="7"/>
  <c r="AE5" i="7"/>
  <c r="AF5" i="7"/>
  <c r="AA10" i="7"/>
  <c r="AC10" i="7"/>
  <c r="AD10" i="7"/>
  <c r="AE10" i="7"/>
  <c r="AF10" i="7"/>
  <c r="AA11" i="7"/>
  <c r="AD11" i="7"/>
  <c r="AE11" i="7"/>
  <c r="AF11" i="7"/>
  <c r="AA12" i="7"/>
  <c r="AC12" i="7"/>
  <c r="AD12" i="7"/>
  <c r="AE12" i="7"/>
  <c r="AF12" i="7"/>
  <c r="AA14" i="7"/>
  <c r="AC14" i="7"/>
  <c r="AD14" i="7"/>
  <c r="AE14" i="7"/>
  <c r="AF14" i="7"/>
  <c r="AA15" i="7"/>
  <c r="AD15" i="7"/>
  <c r="AE15" i="7"/>
  <c r="AF15" i="7"/>
  <c r="AA16" i="7"/>
  <c r="AC16" i="7"/>
  <c r="AD16" i="7"/>
  <c r="AE16" i="7"/>
  <c r="AF16" i="7"/>
  <c r="AA17" i="7"/>
  <c r="AD17" i="7"/>
  <c r="AE17" i="7"/>
  <c r="AF17" i="7"/>
  <c r="AA19" i="7"/>
  <c r="AC19" i="7"/>
  <c r="AD19" i="7"/>
  <c r="AE19" i="7"/>
  <c r="AF19" i="7"/>
  <c r="Y5" i="7"/>
  <c r="Y10" i="7"/>
  <c r="Y11" i="7"/>
  <c r="Y12" i="7"/>
  <c r="Y15" i="7"/>
  <c r="Y19" i="7"/>
  <c r="Y17" i="7"/>
  <c r="Y16" i="7"/>
  <c r="AV3" i="7"/>
  <c r="AV4" i="7"/>
  <c r="AV5" i="7"/>
  <c r="AV6" i="7"/>
  <c r="AV7" i="7"/>
  <c r="AV8" i="7"/>
  <c r="AV9" i="7"/>
  <c r="AV10" i="7"/>
  <c r="AV11" i="7"/>
  <c r="AV12" i="7"/>
  <c r="AV14" i="7"/>
  <c r="AV15" i="7"/>
  <c r="AV16" i="7"/>
  <c r="AP3" i="7"/>
  <c r="AQ3" i="7"/>
  <c r="AR3" i="7"/>
  <c r="AS3" i="7"/>
  <c r="AT3" i="7"/>
  <c r="AP4" i="7"/>
  <c r="AQ4" i="7"/>
  <c r="AR4" i="7"/>
  <c r="AS4" i="7"/>
  <c r="AT4" i="7"/>
  <c r="AP5" i="7"/>
  <c r="AQ5" i="7"/>
  <c r="AR5" i="7"/>
  <c r="AS5" i="7"/>
  <c r="AT5" i="7"/>
  <c r="AP6" i="7"/>
  <c r="AQ6" i="7"/>
  <c r="AR6" i="7"/>
  <c r="AS6" i="7"/>
  <c r="AT6" i="7"/>
  <c r="AP7" i="7"/>
  <c r="AQ7" i="7"/>
  <c r="AR7" i="7"/>
  <c r="AS7" i="7"/>
  <c r="AT7" i="7"/>
  <c r="AP8" i="7"/>
  <c r="AQ8" i="7"/>
  <c r="AR8" i="7"/>
  <c r="AS8" i="7"/>
  <c r="AT8" i="7"/>
  <c r="AP9" i="7"/>
  <c r="AQ9" i="7"/>
  <c r="AR9" i="7"/>
  <c r="AS9" i="7"/>
  <c r="AT9" i="7"/>
  <c r="AP10" i="7"/>
  <c r="AQ10" i="7"/>
  <c r="AR10" i="7"/>
  <c r="AS10" i="7"/>
  <c r="AT10" i="7"/>
  <c r="AP11" i="7"/>
  <c r="AQ11" i="7"/>
  <c r="AR11" i="7"/>
  <c r="AS11" i="7"/>
  <c r="AT11" i="7"/>
  <c r="AP12" i="7"/>
  <c r="AQ12" i="7"/>
  <c r="AR12" i="7"/>
  <c r="AS12" i="7"/>
  <c r="AT12" i="7"/>
  <c r="AP13" i="7"/>
  <c r="AQ13" i="7"/>
  <c r="AR13" i="7"/>
  <c r="AS13" i="7"/>
  <c r="AT13" i="7"/>
  <c r="AP14" i="7"/>
  <c r="AQ14" i="7"/>
  <c r="AR14" i="7"/>
  <c r="AS14" i="7"/>
  <c r="AT14" i="7"/>
  <c r="AP15" i="7"/>
  <c r="AQ15" i="7"/>
  <c r="AR15" i="7"/>
  <c r="AS15" i="7"/>
  <c r="AT15" i="7"/>
  <c r="AP16" i="7"/>
  <c r="AQ16" i="7"/>
  <c r="AR16" i="7"/>
  <c r="AS16" i="7"/>
  <c r="AT16" i="7"/>
  <c r="AT17" i="7"/>
  <c r="AS17" i="7"/>
  <c r="AR17" i="7"/>
  <c r="AQ17" i="7"/>
  <c r="AP17" i="7"/>
  <c r="AQ18" i="7"/>
  <c r="AR18" i="7"/>
  <c r="AS18" i="7"/>
  <c r="AT18" i="7"/>
  <c r="AP19" i="7"/>
  <c r="AQ19" i="7"/>
  <c r="AR19" i="7"/>
  <c r="AS19" i="7"/>
  <c r="AT19" i="7"/>
  <c r="AM3" i="7"/>
  <c r="AN3" i="7"/>
  <c r="AM4" i="7"/>
  <c r="AN4" i="7"/>
  <c r="AM5" i="7"/>
  <c r="AN5" i="7"/>
  <c r="AM6" i="7"/>
  <c r="AN6" i="7"/>
  <c r="AM7" i="7"/>
  <c r="AN7" i="7"/>
  <c r="AM8" i="7"/>
  <c r="AN8" i="7"/>
  <c r="AM9" i="7"/>
  <c r="AN9" i="7"/>
  <c r="AM10" i="7"/>
  <c r="AN10" i="7"/>
  <c r="AM11" i="7"/>
  <c r="AN11" i="7"/>
  <c r="AM12" i="7"/>
  <c r="AN12" i="7"/>
  <c r="AM13" i="7"/>
  <c r="AN13" i="7"/>
  <c r="AM14" i="7"/>
  <c r="AN14" i="7"/>
  <c r="AM15" i="7"/>
  <c r="AN15" i="7"/>
  <c r="AM16" i="7"/>
  <c r="AN16" i="7"/>
  <c r="AM17" i="7"/>
  <c r="AN17" i="7"/>
  <c r="AM18" i="7"/>
  <c r="AN18" i="7"/>
  <c r="AM19" i="7"/>
  <c r="AN19" i="7"/>
  <c r="AG3" i="7"/>
  <c r="AH3" i="7"/>
  <c r="AI3" i="7"/>
  <c r="AG4" i="7"/>
  <c r="AH4" i="7"/>
  <c r="AI4" i="7"/>
  <c r="AG5" i="7"/>
  <c r="AH5" i="7"/>
  <c r="AI5" i="7"/>
  <c r="AG6" i="7"/>
  <c r="AH6" i="7"/>
  <c r="AI6" i="7"/>
  <c r="AG7" i="7"/>
  <c r="AH7" i="7"/>
  <c r="AI7" i="7"/>
  <c r="AG8" i="7"/>
  <c r="AH8" i="7"/>
  <c r="AI8" i="7"/>
  <c r="AG9" i="7"/>
  <c r="AH9" i="7"/>
  <c r="AI9" i="7"/>
  <c r="AG10" i="7"/>
  <c r="AH10" i="7"/>
  <c r="AI10" i="7"/>
  <c r="AG11" i="7"/>
  <c r="AH11" i="7"/>
  <c r="AI11" i="7"/>
  <c r="AG12" i="7"/>
  <c r="AH12" i="7"/>
  <c r="AI12" i="7"/>
  <c r="AG13" i="7"/>
  <c r="AH13" i="7"/>
  <c r="AI13" i="7"/>
  <c r="AG14" i="7"/>
  <c r="AH14" i="7"/>
  <c r="AI14" i="7"/>
  <c r="AG15" i="7"/>
  <c r="AH15" i="7"/>
  <c r="AI15" i="7"/>
  <c r="AG16" i="7"/>
  <c r="AH16" i="7"/>
  <c r="AI16" i="7"/>
  <c r="AG17" i="7"/>
  <c r="AH17" i="7"/>
  <c r="AI17" i="7"/>
  <c r="AG18" i="7"/>
  <c r="AH18" i="7"/>
  <c r="AI18" i="7"/>
  <c r="AG19" i="7"/>
  <c r="AH19" i="7"/>
  <c r="AI19" i="7"/>
  <c r="Z4" i="7"/>
  <c r="Z5" i="7"/>
  <c r="Z6" i="7"/>
  <c r="Z10" i="7"/>
  <c r="Z12" i="7"/>
  <c r="Z13" i="7"/>
  <c r="Z14" i="7"/>
  <c r="Z15" i="7"/>
  <c r="Z16" i="7"/>
  <c r="Z17" i="7"/>
  <c r="Z18" i="7"/>
  <c r="Z19" i="7"/>
  <c r="BQ18" i="7"/>
  <c r="BQ13" i="7"/>
  <c r="BQ9" i="7"/>
  <c r="BQ7" i="7"/>
  <c r="BQ6" i="7"/>
  <c r="BQ4" i="7"/>
  <c r="BQ3" i="7"/>
  <c r="T3" i="7"/>
  <c r="U3" i="7"/>
  <c r="S3" i="7"/>
  <c r="R3" i="7"/>
  <c r="F3" i="7"/>
  <c r="H3" i="7"/>
  <c r="J3" i="7"/>
  <c r="K3" i="7"/>
  <c r="L3" i="7"/>
  <c r="M3" i="7"/>
  <c r="N3" i="7"/>
  <c r="Q3" i="7"/>
  <c r="U4" i="7"/>
  <c r="T4" i="7"/>
  <c r="S4" i="7"/>
  <c r="R4" i="7"/>
  <c r="Q4" i="7"/>
  <c r="N4" i="7"/>
  <c r="M4" i="7"/>
  <c r="L4" i="7"/>
  <c r="K4" i="7"/>
  <c r="J4" i="7"/>
  <c r="H4" i="7"/>
  <c r="F4" i="7"/>
  <c r="R5" i="7"/>
  <c r="S5" i="7"/>
  <c r="T5" i="7"/>
  <c r="U5" i="7"/>
  <c r="L5" i="7"/>
  <c r="K5" i="7"/>
  <c r="M5" i="7"/>
  <c r="N5" i="7"/>
  <c r="J5" i="7"/>
  <c r="Q5" i="7"/>
  <c r="H5" i="7"/>
  <c r="F5" i="7"/>
  <c r="S6" i="7"/>
  <c r="T6" i="7"/>
  <c r="R6" i="7"/>
  <c r="W6" i="7"/>
  <c r="V6" i="7"/>
  <c r="U6" i="7"/>
  <c r="Q6" i="7"/>
  <c r="N6" i="7"/>
  <c r="M6" i="7"/>
  <c r="L6" i="7"/>
  <c r="K6" i="7"/>
  <c r="J6" i="7"/>
  <c r="H6" i="7"/>
  <c r="F6" i="7"/>
  <c r="K7" i="7"/>
  <c r="L7" i="7"/>
  <c r="M7" i="7"/>
  <c r="N7" i="7"/>
  <c r="J7" i="7"/>
  <c r="F7" i="7"/>
  <c r="H7" i="7"/>
  <c r="Q7" i="7"/>
  <c r="R7" i="7"/>
  <c r="S7" i="7"/>
  <c r="T7" i="7"/>
  <c r="U7" i="7"/>
  <c r="V7" i="7"/>
  <c r="W7" i="7"/>
  <c r="S9" i="7"/>
  <c r="F8" i="7"/>
  <c r="H8" i="7"/>
  <c r="J8" i="7"/>
  <c r="K8" i="7"/>
  <c r="L8" i="7"/>
  <c r="M8" i="7"/>
  <c r="N8" i="7"/>
  <c r="Q8" i="7"/>
  <c r="R8" i="7"/>
  <c r="S8" i="7"/>
  <c r="T8" i="7"/>
  <c r="U8" i="7"/>
  <c r="F9" i="7"/>
  <c r="H9" i="7"/>
  <c r="J9" i="7"/>
  <c r="K9" i="7"/>
  <c r="L9" i="7"/>
  <c r="M9" i="7"/>
  <c r="N9" i="7"/>
  <c r="Q9" i="7"/>
  <c r="R9" i="7"/>
  <c r="T9" i="7"/>
  <c r="U9" i="7"/>
  <c r="W10" i="7"/>
  <c r="V10" i="7"/>
  <c r="U10" i="7"/>
  <c r="T10" i="7"/>
  <c r="S10" i="7"/>
  <c r="R10" i="7"/>
  <c r="Q10" i="7"/>
  <c r="N10" i="7"/>
  <c r="M10" i="7"/>
  <c r="L10" i="7"/>
  <c r="K10" i="7"/>
  <c r="J10" i="7"/>
  <c r="H10" i="7"/>
  <c r="F10" i="7"/>
  <c r="U11" i="7"/>
  <c r="T11" i="7"/>
  <c r="S11" i="7"/>
  <c r="R11" i="7"/>
  <c r="Q11" i="7"/>
  <c r="N11" i="7"/>
  <c r="M11" i="7"/>
  <c r="L11" i="7"/>
  <c r="K11" i="7"/>
  <c r="J11" i="7"/>
  <c r="H11" i="7"/>
  <c r="F11" i="7"/>
  <c r="H12" i="7"/>
  <c r="U12" i="7"/>
  <c r="T12" i="7"/>
  <c r="S12" i="7"/>
  <c r="R12" i="7"/>
  <c r="Q12" i="7"/>
  <c r="N12" i="7"/>
  <c r="M12" i="7"/>
  <c r="L12" i="7"/>
  <c r="K12" i="7"/>
  <c r="J12" i="7"/>
  <c r="F12" i="7"/>
  <c r="Q13" i="7"/>
  <c r="R13" i="7"/>
  <c r="S13" i="7"/>
  <c r="T13" i="7"/>
  <c r="U13" i="7"/>
  <c r="N13" i="7"/>
  <c r="M13" i="7"/>
  <c r="L13" i="7"/>
  <c r="K13" i="7"/>
  <c r="J13" i="7"/>
  <c r="H13" i="7"/>
  <c r="F13" i="7"/>
  <c r="K14" i="7"/>
  <c r="J14" i="7"/>
  <c r="F14" i="7"/>
  <c r="H14" i="7"/>
  <c r="M14" i="7"/>
  <c r="N14" i="7"/>
  <c r="Q14" i="7"/>
  <c r="R14" i="7"/>
  <c r="S14" i="7"/>
  <c r="T14" i="7"/>
  <c r="U14" i="7"/>
  <c r="V14" i="7"/>
  <c r="H19" i="7"/>
  <c r="F15" i="7"/>
  <c r="H15" i="7"/>
  <c r="J15" i="7"/>
  <c r="K15" i="7"/>
  <c r="L15" i="7"/>
  <c r="M15" i="7"/>
  <c r="N15" i="7"/>
  <c r="Q15" i="7"/>
  <c r="R15" i="7"/>
  <c r="S15" i="7"/>
  <c r="T15" i="7"/>
  <c r="U15" i="7"/>
  <c r="V15" i="7"/>
  <c r="F16" i="7"/>
  <c r="H16" i="7"/>
  <c r="J16" i="7"/>
  <c r="K16" i="7"/>
  <c r="L16" i="7"/>
  <c r="M16" i="7"/>
  <c r="N16" i="7"/>
  <c r="Q16" i="7"/>
  <c r="R16" i="7"/>
  <c r="S16" i="7"/>
  <c r="T16" i="7"/>
  <c r="U16" i="7"/>
  <c r="V16" i="7"/>
  <c r="F17" i="7"/>
  <c r="H17" i="7"/>
  <c r="J17" i="7"/>
  <c r="K17" i="7"/>
  <c r="L17" i="7"/>
  <c r="M17" i="7"/>
  <c r="N17" i="7"/>
  <c r="Q17" i="7"/>
  <c r="R17" i="7"/>
  <c r="S17" i="7"/>
  <c r="T17" i="7"/>
  <c r="U17" i="7"/>
  <c r="V17" i="7"/>
  <c r="F18" i="7"/>
  <c r="H18" i="7"/>
  <c r="J18" i="7"/>
  <c r="K18" i="7"/>
  <c r="L18" i="7"/>
  <c r="M18" i="7"/>
  <c r="N18" i="7"/>
  <c r="Q18" i="7"/>
  <c r="R18" i="7"/>
  <c r="S18" i="7"/>
  <c r="T18" i="7"/>
  <c r="U18" i="7"/>
  <c r="V18" i="7"/>
  <c r="F19" i="7"/>
  <c r="J19" i="7"/>
  <c r="K19" i="7"/>
  <c r="L19" i="7"/>
  <c r="M19" i="7"/>
  <c r="N19" i="7"/>
  <c r="Q19" i="7"/>
  <c r="R19" i="7"/>
  <c r="S19" i="7"/>
  <c r="T19" i="7"/>
  <c r="U19" i="7"/>
  <c r="V19" i="7"/>
  <c r="M20" i="7"/>
  <c r="N20" i="7"/>
  <c r="Q20" i="7"/>
  <c r="R20" i="7"/>
  <c r="S20" i="7"/>
  <c r="T20" i="7"/>
  <c r="U20" i="7"/>
  <c r="V20" i="7"/>
  <c r="L20" i="7"/>
  <c r="K20" i="7"/>
  <c r="J20" i="7"/>
  <c r="H20" i="7"/>
  <c r="V3" i="7"/>
  <c r="W3" i="7"/>
  <c r="W4" i="7"/>
  <c r="V4" i="7"/>
  <c r="W5" i="7"/>
  <c r="V5" i="7"/>
  <c r="W8" i="7"/>
  <c r="V9" i="7"/>
  <c r="W9" i="7"/>
  <c r="W11" i="7"/>
  <c r="V11" i="7"/>
  <c r="W12" i="7"/>
  <c r="V12" i="7"/>
  <c r="W13" i="7"/>
  <c r="V13" i="7"/>
  <c r="W14" i="7"/>
  <c r="W15" i="7"/>
  <c r="W16" i="7"/>
  <c r="W17" i="7"/>
  <c r="W18" i="7"/>
  <c r="W19" i="7"/>
  <c r="BO20" i="7"/>
  <c r="BN20" i="7"/>
  <c r="BM20" i="7"/>
  <c r="BI20" i="7"/>
  <c r="BG20" i="7"/>
  <c r="BF20" i="7"/>
  <c r="BC20" i="7"/>
  <c r="AZ20" i="7"/>
  <c r="AU20" i="7"/>
  <c r="AO20" i="7"/>
  <c r="AK20" i="7"/>
  <c r="AJ20" i="7"/>
  <c r="AF20" i="7"/>
  <c r="AE20" i="7"/>
  <c r="AD20" i="7"/>
  <c r="AC20" i="7"/>
  <c r="AA20" i="7"/>
  <c r="Y20" i="7"/>
  <c r="BL20" i="7"/>
  <c r="BK20" i="7"/>
  <c r="BJ20" i="7"/>
  <c r="BH20" i="7"/>
  <c r="BE20" i="7"/>
  <c r="BB20" i="7"/>
  <c r="BA20" i="7"/>
  <c r="AY20" i="7"/>
  <c r="AY3" i="5"/>
  <c r="AZ3" i="5"/>
  <c r="BA3" i="5"/>
  <c r="BB3" i="5"/>
  <c r="BC3" i="5"/>
  <c r="BD3" i="5"/>
  <c r="BE3" i="5"/>
  <c r="BF3" i="5"/>
  <c r="BG3" i="5"/>
  <c r="BH3" i="5"/>
  <c r="BI3" i="5"/>
  <c r="BJ3" i="5"/>
  <c r="BK3" i="5"/>
  <c r="BL3" i="5"/>
  <c r="BM3" i="5"/>
  <c r="BN3" i="5"/>
  <c r="BO3" i="5"/>
  <c r="AV20" i="7"/>
  <c r="AT20" i="7"/>
  <c r="AS20" i="7"/>
  <c r="AR20" i="7"/>
  <c r="AQ20" i="7"/>
  <c r="AP20" i="7"/>
  <c r="AN20" i="7"/>
  <c r="AM20" i="7"/>
  <c r="AI20" i="7"/>
  <c r="AH20" i="7"/>
  <c r="AG20" i="7"/>
  <c r="W20" i="7"/>
  <c r="AK20" i="6"/>
  <c r="AK20" i="5"/>
  <c r="AY19" i="6"/>
  <c r="AV17" i="4"/>
  <c r="AV18" i="4"/>
  <c r="AV19" i="4"/>
  <c r="AO19" i="5"/>
  <c r="AN19" i="5"/>
  <c r="AM19" i="5"/>
  <c r="AK19" i="5"/>
  <c r="Z19" i="5"/>
  <c r="K19" i="5"/>
  <c r="J19" i="5"/>
  <c r="AK18" i="6"/>
  <c r="AJ18" i="6"/>
  <c r="Y18" i="5"/>
  <c r="K18" i="5"/>
  <c r="L18" i="5"/>
  <c r="M18" i="5"/>
  <c r="N18" i="5"/>
  <c r="J18" i="5"/>
  <c r="BM17" i="6"/>
  <c r="BI17" i="6"/>
  <c r="AD17" i="6"/>
  <c r="J17" i="6"/>
  <c r="K17" i="6"/>
  <c r="J16" i="6"/>
  <c r="J16" i="5"/>
  <c r="J15" i="5"/>
  <c r="J4" i="5"/>
  <c r="AK16" i="6"/>
  <c r="AB16" i="6"/>
  <c r="Z16" i="6"/>
  <c r="L16" i="6"/>
  <c r="K16" i="6"/>
  <c r="AF16" i="5"/>
  <c r="AA16" i="5"/>
  <c r="Y16" i="5"/>
  <c r="L16" i="5"/>
  <c r="K16" i="5"/>
  <c r="AQ15" i="6"/>
  <c r="K15" i="5"/>
  <c r="AT15" i="5"/>
  <c r="AN15" i="5"/>
  <c r="AM6" i="6"/>
  <c r="AM7" i="6"/>
  <c r="AM5" i="6"/>
  <c r="AM4" i="6"/>
  <c r="AM3" i="6"/>
  <c r="AM8" i="6"/>
  <c r="AM9" i="6"/>
  <c r="AM10" i="6"/>
  <c r="AM11" i="6"/>
  <c r="AM12" i="6"/>
  <c r="AM13" i="6"/>
  <c r="AM14" i="6"/>
  <c r="AM15" i="6"/>
  <c r="AM16" i="6"/>
  <c r="AM17" i="6"/>
  <c r="AM18" i="6"/>
  <c r="AM19" i="6"/>
  <c r="AM20" i="6"/>
  <c r="AM15" i="5"/>
  <c r="AM16" i="5"/>
  <c r="AM17" i="5"/>
  <c r="AM18" i="5"/>
  <c r="AM20" i="5"/>
  <c r="AM9" i="5"/>
  <c r="AM10" i="5"/>
  <c r="AM11" i="5"/>
  <c r="AM12" i="5"/>
  <c r="AM13" i="5"/>
  <c r="AM14" i="5"/>
  <c r="AM8" i="5"/>
  <c r="AM7" i="5"/>
  <c r="AM4" i="5"/>
  <c r="AM5" i="5"/>
  <c r="AM6" i="5"/>
  <c r="AM3" i="5"/>
  <c r="AI14" i="6"/>
  <c r="AG4" i="5"/>
  <c r="AH4" i="5"/>
  <c r="AI4" i="5"/>
  <c r="AG5" i="5"/>
  <c r="AH5" i="5"/>
  <c r="AI5" i="5"/>
  <c r="AG6" i="5"/>
  <c r="AH6" i="5"/>
  <c r="AI6" i="5"/>
  <c r="AG7" i="5"/>
  <c r="AH7" i="5"/>
  <c r="AI7" i="5"/>
  <c r="AG8" i="5"/>
  <c r="AH8" i="5"/>
  <c r="AI8" i="5"/>
  <c r="AG9" i="5"/>
  <c r="AH9" i="5"/>
  <c r="AI9" i="5"/>
  <c r="AG10" i="5"/>
  <c r="AH10" i="5"/>
  <c r="AI10" i="5"/>
  <c r="AG11" i="5"/>
  <c r="AH11" i="5"/>
  <c r="AI11" i="5"/>
  <c r="AG12" i="5"/>
  <c r="AH12" i="5"/>
  <c r="AI12" i="5"/>
  <c r="AG13" i="5"/>
  <c r="AH13" i="5"/>
  <c r="AI13" i="5"/>
  <c r="AG14" i="5"/>
  <c r="AH14" i="5"/>
  <c r="AI14" i="5"/>
  <c r="AG15" i="5"/>
  <c r="AH15" i="5"/>
  <c r="AI15" i="5"/>
  <c r="AG16" i="5"/>
  <c r="AH16" i="5"/>
  <c r="AI16" i="5"/>
  <c r="AG17" i="5"/>
  <c r="AH17" i="5"/>
  <c r="AI17" i="5"/>
  <c r="AG18" i="5"/>
  <c r="AH18" i="5"/>
  <c r="AI18" i="5"/>
  <c r="AG19" i="5"/>
  <c r="AH19" i="5"/>
  <c r="AI19" i="5"/>
  <c r="AG20" i="5"/>
  <c r="AH20" i="5"/>
  <c r="AI20" i="5"/>
  <c r="AI3" i="5"/>
  <c r="AH3" i="5"/>
  <c r="AG3" i="5"/>
  <c r="AG4" i="6"/>
  <c r="AH4" i="6"/>
  <c r="AI4" i="6"/>
  <c r="AG5" i="6"/>
  <c r="AH5" i="6"/>
  <c r="AI5" i="6"/>
  <c r="AG6" i="6"/>
  <c r="AH6" i="6"/>
  <c r="AI6" i="6"/>
  <c r="AG7" i="6"/>
  <c r="AH7" i="6"/>
  <c r="AI7" i="6"/>
  <c r="AG8" i="6"/>
  <c r="AH8" i="6"/>
  <c r="AI8" i="6"/>
  <c r="AG9" i="6"/>
  <c r="AH9" i="6"/>
  <c r="AI9" i="6"/>
  <c r="AG10" i="6"/>
  <c r="AH10" i="6"/>
  <c r="AI10" i="6"/>
  <c r="AG11" i="6"/>
  <c r="AH11" i="6"/>
  <c r="AI11" i="6"/>
  <c r="AG12" i="6"/>
  <c r="AH12" i="6"/>
  <c r="AI12" i="6"/>
  <c r="AG13" i="6"/>
  <c r="AH13" i="6"/>
  <c r="AI13" i="6"/>
  <c r="AG14" i="6"/>
  <c r="AH14" i="6"/>
  <c r="AG15" i="6"/>
  <c r="AH15" i="6"/>
  <c r="AI15" i="6"/>
  <c r="AG16" i="6"/>
  <c r="AH16" i="6"/>
  <c r="AI16" i="6"/>
  <c r="AG17" i="6"/>
  <c r="AH17" i="6"/>
  <c r="AI17" i="6"/>
  <c r="AG18" i="6"/>
  <c r="AH18" i="6"/>
  <c r="AI18" i="6"/>
  <c r="AG19" i="6"/>
  <c r="AH19" i="6"/>
  <c r="AI19" i="6"/>
  <c r="AG20" i="6"/>
  <c r="AH20" i="6"/>
  <c r="AI20" i="6"/>
  <c r="AI3" i="6"/>
  <c r="AH3" i="6"/>
  <c r="AG3" i="6"/>
  <c r="AJ14" i="5"/>
  <c r="K4" i="5"/>
  <c r="W4" i="5"/>
  <c r="Q4" i="5"/>
  <c r="BM13" i="6"/>
  <c r="BI13" i="6"/>
  <c r="BN13" i="5"/>
  <c r="BN12" i="5"/>
  <c r="BM12" i="6"/>
  <c r="BK12" i="6"/>
  <c r="BI12" i="6"/>
  <c r="AD12" i="6"/>
  <c r="Y12" i="6"/>
  <c r="J12" i="6"/>
  <c r="BL12" i="5"/>
  <c r="BJ12" i="5"/>
  <c r="AY11" i="4"/>
  <c r="BI11" i="5"/>
  <c r="BM11" i="5"/>
  <c r="BM8" i="5"/>
  <c r="AY11" i="5"/>
  <c r="AD11" i="5"/>
  <c r="AD8" i="5"/>
  <c r="BL10" i="6"/>
  <c r="BJ10" i="6"/>
  <c r="BH10" i="6"/>
  <c r="BL9" i="5"/>
  <c r="BJ9" i="5"/>
  <c r="BK9" i="6"/>
  <c r="Y9" i="6"/>
  <c r="BE7" i="6"/>
  <c r="BE3" i="6"/>
  <c r="BE4" i="6"/>
  <c r="BE5" i="6"/>
  <c r="BE6" i="6"/>
  <c r="BD7" i="6"/>
  <c r="BD3" i="6"/>
  <c r="BD4" i="6"/>
  <c r="BD5" i="6"/>
  <c r="BD6" i="6"/>
  <c r="BD8" i="6"/>
  <c r="BD9" i="6"/>
  <c r="BD10" i="6"/>
  <c r="BD11" i="6"/>
  <c r="BD12" i="6"/>
  <c r="BD13" i="6"/>
  <c r="BD14" i="6"/>
  <c r="BD15" i="6"/>
  <c r="BD16" i="6"/>
  <c r="BD17" i="6"/>
  <c r="BD18" i="6"/>
  <c r="BD19" i="6"/>
  <c r="BD4" i="5"/>
  <c r="BD5" i="5"/>
  <c r="BD6" i="5"/>
  <c r="BD7" i="5"/>
  <c r="BD8" i="5"/>
  <c r="BD9" i="5"/>
  <c r="BD10" i="5"/>
  <c r="BD11" i="5"/>
  <c r="BD12" i="5"/>
  <c r="BD13" i="5"/>
  <c r="BD14" i="5"/>
  <c r="BD15" i="5"/>
  <c r="BD16" i="5"/>
  <c r="BD17" i="5"/>
  <c r="BD18" i="5"/>
  <c r="BD19" i="5"/>
  <c r="BF7" i="6"/>
  <c r="BG7" i="6"/>
  <c r="BH7" i="6"/>
  <c r="BI7" i="6"/>
  <c r="BJ7" i="6"/>
  <c r="BK7" i="6"/>
  <c r="BL7" i="6"/>
  <c r="BM7" i="6"/>
  <c r="BN7" i="6"/>
  <c r="BO7" i="6"/>
  <c r="AY7" i="6"/>
  <c r="AZ7" i="6"/>
  <c r="BA7" i="6"/>
  <c r="BB7" i="6"/>
  <c r="BC7" i="6"/>
  <c r="BN6" i="6"/>
  <c r="BO6" i="6"/>
  <c r="AZ6" i="6"/>
  <c r="BA6" i="6"/>
  <c r="BB6" i="6"/>
  <c r="BC6" i="6"/>
  <c r="BF6" i="6"/>
  <c r="BG6" i="6"/>
  <c r="BH6" i="6"/>
  <c r="BI6" i="6"/>
  <c r="BJ6" i="6"/>
  <c r="BL6" i="6"/>
  <c r="AY6" i="6"/>
  <c r="AY4" i="6"/>
  <c r="AZ4" i="6"/>
  <c r="BA4" i="6"/>
  <c r="BB4" i="6"/>
  <c r="BC4" i="6"/>
  <c r="BF4" i="6"/>
  <c r="BG4" i="6"/>
  <c r="BH4" i="6"/>
  <c r="BI4" i="6"/>
  <c r="BJ4" i="6"/>
  <c r="BK4" i="6"/>
  <c r="BL4" i="6"/>
  <c r="BM4" i="6"/>
  <c r="BN4" i="6"/>
  <c r="BO4" i="6"/>
  <c r="AY5" i="6"/>
  <c r="AZ5" i="6"/>
  <c r="BA5" i="6"/>
  <c r="BB5" i="6"/>
  <c r="BC5" i="6"/>
  <c r="BF5" i="6"/>
  <c r="BG5" i="6"/>
  <c r="BH5" i="6"/>
  <c r="BI5" i="6"/>
  <c r="BJ5" i="6"/>
  <c r="BK5" i="6"/>
  <c r="BL5" i="6"/>
  <c r="BM5" i="6"/>
  <c r="BN5" i="6"/>
  <c r="BO5" i="6"/>
  <c r="BO3" i="6"/>
  <c r="BN3" i="6"/>
  <c r="BM3" i="6"/>
  <c r="BL3" i="6"/>
  <c r="BK3" i="6"/>
  <c r="BJ3" i="6"/>
  <c r="BI3" i="6"/>
  <c r="BH3" i="6"/>
  <c r="BG3" i="6"/>
  <c r="BF3" i="6"/>
  <c r="BC3" i="6"/>
  <c r="BB3" i="6"/>
  <c r="BA3" i="6"/>
  <c r="AZ3" i="6"/>
  <c r="AY3" i="6"/>
  <c r="AY8" i="6"/>
  <c r="AZ8" i="6"/>
  <c r="BA8" i="6"/>
  <c r="BB8" i="6"/>
  <c r="BC8" i="6"/>
  <c r="BE8" i="6"/>
  <c r="BF8" i="6"/>
  <c r="BG8" i="6"/>
  <c r="BH8" i="6"/>
  <c r="BI8" i="6"/>
  <c r="BJ8" i="6"/>
  <c r="BK8" i="6"/>
  <c r="BL8" i="6"/>
  <c r="BM8" i="6"/>
  <c r="BN8" i="6"/>
  <c r="BO8" i="6"/>
  <c r="AY9" i="6"/>
  <c r="AZ9" i="6"/>
  <c r="BA9" i="6"/>
  <c r="BB9" i="6"/>
  <c r="BC9" i="6"/>
  <c r="BE9" i="6"/>
  <c r="BF9" i="6"/>
  <c r="BG9" i="6"/>
  <c r="BH9" i="6"/>
  <c r="BI9" i="6"/>
  <c r="BJ9" i="6"/>
  <c r="BL9" i="6"/>
  <c r="BM9" i="6"/>
  <c r="BN9" i="6"/>
  <c r="BO9" i="6"/>
  <c r="AZ10" i="6"/>
  <c r="BA10" i="6"/>
  <c r="BB10" i="6"/>
  <c r="BC10" i="6"/>
  <c r="BE10" i="6"/>
  <c r="BF10" i="6"/>
  <c r="BG10" i="6"/>
  <c r="BI10" i="6"/>
  <c r="BK10" i="6"/>
  <c r="BM10" i="6"/>
  <c r="BN10" i="6"/>
  <c r="BO10" i="6"/>
  <c r="AZ11" i="6"/>
  <c r="BA11" i="6"/>
  <c r="BB11" i="6"/>
  <c r="BC11" i="6"/>
  <c r="BE11" i="6"/>
  <c r="BF11" i="6"/>
  <c r="BG11" i="6"/>
  <c r="BH11" i="6"/>
  <c r="BI11" i="6"/>
  <c r="BJ11" i="6"/>
  <c r="BK11" i="6"/>
  <c r="BL11" i="6"/>
  <c r="BM11" i="6"/>
  <c r="BN11" i="6"/>
  <c r="BO11" i="6"/>
  <c r="AY12" i="6"/>
  <c r="AZ12" i="6"/>
  <c r="BA12" i="6"/>
  <c r="BB12" i="6"/>
  <c r="BC12" i="6"/>
  <c r="BE12" i="6"/>
  <c r="BF12" i="6"/>
  <c r="BG12" i="6"/>
  <c r="BH12" i="6"/>
  <c r="BJ12" i="6"/>
  <c r="BL12" i="6"/>
  <c r="BN12" i="6"/>
  <c r="BO12" i="6"/>
  <c r="AY13" i="6"/>
  <c r="AZ13" i="6"/>
  <c r="BA13" i="6"/>
  <c r="BB13" i="6"/>
  <c r="BC13" i="6"/>
  <c r="BF13" i="6"/>
  <c r="BG13" i="6"/>
  <c r="BH13" i="6"/>
  <c r="BJ13" i="6"/>
  <c r="BK13" i="6"/>
  <c r="BL13" i="6"/>
  <c r="BN13" i="6"/>
  <c r="BO13" i="6"/>
  <c r="AY14" i="6"/>
  <c r="AZ14" i="6"/>
  <c r="BA14" i="6"/>
  <c r="BB14" i="6"/>
  <c r="BC14" i="6"/>
  <c r="BE14" i="6"/>
  <c r="BF14" i="6"/>
  <c r="BG14" i="6"/>
  <c r="BH14" i="6"/>
  <c r="BI14" i="6"/>
  <c r="BJ14" i="6"/>
  <c r="BK14" i="6"/>
  <c r="BL14" i="6"/>
  <c r="BM14" i="6"/>
  <c r="BN14" i="6"/>
  <c r="BO14" i="6"/>
  <c r="AY15" i="6"/>
  <c r="AZ15" i="6"/>
  <c r="BA15" i="6"/>
  <c r="BB15" i="6"/>
  <c r="BC15" i="6"/>
  <c r="BE15" i="6"/>
  <c r="BF15" i="6"/>
  <c r="BG15" i="6"/>
  <c r="BH15" i="6"/>
  <c r="BI15" i="6"/>
  <c r="BJ15" i="6"/>
  <c r="BK15" i="6"/>
  <c r="BL15" i="6"/>
  <c r="BM15" i="6"/>
  <c r="BN15" i="6"/>
  <c r="BO15" i="6"/>
  <c r="AY16" i="6"/>
  <c r="AZ16" i="6"/>
  <c r="BA16" i="6"/>
  <c r="BB16" i="6"/>
  <c r="BC16" i="6"/>
  <c r="BE16" i="6"/>
  <c r="BF16" i="6"/>
  <c r="BG16" i="6"/>
  <c r="BH16" i="6"/>
  <c r="BI16" i="6"/>
  <c r="BJ16" i="6"/>
  <c r="BK16" i="6"/>
  <c r="BL16" i="6"/>
  <c r="BM16" i="6"/>
  <c r="BN16" i="6"/>
  <c r="BO16" i="6"/>
  <c r="AY17" i="6"/>
  <c r="AZ17" i="6"/>
  <c r="BA17" i="6"/>
  <c r="BB17" i="6"/>
  <c r="BC17" i="6"/>
  <c r="BE17" i="6"/>
  <c r="BF17" i="6"/>
  <c r="BG17" i="6"/>
  <c r="BH17" i="6"/>
  <c r="BJ17" i="6"/>
  <c r="BK17" i="6"/>
  <c r="BL17" i="6"/>
  <c r="BN17" i="6"/>
  <c r="BO17" i="6"/>
  <c r="AY18" i="6"/>
  <c r="AZ18" i="6"/>
  <c r="BA18" i="6"/>
  <c r="BB18" i="6"/>
  <c r="BC18" i="6"/>
  <c r="BE18" i="6"/>
  <c r="BF18" i="6"/>
  <c r="BG18" i="6"/>
  <c r="BH18" i="6"/>
  <c r="BI18" i="6"/>
  <c r="BJ18" i="6"/>
  <c r="BL18" i="6"/>
  <c r="BM18" i="6"/>
  <c r="BN18" i="6"/>
  <c r="BO18" i="6"/>
  <c r="AZ19" i="6"/>
  <c r="BA19" i="6"/>
  <c r="BB19" i="6"/>
  <c r="BC19" i="6"/>
  <c r="BE19" i="6"/>
  <c r="BF19" i="6"/>
  <c r="BG19" i="6"/>
  <c r="BH19" i="6"/>
  <c r="BI19" i="6"/>
  <c r="BJ19" i="6"/>
  <c r="BK19" i="6"/>
  <c r="BL19" i="6"/>
  <c r="BM19" i="6"/>
  <c r="BN19" i="6"/>
  <c r="BO19" i="6"/>
  <c r="BO20" i="6"/>
  <c r="BN20" i="6"/>
  <c r="BM20" i="6"/>
  <c r="BL20" i="6"/>
  <c r="BK20" i="6"/>
  <c r="BJ20" i="6"/>
  <c r="BI20" i="6"/>
  <c r="BH20" i="6"/>
  <c r="BG20" i="6"/>
  <c r="BF20" i="6"/>
  <c r="BE20" i="6"/>
  <c r="BC20" i="6"/>
  <c r="BB20" i="6"/>
  <c r="BA20" i="6"/>
  <c r="AZ20" i="6"/>
  <c r="AY20" i="6"/>
  <c r="BK4" i="5"/>
  <c r="BK5" i="5"/>
  <c r="BK7" i="5"/>
  <c r="BK8" i="5"/>
  <c r="BK9" i="5"/>
  <c r="BK10" i="5"/>
  <c r="BK11" i="5"/>
  <c r="BK12" i="5"/>
  <c r="BK13" i="5"/>
  <c r="BK14" i="5"/>
  <c r="BK15" i="5"/>
  <c r="BK16" i="5"/>
  <c r="BK17" i="5"/>
  <c r="BK19" i="5"/>
  <c r="BK20" i="5"/>
  <c r="BL4" i="5"/>
  <c r="BL5" i="5"/>
  <c r="BL6" i="5"/>
  <c r="BL7" i="5"/>
  <c r="BL8" i="5"/>
  <c r="BL10" i="5"/>
  <c r="BL11" i="5"/>
  <c r="BL13" i="5"/>
  <c r="BL14" i="5"/>
  <c r="BL15" i="5"/>
  <c r="BL16" i="5"/>
  <c r="BL17" i="5"/>
  <c r="BL18" i="5"/>
  <c r="BL19" i="5"/>
  <c r="BL20" i="5"/>
  <c r="BJ4" i="5"/>
  <c r="BJ5" i="5"/>
  <c r="BJ6" i="5"/>
  <c r="BJ7" i="5"/>
  <c r="BJ8" i="5"/>
  <c r="BJ10" i="5"/>
  <c r="BJ11" i="5"/>
  <c r="BJ13" i="5"/>
  <c r="BJ14" i="5"/>
  <c r="BJ15" i="5"/>
  <c r="BJ16" i="5"/>
  <c r="BJ17" i="5"/>
  <c r="BJ18" i="5"/>
  <c r="BJ19" i="5"/>
  <c r="BJ20" i="5"/>
  <c r="BH4" i="5"/>
  <c r="BH5" i="5"/>
  <c r="BH6" i="5"/>
  <c r="BH7" i="5"/>
  <c r="BH8" i="5"/>
  <c r="BH9" i="5"/>
  <c r="BH10" i="5"/>
  <c r="BH11" i="5"/>
  <c r="BH12" i="5"/>
  <c r="BH13" i="5"/>
  <c r="BH14" i="5"/>
  <c r="BH15" i="5"/>
  <c r="BH16" i="5"/>
  <c r="BH17" i="5"/>
  <c r="BH18" i="5"/>
  <c r="BH19" i="5"/>
  <c r="BH20" i="5"/>
  <c r="BE4" i="5"/>
  <c r="BE5" i="5"/>
  <c r="BE6" i="5"/>
  <c r="BE7" i="5"/>
  <c r="BE8" i="5"/>
  <c r="BE9" i="5"/>
  <c r="BE10" i="5"/>
  <c r="BE11" i="5"/>
  <c r="BE12" i="5"/>
  <c r="BE14" i="5"/>
  <c r="BE15" i="5"/>
  <c r="BE16" i="5"/>
  <c r="BE17" i="5"/>
  <c r="BE18" i="5"/>
  <c r="BE19" i="5"/>
  <c r="BE20" i="5"/>
  <c r="BC4" i="5"/>
  <c r="BC5" i="5"/>
  <c r="BC6" i="5"/>
  <c r="BC7" i="5"/>
  <c r="BC8" i="5"/>
  <c r="BC9" i="5"/>
  <c r="BC10" i="5"/>
  <c r="BC11" i="5"/>
  <c r="BC12" i="5"/>
  <c r="BC13" i="5"/>
  <c r="BC14" i="5"/>
  <c r="BC15" i="5"/>
  <c r="BC16" i="5"/>
  <c r="BC17" i="5"/>
  <c r="BC18" i="5"/>
  <c r="BC19" i="5"/>
  <c r="BC20" i="5"/>
  <c r="BB4" i="5"/>
  <c r="BB5" i="5"/>
  <c r="BB6" i="5"/>
  <c r="BB7" i="5"/>
  <c r="BB8" i="5"/>
  <c r="BB9" i="5"/>
  <c r="BB10" i="5"/>
  <c r="BB11" i="5"/>
  <c r="BB12" i="5"/>
  <c r="BB13" i="5"/>
  <c r="BB14" i="5"/>
  <c r="BB15" i="5"/>
  <c r="BB16" i="5"/>
  <c r="BB17" i="5"/>
  <c r="BB18" i="5"/>
  <c r="BB19" i="5"/>
  <c r="BB20" i="5"/>
  <c r="BA4" i="5"/>
  <c r="BA5" i="5"/>
  <c r="BA6" i="5"/>
  <c r="BA7" i="5"/>
  <c r="BA8" i="5"/>
  <c r="BA9" i="5"/>
  <c r="BA10" i="5"/>
  <c r="BA11" i="5"/>
  <c r="BA12" i="5"/>
  <c r="BA13" i="5"/>
  <c r="BA14" i="5"/>
  <c r="BA15" i="5"/>
  <c r="BA16" i="5"/>
  <c r="BA17" i="5"/>
  <c r="BA18" i="5"/>
  <c r="BA19" i="5"/>
  <c r="BA20" i="5"/>
  <c r="AZ4" i="5"/>
  <c r="AZ5" i="5"/>
  <c r="AZ6" i="5"/>
  <c r="AZ7" i="5"/>
  <c r="AZ8" i="5"/>
  <c r="AZ9" i="5"/>
  <c r="AZ10" i="5"/>
  <c r="AZ11" i="5"/>
  <c r="AZ12" i="5"/>
  <c r="AZ13" i="5"/>
  <c r="AZ14" i="5"/>
  <c r="AZ15" i="5"/>
  <c r="AZ16" i="5"/>
  <c r="AZ17" i="5"/>
  <c r="AZ18" i="5"/>
  <c r="AZ19" i="5"/>
  <c r="AZ20" i="5"/>
  <c r="AY4" i="5"/>
  <c r="AY5" i="5"/>
  <c r="AY6" i="5"/>
  <c r="AY7" i="5"/>
  <c r="AY8" i="5"/>
  <c r="AY9" i="5"/>
  <c r="AY12" i="5"/>
  <c r="AY13" i="5"/>
  <c r="AY14" i="5"/>
  <c r="AY15" i="5"/>
  <c r="AY16" i="5"/>
  <c r="AY17" i="5"/>
  <c r="AY18" i="5"/>
  <c r="AY19" i="5"/>
  <c r="AY20" i="5"/>
  <c r="AK9" i="5"/>
  <c r="AC10" i="6"/>
  <c r="AC12" i="6"/>
  <c r="AC14" i="6"/>
  <c r="AC16" i="6"/>
  <c r="AC18" i="6"/>
  <c r="AC19" i="6"/>
  <c r="AC20" i="6"/>
  <c r="AC9" i="6"/>
  <c r="AC5" i="6"/>
  <c r="AC3" i="6"/>
  <c r="Z10" i="6"/>
  <c r="Z12" i="6"/>
  <c r="Z13" i="6"/>
  <c r="Z14" i="6"/>
  <c r="Z15" i="6"/>
  <c r="Z17" i="6"/>
  <c r="Z18" i="6"/>
  <c r="Z19" i="6"/>
  <c r="Z9" i="6"/>
  <c r="Z4" i="6"/>
  <c r="Z5" i="6"/>
  <c r="AV6" i="6"/>
  <c r="AV7" i="6"/>
  <c r="AV8" i="6"/>
  <c r="AV9" i="6"/>
  <c r="AV10" i="6"/>
  <c r="AV11" i="6"/>
  <c r="AV12" i="6"/>
  <c r="AV13" i="6"/>
  <c r="AV14" i="6"/>
  <c r="AV15" i="6"/>
  <c r="AV16" i="6"/>
  <c r="AV17" i="6"/>
  <c r="AV18" i="6"/>
  <c r="AV19" i="6"/>
  <c r="AV20" i="6"/>
  <c r="AT7" i="6"/>
  <c r="AT6" i="6"/>
  <c r="AT4" i="6"/>
  <c r="AT5" i="6"/>
  <c r="AT8" i="6"/>
  <c r="AT9" i="6"/>
  <c r="AT10" i="6"/>
  <c r="AT11" i="6"/>
  <c r="AT12" i="6"/>
  <c r="AT13" i="6"/>
  <c r="AT14" i="6"/>
  <c r="AT15" i="6"/>
  <c r="AT16" i="6"/>
  <c r="AT17" i="6"/>
  <c r="AT18" i="6"/>
  <c r="AT19" i="6"/>
  <c r="AT20" i="6"/>
  <c r="AS5" i="6"/>
  <c r="AS6" i="6"/>
  <c r="AS7" i="6"/>
  <c r="AS8" i="6"/>
  <c r="AS9" i="6"/>
  <c r="AS10" i="6"/>
  <c r="AS11" i="6"/>
  <c r="AS12" i="6"/>
  <c r="AS13" i="6"/>
  <c r="AS14" i="6"/>
  <c r="AS15" i="6"/>
  <c r="AS16" i="6"/>
  <c r="AS17" i="6"/>
  <c r="AS18" i="6"/>
  <c r="AS19" i="6"/>
  <c r="AS20" i="6"/>
  <c r="AR6" i="6"/>
  <c r="AR7" i="6"/>
  <c r="AR8" i="6"/>
  <c r="AR9" i="6"/>
  <c r="AR10" i="6"/>
  <c r="AR11" i="6"/>
  <c r="AR12" i="6"/>
  <c r="AR13" i="6"/>
  <c r="AR14" i="6"/>
  <c r="AR15" i="6"/>
  <c r="AR16" i="6"/>
  <c r="AR17" i="6"/>
  <c r="AR18" i="6"/>
  <c r="AR19" i="6"/>
  <c r="AR20" i="6"/>
  <c r="AQ6" i="6"/>
  <c r="AQ7" i="6"/>
  <c r="AQ8" i="6"/>
  <c r="AQ9" i="6"/>
  <c r="AQ10" i="6"/>
  <c r="AQ11" i="6"/>
  <c r="AQ12" i="6"/>
  <c r="AQ13" i="6"/>
  <c r="AQ14" i="6"/>
  <c r="AQ16" i="6"/>
  <c r="AQ17" i="6"/>
  <c r="AQ18" i="6"/>
  <c r="AQ19" i="6"/>
  <c r="AQ20" i="6"/>
  <c r="AP7" i="6"/>
  <c r="AP6" i="6"/>
  <c r="AP8" i="6"/>
  <c r="AP9" i="6"/>
  <c r="AP10" i="6"/>
  <c r="AP11" i="6"/>
  <c r="AP12" i="6"/>
  <c r="AP13" i="6"/>
  <c r="AP14" i="6"/>
  <c r="AP15" i="6"/>
  <c r="AP16" i="6"/>
  <c r="X16" i="6" s="1"/>
  <c r="AP17" i="6"/>
  <c r="AP18" i="6"/>
  <c r="AP19" i="6"/>
  <c r="AP20" i="6"/>
  <c r="AO7" i="6"/>
  <c r="AO4" i="6"/>
  <c r="AO5" i="6"/>
  <c r="AO6" i="6"/>
  <c r="AO8" i="6"/>
  <c r="AO9" i="6"/>
  <c r="AO10" i="6"/>
  <c r="AO11" i="6"/>
  <c r="AO12" i="6"/>
  <c r="AO13" i="6"/>
  <c r="AO14" i="6"/>
  <c r="AO15" i="6"/>
  <c r="AO16" i="6"/>
  <c r="AO17" i="6"/>
  <c r="AO18" i="6"/>
  <c r="AO19" i="6"/>
  <c r="AO20" i="6"/>
  <c r="AN7" i="6"/>
  <c r="AN6" i="6"/>
  <c r="AN8" i="6"/>
  <c r="AN9" i="6"/>
  <c r="AN10" i="6"/>
  <c r="AN11" i="6"/>
  <c r="AN12" i="6"/>
  <c r="AN13" i="6"/>
  <c r="AN14" i="6"/>
  <c r="AN15" i="6"/>
  <c r="AN16" i="6"/>
  <c r="AN17" i="6"/>
  <c r="AN18" i="6"/>
  <c r="AN19" i="6"/>
  <c r="AN20" i="6"/>
  <c r="AN4" i="6"/>
  <c r="AP4" i="6"/>
  <c r="AQ4" i="6"/>
  <c r="AR4" i="6"/>
  <c r="AS4" i="6"/>
  <c r="AU4" i="6"/>
  <c r="AV4" i="6"/>
  <c r="AN5" i="6"/>
  <c r="AP5" i="6"/>
  <c r="AQ5" i="6"/>
  <c r="AR5" i="6"/>
  <c r="AU5" i="6"/>
  <c r="AV5" i="6"/>
  <c r="AV3" i="6"/>
  <c r="AU3" i="6"/>
  <c r="AT3" i="6"/>
  <c r="AS3" i="6"/>
  <c r="AR3" i="6"/>
  <c r="AQ3" i="6"/>
  <c r="AP3" i="6"/>
  <c r="AO3" i="6"/>
  <c r="AN3" i="6"/>
  <c r="AU8" i="6"/>
  <c r="AV9" i="5"/>
  <c r="AV10" i="5"/>
  <c r="AV11" i="5"/>
  <c r="AV12" i="5"/>
  <c r="AV13" i="5"/>
  <c r="AV14" i="5"/>
  <c r="AV15" i="5"/>
  <c r="AV16" i="5"/>
  <c r="AV17" i="5"/>
  <c r="AV18" i="5"/>
  <c r="AV20" i="5"/>
  <c r="AV8" i="5"/>
  <c r="AV4" i="5"/>
  <c r="AV5" i="5"/>
  <c r="AV6" i="5"/>
  <c r="AV3" i="5"/>
  <c r="AC5" i="5"/>
  <c r="AC7" i="5"/>
  <c r="AC8" i="5"/>
  <c r="AC9" i="5"/>
  <c r="AC10" i="5"/>
  <c r="AC12" i="5"/>
  <c r="AC14" i="5"/>
  <c r="AC16" i="5"/>
  <c r="AC18" i="5"/>
  <c r="AC19" i="5"/>
  <c r="AC20" i="5"/>
  <c r="Z18" i="5"/>
  <c r="Z17" i="5"/>
  <c r="Z16" i="5"/>
  <c r="Z15" i="5"/>
  <c r="Z14" i="5"/>
  <c r="Z13" i="5"/>
  <c r="Z12" i="5"/>
  <c r="Z10" i="5"/>
  <c r="Z6" i="5"/>
  <c r="Z5" i="5"/>
  <c r="AV7" i="5"/>
  <c r="AT7" i="5"/>
  <c r="AT4" i="5"/>
  <c r="AT5" i="5"/>
  <c r="AT6" i="5"/>
  <c r="AT8" i="5"/>
  <c r="AT9" i="5"/>
  <c r="AT10" i="5"/>
  <c r="AT11" i="5"/>
  <c r="AT12" i="5"/>
  <c r="AT13" i="5"/>
  <c r="AT14" i="5"/>
  <c r="AT16" i="5"/>
  <c r="AT17" i="5"/>
  <c r="AT18" i="5"/>
  <c r="AT19" i="5"/>
  <c r="AT20" i="5"/>
  <c r="AT3" i="5"/>
  <c r="AS7" i="5"/>
  <c r="AS20" i="5"/>
  <c r="AS19" i="5"/>
  <c r="AS18" i="5"/>
  <c r="AS17" i="5"/>
  <c r="AS16" i="5"/>
  <c r="AS15" i="5"/>
  <c r="AS14" i="5"/>
  <c r="AS13" i="5"/>
  <c r="AS12" i="5"/>
  <c r="AS11" i="5"/>
  <c r="AS10" i="5"/>
  <c r="AS9" i="5"/>
  <c r="AS8" i="5"/>
  <c r="AS6" i="5"/>
  <c r="AS5" i="5"/>
  <c r="AS4" i="5"/>
  <c r="AS3" i="5"/>
  <c r="AR7" i="5"/>
  <c r="AR4" i="5"/>
  <c r="AR5" i="5"/>
  <c r="AR6" i="5"/>
  <c r="AR8" i="5"/>
  <c r="AR9" i="5"/>
  <c r="AR10" i="5"/>
  <c r="AR11" i="5"/>
  <c r="AR12" i="5"/>
  <c r="AR13" i="5"/>
  <c r="AR14" i="5"/>
  <c r="AR15" i="5"/>
  <c r="AR16" i="5"/>
  <c r="AR17" i="5"/>
  <c r="AR18" i="5"/>
  <c r="AR19" i="5"/>
  <c r="AR20" i="5"/>
  <c r="AR3" i="5"/>
  <c r="AP15" i="5"/>
  <c r="AP16" i="5"/>
  <c r="AP17" i="5"/>
  <c r="AP18" i="5"/>
  <c r="AP19" i="5"/>
  <c r="AP20" i="5"/>
  <c r="AP9" i="5"/>
  <c r="AP10" i="5"/>
  <c r="AP11" i="5"/>
  <c r="AP12" i="5"/>
  <c r="AP13" i="5"/>
  <c r="AP14" i="5"/>
  <c r="AP8" i="5"/>
  <c r="AP3" i="5"/>
  <c r="AP4" i="5"/>
  <c r="AP5" i="5"/>
  <c r="AP6" i="5"/>
  <c r="X16" i="5"/>
  <c r="AO4" i="5"/>
  <c r="AO5" i="5"/>
  <c r="AO6" i="5"/>
  <c r="AO9" i="5"/>
  <c r="AO10" i="5"/>
  <c r="AO11" i="5"/>
  <c r="AO12" i="5"/>
  <c r="AO13" i="5"/>
  <c r="AO14" i="5"/>
  <c r="AO15" i="5"/>
  <c r="AO16" i="5"/>
  <c r="AO17" i="5"/>
  <c r="AO18" i="5"/>
  <c r="AO20" i="5"/>
  <c r="AO8" i="5"/>
  <c r="AO7" i="5"/>
  <c r="AN7" i="5"/>
  <c r="AN4" i="5"/>
  <c r="AN5" i="5"/>
  <c r="AN6" i="5"/>
  <c r="AN8" i="5"/>
  <c r="AN9" i="5"/>
  <c r="AN10" i="5"/>
  <c r="AN11" i="5"/>
  <c r="AN12" i="5"/>
  <c r="AN13" i="5"/>
  <c r="AN14" i="5"/>
  <c r="AN16" i="5"/>
  <c r="AN17" i="5"/>
  <c r="AN18" i="5"/>
  <c r="AN20" i="5"/>
  <c r="AN3" i="5"/>
  <c r="AQ9" i="5"/>
  <c r="AQ10" i="5"/>
  <c r="AQ11" i="5"/>
  <c r="AQ12" i="5"/>
  <c r="AQ13" i="5"/>
  <c r="AQ14" i="5"/>
  <c r="AQ15" i="5"/>
  <c r="AQ16" i="5"/>
  <c r="AQ17" i="5"/>
  <c r="AQ18" i="5"/>
  <c r="AQ19" i="5"/>
  <c r="AQ20" i="5"/>
  <c r="AQ8" i="5"/>
  <c r="AQ4" i="5"/>
  <c r="AQ5" i="5"/>
  <c r="AQ6" i="5"/>
  <c r="AQ3" i="5"/>
  <c r="Z6" i="6"/>
  <c r="Z8" i="4"/>
  <c r="Z4" i="5"/>
  <c r="AD8" i="6"/>
  <c r="AC8" i="6"/>
  <c r="AK8" i="5"/>
  <c r="BF8" i="5"/>
  <c r="AK7" i="6"/>
  <c r="AC7" i="6"/>
  <c r="AJ7" i="5"/>
  <c r="AK7" i="5"/>
  <c r="BM6" i="6"/>
  <c r="AD6" i="6"/>
  <c r="AA6" i="6"/>
  <c r="AA4" i="6"/>
  <c r="AA5" i="5"/>
  <c r="AA6" i="5"/>
  <c r="BI6" i="5"/>
  <c r="AB4" i="6"/>
  <c r="AK4" i="5"/>
  <c r="AL3" i="4"/>
  <c r="AL3" i="8" s="1"/>
  <c r="BF4" i="5"/>
  <c r="BG4" i="5"/>
  <c r="BI4" i="5"/>
  <c r="BM4" i="5"/>
  <c r="BN4" i="5"/>
  <c r="BO4" i="5"/>
  <c r="BF5" i="5"/>
  <c r="BG5" i="5"/>
  <c r="BI5" i="5"/>
  <c r="BM5" i="5"/>
  <c r="BN5" i="5"/>
  <c r="BO5" i="5"/>
  <c r="BF6" i="5"/>
  <c r="BG6" i="5"/>
  <c r="BM6" i="5"/>
  <c r="BN6" i="5"/>
  <c r="BO6" i="5"/>
  <c r="BF7" i="5"/>
  <c r="BG7" i="5"/>
  <c r="BI7" i="5"/>
  <c r="BM7" i="5"/>
  <c r="BN7" i="5"/>
  <c r="BO7" i="5"/>
  <c r="BG8" i="5"/>
  <c r="BI8" i="5"/>
  <c r="BN8" i="5"/>
  <c r="BO8" i="5"/>
  <c r="BF9" i="5"/>
  <c r="BG9" i="5"/>
  <c r="BI9" i="5"/>
  <c r="BM9" i="5"/>
  <c r="BN9" i="5"/>
  <c r="BO9" i="5"/>
  <c r="BF10" i="5"/>
  <c r="BG10" i="5"/>
  <c r="BI10" i="5"/>
  <c r="BM10" i="5"/>
  <c r="BN10" i="5"/>
  <c r="BO10" i="5"/>
  <c r="BF11" i="5"/>
  <c r="BG11" i="5"/>
  <c r="BN11" i="5"/>
  <c r="BO11" i="5"/>
  <c r="BF12" i="5"/>
  <c r="BG12" i="5"/>
  <c r="BI12" i="5"/>
  <c r="BM12" i="5"/>
  <c r="BO12" i="5"/>
  <c r="BF13" i="5"/>
  <c r="BG13" i="5"/>
  <c r="BI13" i="5"/>
  <c r="BM13" i="5"/>
  <c r="BO13" i="5"/>
  <c r="BF14" i="5"/>
  <c r="BG14" i="5"/>
  <c r="BI14" i="5"/>
  <c r="BM14" i="5"/>
  <c r="BN14" i="5"/>
  <c r="BO14" i="5"/>
  <c r="BF15" i="5"/>
  <c r="BG15" i="5"/>
  <c r="BI15" i="5"/>
  <c r="BM15" i="5"/>
  <c r="BN15" i="5"/>
  <c r="BO15" i="5"/>
  <c r="BF16" i="5"/>
  <c r="BG16" i="5"/>
  <c r="BI16" i="5"/>
  <c r="BM16" i="5"/>
  <c r="BN16" i="5"/>
  <c r="BO16" i="5"/>
  <c r="BF17" i="5"/>
  <c r="BG17" i="5"/>
  <c r="BI17" i="5"/>
  <c r="BM17" i="5"/>
  <c r="BN17" i="5"/>
  <c r="BO17" i="5"/>
  <c r="BF18" i="5"/>
  <c r="BG18" i="5"/>
  <c r="BI18" i="5"/>
  <c r="BM18" i="5"/>
  <c r="BN18" i="5"/>
  <c r="BO18" i="5"/>
  <c r="BF19" i="5"/>
  <c r="BG19" i="5"/>
  <c r="BI19" i="5"/>
  <c r="BM19" i="5"/>
  <c r="BN19" i="5"/>
  <c r="BO19" i="5"/>
  <c r="BF20" i="5"/>
  <c r="BG20" i="5"/>
  <c r="BI20" i="5"/>
  <c r="BM20" i="5"/>
  <c r="BN20" i="5"/>
  <c r="BO20" i="5"/>
  <c r="AA4" i="5"/>
  <c r="AB4" i="5"/>
  <c r="AD4" i="5"/>
  <c r="AE4" i="5"/>
  <c r="AF4" i="5"/>
  <c r="AJ4" i="5"/>
  <c r="AU4" i="5"/>
  <c r="AB5" i="5"/>
  <c r="AD5" i="5"/>
  <c r="AE5" i="5"/>
  <c r="AF5" i="5"/>
  <c r="AJ5" i="5"/>
  <c r="AK5" i="5"/>
  <c r="AU5" i="5"/>
  <c r="AB6" i="5"/>
  <c r="AD6" i="5"/>
  <c r="AE6" i="5"/>
  <c r="AF6" i="5"/>
  <c r="AJ6" i="5"/>
  <c r="AK6" i="5"/>
  <c r="AU6" i="5"/>
  <c r="AA7" i="5"/>
  <c r="AB7" i="5"/>
  <c r="AD7" i="5"/>
  <c r="AE7" i="5"/>
  <c r="AF7" i="5"/>
  <c r="AQ7" i="5"/>
  <c r="AU7" i="5"/>
  <c r="AB8" i="5"/>
  <c r="AE8" i="5"/>
  <c r="AF8" i="5"/>
  <c r="AJ8" i="5"/>
  <c r="AU8" i="5"/>
  <c r="AA9" i="5"/>
  <c r="AB9" i="5"/>
  <c r="AD9" i="5"/>
  <c r="AE9" i="5"/>
  <c r="AF9" i="5"/>
  <c r="AJ9" i="5"/>
  <c r="AU9" i="5"/>
  <c r="AA10" i="5"/>
  <c r="AB10" i="5"/>
  <c r="AD10" i="5"/>
  <c r="AE10" i="5"/>
  <c r="AF10" i="5"/>
  <c r="AJ10" i="5"/>
  <c r="AK10" i="5"/>
  <c r="AU10" i="5"/>
  <c r="AA11" i="5"/>
  <c r="AB11" i="5"/>
  <c r="AE11" i="5"/>
  <c r="AF11" i="5"/>
  <c r="AJ11" i="5"/>
  <c r="AK11" i="5"/>
  <c r="AU11" i="5"/>
  <c r="AA12" i="5"/>
  <c r="AB12" i="5"/>
  <c r="AD12" i="5"/>
  <c r="AE12" i="5"/>
  <c r="AF12" i="5"/>
  <c r="AJ12" i="5"/>
  <c r="AK12" i="5"/>
  <c r="AU12" i="5"/>
  <c r="AA13" i="5"/>
  <c r="AB13" i="5"/>
  <c r="AD13" i="5"/>
  <c r="AE13" i="5"/>
  <c r="AF13" i="5"/>
  <c r="AJ13" i="5"/>
  <c r="AK13" i="5"/>
  <c r="AU13" i="5"/>
  <c r="AA14" i="5"/>
  <c r="AB14" i="5"/>
  <c r="AD14" i="5"/>
  <c r="AE14" i="5"/>
  <c r="AF14" i="5"/>
  <c r="AK14" i="5"/>
  <c r="AU14" i="5"/>
  <c r="AA15" i="5"/>
  <c r="AB15" i="5"/>
  <c r="AD15" i="5"/>
  <c r="AE15" i="5"/>
  <c r="AF15" i="5"/>
  <c r="AJ15" i="5"/>
  <c r="AK15" i="5"/>
  <c r="AU15" i="5"/>
  <c r="AB16" i="5"/>
  <c r="AD16" i="5"/>
  <c r="AE16" i="5"/>
  <c r="AJ16" i="5"/>
  <c r="AK16" i="5"/>
  <c r="AU16" i="5"/>
  <c r="AA17" i="5"/>
  <c r="AB17" i="5"/>
  <c r="AD17" i="5"/>
  <c r="AE17" i="5"/>
  <c r="AF17" i="5"/>
  <c r="AJ17" i="5"/>
  <c r="AK17" i="5"/>
  <c r="AU17" i="5"/>
  <c r="AA18" i="5"/>
  <c r="AB18" i="5"/>
  <c r="AD18" i="5"/>
  <c r="AE18" i="5"/>
  <c r="AF18" i="5"/>
  <c r="AJ18" i="5"/>
  <c r="AK18" i="5"/>
  <c r="AU18" i="5"/>
  <c r="AA19" i="5"/>
  <c r="AB19" i="5"/>
  <c r="AD19" i="5"/>
  <c r="AE19" i="5"/>
  <c r="AF19" i="5"/>
  <c r="AJ19" i="5"/>
  <c r="AU19" i="5"/>
  <c r="AA20" i="5"/>
  <c r="AB20" i="5"/>
  <c r="AD20" i="5"/>
  <c r="AE20" i="5"/>
  <c r="AF20" i="5"/>
  <c r="AJ20" i="5"/>
  <c r="AU20" i="5"/>
  <c r="AA3" i="6"/>
  <c r="AB3" i="6"/>
  <c r="AD3" i="6"/>
  <c r="AE3" i="6"/>
  <c r="AF3" i="6"/>
  <c r="AJ3" i="6"/>
  <c r="AK3" i="6"/>
  <c r="AL3" i="6" s="1"/>
  <c r="AD4" i="6"/>
  <c r="AE4" i="6"/>
  <c r="AF4" i="6"/>
  <c r="AJ4" i="6"/>
  <c r="AK4" i="6"/>
  <c r="AA5" i="6"/>
  <c r="AB5" i="6"/>
  <c r="AD5" i="6"/>
  <c r="AE5" i="6"/>
  <c r="AF5" i="6"/>
  <c r="AJ5" i="6"/>
  <c r="AK5" i="6"/>
  <c r="AB6" i="6"/>
  <c r="AE6" i="6"/>
  <c r="AF6" i="6"/>
  <c r="AJ6" i="6"/>
  <c r="AK6" i="6"/>
  <c r="AU6" i="6"/>
  <c r="AA7" i="6"/>
  <c r="AB7" i="6"/>
  <c r="AD7" i="6"/>
  <c r="AE7" i="6"/>
  <c r="AF7" i="6"/>
  <c r="AJ7" i="6"/>
  <c r="AU7" i="6"/>
  <c r="AB8" i="6"/>
  <c r="AE8" i="6"/>
  <c r="AF8" i="6"/>
  <c r="AJ8" i="6"/>
  <c r="AK8" i="6"/>
  <c r="AA9" i="6"/>
  <c r="AB9" i="6"/>
  <c r="AD9" i="6"/>
  <c r="AE9" i="6"/>
  <c r="AF9" i="6"/>
  <c r="AJ9" i="6"/>
  <c r="AK9" i="6"/>
  <c r="AU9" i="6"/>
  <c r="AA10" i="6"/>
  <c r="AB10" i="6"/>
  <c r="AD10" i="6"/>
  <c r="AE10" i="6"/>
  <c r="AF10" i="6"/>
  <c r="AJ10" i="6"/>
  <c r="AK10" i="6"/>
  <c r="AU10" i="6"/>
  <c r="AA11" i="6"/>
  <c r="AB11" i="6"/>
  <c r="AD11" i="6"/>
  <c r="AE11" i="6"/>
  <c r="AF11" i="6"/>
  <c r="AJ11" i="6"/>
  <c r="AK11" i="6"/>
  <c r="AU11" i="6"/>
  <c r="AA12" i="6"/>
  <c r="AB12" i="6"/>
  <c r="AE12" i="6"/>
  <c r="AF12" i="6"/>
  <c r="AJ12" i="6"/>
  <c r="AK12" i="6"/>
  <c r="AU12" i="6"/>
  <c r="AA13" i="6"/>
  <c r="AB13" i="6"/>
  <c r="AD13" i="6"/>
  <c r="AE13" i="6"/>
  <c r="AF13" i="6"/>
  <c r="AJ13" i="6"/>
  <c r="AK13" i="6"/>
  <c r="AU13" i="6"/>
  <c r="AA14" i="6"/>
  <c r="AB14" i="6"/>
  <c r="AD14" i="6"/>
  <c r="AE14" i="6"/>
  <c r="AF14" i="6"/>
  <c r="AJ14" i="6"/>
  <c r="AK14" i="6"/>
  <c r="AU14" i="6"/>
  <c r="AA15" i="6"/>
  <c r="AB15" i="6"/>
  <c r="AD15" i="6"/>
  <c r="AE15" i="6"/>
  <c r="AF15" i="6"/>
  <c r="AJ15" i="6"/>
  <c r="AK15" i="6"/>
  <c r="AU15" i="6"/>
  <c r="AA16" i="6"/>
  <c r="AD16" i="6"/>
  <c r="AE16" i="6"/>
  <c r="AF16" i="6"/>
  <c r="AJ16" i="6"/>
  <c r="AU16" i="6"/>
  <c r="AA17" i="6"/>
  <c r="AB17" i="6"/>
  <c r="AE17" i="6"/>
  <c r="AF17" i="6"/>
  <c r="AJ17" i="6"/>
  <c r="AK17" i="6"/>
  <c r="AU17" i="6"/>
  <c r="AA18" i="6"/>
  <c r="AB18" i="6"/>
  <c r="AD18" i="6"/>
  <c r="AE18" i="6"/>
  <c r="AF18" i="6"/>
  <c r="AU18" i="6"/>
  <c r="AA19" i="6"/>
  <c r="AB19" i="6"/>
  <c r="AD19" i="6"/>
  <c r="AE19" i="6"/>
  <c r="AF19" i="6"/>
  <c r="AJ19" i="6"/>
  <c r="AK19" i="6"/>
  <c r="AU19" i="6"/>
  <c r="AA20" i="6"/>
  <c r="AB20" i="6"/>
  <c r="AD20" i="6"/>
  <c r="AE20" i="6"/>
  <c r="AF20" i="6"/>
  <c r="AJ20" i="6"/>
  <c r="AU20" i="6"/>
  <c r="Y14" i="6"/>
  <c r="Y15" i="6"/>
  <c r="Y16" i="6"/>
  <c r="Y17" i="6"/>
  <c r="Y18" i="6"/>
  <c r="Y19" i="6"/>
  <c r="Y20" i="6"/>
  <c r="Y13" i="6"/>
  <c r="Y4" i="6"/>
  <c r="Y5" i="6"/>
  <c r="Y6" i="6"/>
  <c r="Y7" i="6"/>
  <c r="Y8" i="6"/>
  <c r="Y10" i="6"/>
  <c r="Y11" i="6"/>
  <c r="Y3" i="6"/>
  <c r="J5" i="6"/>
  <c r="K5" i="6"/>
  <c r="L5" i="6"/>
  <c r="M5" i="6"/>
  <c r="N5" i="6"/>
  <c r="N5" i="5"/>
  <c r="M5" i="5"/>
  <c r="L5" i="5"/>
  <c r="K5" i="5"/>
  <c r="J5" i="5"/>
  <c r="L12" i="5"/>
  <c r="K12" i="5"/>
  <c r="J12" i="5"/>
  <c r="W12" i="5"/>
  <c r="W9" i="5"/>
  <c r="Y4" i="5"/>
  <c r="Y5" i="5"/>
  <c r="Y6" i="5"/>
  <c r="Y7" i="5"/>
  <c r="Y8" i="5"/>
  <c r="Y9" i="5"/>
  <c r="Y10" i="5"/>
  <c r="Y11" i="5"/>
  <c r="Y12" i="5"/>
  <c r="Y13" i="5"/>
  <c r="Y14" i="5"/>
  <c r="Y15" i="5"/>
  <c r="Y17" i="5"/>
  <c r="Y19" i="5"/>
  <c r="Y20" i="5"/>
  <c r="M6" i="5"/>
  <c r="L6" i="5"/>
  <c r="K6" i="5"/>
  <c r="J6" i="5"/>
  <c r="W3" i="5"/>
  <c r="W5" i="5"/>
  <c r="W6" i="5"/>
  <c r="W7" i="5"/>
  <c r="W8" i="5"/>
  <c r="Q5" i="6"/>
  <c r="V3" i="6"/>
  <c r="W3" i="6"/>
  <c r="Q19" i="6"/>
  <c r="S19" i="6"/>
  <c r="T19" i="6"/>
  <c r="U19" i="6"/>
  <c r="R19" i="6"/>
  <c r="J19" i="6"/>
  <c r="K19" i="6"/>
  <c r="L19" i="6"/>
  <c r="M19" i="6"/>
  <c r="N19" i="6"/>
  <c r="V19" i="6"/>
  <c r="J20" i="6"/>
  <c r="K20" i="6"/>
  <c r="L20" i="6"/>
  <c r="M20" i="6"/>
  <c r="N20" i="6"/>
  <c r="Q20" i="6"/>
  <c r="R20" i="6"/>
  <c r="S20" i="6"/>
  <c r="T20" i="6"/>
  <c r="U20" i="6"/>
  <c r="V20" i="6"/>
  <c r="W6" i="6"/>
  <c r="J11" i="6"/>
  <c r="M16" i="6"/>
  <c r="N16" i="6"/>
  <c r="Q16" i="6"/>
  <c r="R16" i="6"/>
  <c r="S16" i="6"/>
  <c r="T16" i="6"/>
  <c r="U16" i="6"/>
  <c r="V16" i="6"/>
  <c r="L17" i="6"/>
  <c r="M17" i="6"/>
  <c r="N17" i="6"/>
  <c r="Q17" i="6"/>
  <c r="R17" i="6"/>
  <c r="S17" i="6"/>
  <c r="T17" i="6"/>
  <c r="U17" i="6"/>
  <c r="V17" i="6"/>
  <c r="J18" i="6"/>
  <c r="K18" i="6"/>
  <c r="L18" i="6"/>
  <c r="M18" i="6"/>
  <c r="N18" i="6"/>
  <c r="Q18" i="6"/>
  <c r="R18" i="6"/>
  <c r="S18" i="6"/>
  <c r="T18" i="6"/>
  <c r="U18" i="6"/>
  <c r="V18" i="6"/>
  <c r="R15" i="6"/>
  <c r="S15" i="6"/>
  <c r="T15" i="6"/>
  <c r="U15" i="6"/>
  <c r="Q15" i="6"/>
  <c r="J13" i="6"/>
  <c r="K13" i="6"/>
  <c r="L13" i="6"/>
  <c r="M13" i="6"/>
  <c r="N13" i="6"/>
  <c r="Q13" i="6"/>
  <c r="R13" i="6"/>
  <c r="S13" i="6"/>
  <c r="T13" i="6"/>
  <c r="U13" i="6"/>
  <c r="V13" i="6"/>
  <c r="J14" i="6"/>
  <c r="K14" i="6"/>
  <c r="L14" i="6"/>
  <c r="M14" i="6"/>
  <c r="N14" i="6"/>
  <c r="Q14" i="6"/>
  <c r="R14" i="6"/>
  <c r="S14" i="6"/>
  <c r="T14" i="6"/>
  <c r="U14" i="6"/>
  <c r="V14" i="6"/>
  <c r="J15" i="6"/>
  <c r="K15" i="6"/>
  <c r="L15" i="6"/>
  <c r="M15" i="6"/>
  <c r="N15" i="6"/>
  <c r="V15" i="6"/>
  <c r="L9" i="6"/>
  <c r="N9" i="6"/>
  <c r="M9" i="6"/>
  <c r="K9" i="6"/>
  <c r="Q9" i="6"/>
  <c r="R9" i="6"/>
  <c r="S9" i="6"/>
  <c r="T9" i="6"/>
  <c r="U9" i="6"/>
  <c r="V9" i="6"/>
  <c r="K10" i="6"/>
  <c r="L10" i="6"/>
  <c r="M10" i="6"/>
  <c r="N10" i="6"/>
  <c r="Q10" i="6"/>
  <c r="R10" i="6"/>
  <c r="S10" i="6"/>
  <c r="T10" i="6"/>
  <c r="U10" i="6"/>
  <c r="V10" i="6"/>
  <c r="K11" i="6"/>
  <c r="L11" i="6"/>
  <c r="M11" i="6"/>
  <c r="N11" i="6"/>
  <c r="Q11" i="6"/>
  <c r="R11" i="6"/>
  <c r="S11" i="6"/>
  <c r="T11" i="6"/>
  <c r="U11" i="6"/>
  <c r="V11" i="6"/>
  <c r="K12" i="6"/>
  <c r="L12" i="6"/>
  <c r="M12" i="6"/>
  <c r="N12" i="6"/>
  <c r="Q12" i="6"/>
  <c r="R12" i="6"/>
  <c r="S12" i="6"/>
  <c r="T12" i="6"/>
  <c r="U12" i="6"/>
  <c r="V12" i="6"/>
  <c r="K3" i="6"/>
  <c r="L3" i="6"/>
  <c r="M3" i="6"/>
  <c r="N3" i="6"/>
  <c r="Q3" i="6"/>
  <c r="R3" i="6"/>
  <c r="S3" i="6"/>
  <c r="T3" i="6"/>
  <c r="U3" i="6"/>
  <c r="K4" i="6"/>
  <c r="L4" i="6"/>
  <c r="M4" i="6"/>
  <c r="N4" i="6"/>
  <c r="Q4" i="6"/>
  <c r="R4" i="6"/>
  <c r="S4" i="6"/>
  <c r="T4" i="6"/>
  <c r="U4" i="6"/>
  <c r="V4" i="6"/>
  <c r="R5" i="6"/>
  <c r="S5" i="6"/>
  <c r="T5" i="6"/>
  <c r="U5" i="6"/>
  <c r="V5" i="6"/>
  <c r="K6" i="6"/>
  <c r="L6" i="6"/>
  <c r="M6" i="6"/>
  <c r="N6" i="6"/>
  <c r="Q6" i="6"/>
  <c r="R6" i="6"/>
  <c r="S6" i="6"/>
  <c r="T6" i="6"/>
  <c r="U6" i="6"/>
  <c r="V6" i="6"/>
  <c r="K7" i="6"/>
  <c r="L7" i="6"/>
  <c r="M7" i="6"/>
  <c r="N7" i="6"/>
  <c r="Q7" i="6"/>
  <c r="R7" i="6"/>
  <c r="S7" i="6"/>
  <c r="T7" i="6"/>
  <c r="U7" i="6"/>
  <c r="V7" i="6"/>
  <c r="K8" i="6"/>
  <c r="L8" i="6"/>
  <c r="M8" i="6"/>
  <c r="N8" i="6"/>
  <c r="Q8" i="6"/>
  <c r="R8" i="6"/>
  <c r="S8" i="6"/>
  <c r="T8" i="6"/>
  <c r="U8" i="6"/>
  <c r="V8" i="6"/>
  <c r="H3" i="6"/>
  <c r="J3" i="6"/>
  <c r="H4" i="6"/>
  <c r="J4" i="6"/>
  <c r="H5" i="6"/>
  <c r="H6" i="6"/>
  <c r="J6" i="6"/>
  <c r="H7" i="6"/>
  <c r="J7" i="6"/>
  <c r="H8" i="6"/>
  <c r="J8" i="6"/>
  <c r="H9" i="6"/>
  <c r="J9" i="6"/>
  <c r="H10" i="6"/>
  <c r="J10" i="6"/>
  <c r="H11" i="6"/>
  <c r="H12" i="6"/>
  <c r="H13" i="6"/>
  <c r="H14" i="6"/>
  <c r="H15" i="6"/>
  <c r="H16" i="6"/>
  <c r="H17" i="6"/>
  <c r="H18" i="6"/>
  <c r="H19" i="6"/>
  <c r="H20" i="6"/>
  <c r="F4" i="6"/>
  <c r="F5" i="6"/>
  <c r="F6" i="6"/>
  <c r="F7" i="6"/>
  <c r="F8" i="6"/>
  <c r="F9" i="6"/>
  <c r="F10" i="6"/>
  <c r="F11" i="6"/>
  <c r="F12" i="6"/>
  <c r="F13" i="6"/>
  <c r="F14" i="6"/>
  <c r="F15" i="6"/>
  <c r="F16" i="6"/>
  <c r="F17" i="6"/>
  <c r="F18" i="6"/>
  <c r="F19" i="6"/>
  <c r="F20" i="6"/>
  <c r="F3" i="6"/>
  <c r="Q18" i="5"/>
  <c r="R18" i="5"/>
  <c r="S18" i="5"/>
  <c r="T18" i="5"/>
  <c r="U18" i="5"/>
  <c r="V18" i="5"/>
  <c r="L19" i="5"/>
  <c r="M19" i="5"/>
  <c r="N19" i="5"/>
  <c r="Q19" i="5"/>
  <c r="R19" i="5"/>
  <c r="S19" i="5"/>
  <c r="T19" i="5"/>
  <c r="U19" i="5"/>
  <c r="V19" i="5"/>
  <c r="J20" i="5"/>
  <c r="K20" i="5"/>
  <c r="L20" i="5"/>
  <c r="M20" i="5"/>
  <c r="N20" i="5"/>
  <c r="Q20" i="5"/>
  <c r="R20" i="5"/>
  <c r="S20" i="5"/>
  <c r="T20" i="5"/>
  <c r="U20" i="5"/>
  <c r="V20" i="5"/>
  <c r="Q17" i="5"/>
  <c r="R17" i="5"/>
  <c r="S17" i="5"/>
  <c r="T17" i="5"/>
  <c r="U17" i="5"/>
  <c r="V17" i="5"/>
  <c r="N17" i="5"/>
  <c r="M17" i="5"/>
  <c r="L17" i="5"/>
  <c r="K17" i="5"/>
  <c r="J17" i="5"/>
  <c r="M16" i="5"/>
  <c r="N16" i="5"/>
  <c r="Q16" i="5"/>
  <c r="R16" i="5"/>
  <c r="S16" i="5"/>
  <c r="T16" i="5"/>
  <c r="U16" i="5"/>
  <c r="V16" i="5"/>
  <c r="L15" i="5"/>
  <c r="M15" i="5"/>
  <c r="N15" i="5"/>
  <c r="Q15" i="5"/>
  <c r="R15" i="5"/>
  <c r="S15" i="5"/>
  <c r="T15" i="5"/>
  <c r="U15" i="5"/>
  <c r="V15" i="5"/>
  <c r="L4" i="5"/>
  <c r="M4" i="5"/>
  <c r="N4" i="5"/>
  <c r="R4" i="5"/>
  <c r="S4" i="5"/>
  <c r="T4" i="5"/>
  <c r="U4" i="5"/>
  <c r="V4" i="5"/>
  <c r="Q5" i="5"/>
  <c r="R5" i="5"/>
  <c r="S5" i="5"/>
  <c r="T5" i="5"/>
  <c r="U5" i="5"/>
  <c r="V5" i="5"/>
  <c r="N6" i="5"/>
  <c r="Q6" i="5"/>
  <c r="R6" i="5"/>
  <c r="S6" i="5"/>
  <c r="T6" i="5"/>
  <c r="U6" i="5"/>
  <c r="V6" i="5"/>
  <c r="J7" i="5"/>
  <c r="K7" i="5"/>
  <c r="L7" i="5"/>
  <c r="M7" i="5"/>
  <c r="N7" i="5"/>
  <c r="Q7" i="5"/>
  <c r="R7" i="5"/>
  <c r="S7" i="5"/>
  <c r="T7" i="5"/>
  <c r="U7" i="5"/>
  <c r="V7" i="5"/>
  <c r="J8" i="5"/>
  <c r="K8" i="5"/>
  <c r="L8" i="5"/>
  <c r="M8" i="5"/>
  <c r="N8" i="5"/>
  <c r="Q8" i="5"/>
  <c r="R8" i="5"/>
  <c r="S8" i="5"/>
  <c r="T8" i="5"/>
  <c r="U8" i="5"/>
  <c r="V8" i="5"/>
  <c r="J9" i="5"/>
  <c r="K9" i="5"/>
  <c r="L9" i="5"/>
  <c r="M9" i="5"/>
  <c r="N9" i="5"/>
  <c r="Q9" i="5"/>
  <c r="R9" i="5"/>
  <c r="S9" i="5"/>
  <c r="T9" i="5"/>
  <c r="U9" i="5"/>
  <c r="V9" i="5"/>
  <c r="J10" i="5"/>
  <c r="K10" i="5"/>
  <c r="L10" i="5"/>
  <c r="M10" i="5"/>
  <c r="N10" i="5"/>
  <c r="Q10" i="5"/>
  <c r="R10" i="5"/>
  <c r="S10" i="5"/>
  <c r="T10" i="5"/>
  <c r="U10" i="5"/>
  <c r="V10" i="5"/>
  <c r="J11" i="5"/>
  <c r="K11" i="5"/>
  <c r="L11" i="5"/>
  <c r="M11" i="5"/>
  <c r="N11" i="5"/>
  <c r="Q11" i="5"/>
  <c r="R11" i="5"/>
  <c r="S11" i="5"/>
  <c r="T11" i="5"/>
  <c r="U11" i="5"/>
  <c r="V11" i="5"/>
  <c r="M12" i="5"/>
  <c r="N12" i="5"/>
  <c r="Q12" i="5"/>
  <c r="R12" i="5"/>
  <c r="S12" i="5"/>
  <c r="T12" i="5"/>
  <c r="U12" i="5"/>
  <c r="V12" i="5"/>
  <c r="J13" i="5"/>
  <c r="K13" i="5"/>
  <c r="L13" i="5"/>
  <c r="M13" i="5"/>
  <c r="N13" i="5"/>
  <c r="Q13" i="5"/>
  <c r="R13" i="5"/>
  <c r="S13" i="5"/>
  <c r="T13" i="5"/>
  <c r="U13" i="5"/>
  <c r="V13" i="5"/>
  <c r="J14" i="5"/>
  <c r="K14" i="5"/>
  <c r="L14" i="5"/>
  <c r="M14" i="5"/>
  <c r="N14" i="5"/>
  <c r="Q14" i="5"/>
  <c r="R14" i="5"/>
  <c r="S14" i="5"/>
  <c r="T14" i="5"/>
  <c r="U14" i="5"/>
  <c r="V14" i="5"/>
  <c r="H4" i="5"/>
  <c r="H5" i="5"/>
  <c r="H6" i="5"/>
  <c r="H7" i="5"/>
  <c r="H8" i="5"/>
  <c r="H9" i="5"/>
  <c r="H10" i="5"/>
  <c r="H11" i="5"/>
  <c r="H12" i="5"/>
  <c r="H13" i="5"/>
  <c r="H14" i="5"/>
  <c r="H15" i="5"/>
  <c r="H16" i="5"/>
  <c r="H17" i="5"/>
  <c r="H18" i="5"/>
  <c r="H19" i="5"/>
  <c r="H20" i="5"/>
  <c r="F5" i="5"/>
  <c r="F6" i="5"/>
  <c r="F7" i="5"/>
  <c r="F8" i="5"/>
  <c r="F9" i="5"/>
  <c r="F10" i="5"/>
  <c r="F11" i="5"/>
  <c r="F12" i="5"/>
  <c r="F13" i="5"/>
  <c r="F14" i="5"/>
  <c r="F15" i="5"/>
  <c r="F16" i="5"/>
  <c r="F17" i="5"/>
  <c r="F18" i="5"/>
  <c r="F19" i="5"/>
  <c r="F20" i="5"/>
  <c r="BK18" i="4"/>
  <c r="BK6" i="4"/>
  <c r="BE13" i="4"/>
  <c r="BD20" i="4"/>
  <c r="CL3" i="4"/>
  <c r="CL4" i="4"/>
  <c r="CL5" i="4"/>
  <c r="CL6" i="4"/>
  <c r="CL7" i="4"/>
  <c r="CL8" i="4"/>
  <c r="CL9" i="4"/>
  <c r="CL10" i="4"/>
  <c r="CL12" i="4"/>
  <c r="CL13" i="4"/>
  <c r="CL15" i="4"/>
  <c r="CL16" i="4"/>
  <c r="CL19" i="4"/>
  <c r="CL20" i="4"/>
  <c r="X3" i="4"/>
  <c r="I4" i="4"/>
  <c r="P19" i="4"/>
  <c r="P18" i="4"/>
  <c r="P17" i="4"/>
  <c r="P16" i="4"/>
  <c r="P15" i="4"/>
  <c r="P20" i="4"/>
  <c r="P14" i="4"/>
  <c r="P13" i="4"/>
  <c r="P12" i="4"/>
  <c r="P11" i="4"/>
  <c r="P10" i="4"/>
  <c r="P9" i="4"/>
  <c r="P8" i="4"/>
  <c r="P7" i="4"/>
  <c r="P6" i="4"/>
  <c r="P3" i="4"/>
  <c r="P4" i="4"/>
  <c r="P5" i="4"/>
  <c r="V3" i="8"/>
  <c r="V4" i="8"/>
  <c r="V5" i="8"/>
  <c r="V6" i="8"/>
  <c r="V7" i="8"/>
  <c r="V8" i="8"/>
  <c r="V9" i="8"/>
  <c r="V10" i="8"/>
  <c r="V11" i="8"/>
  <c r="V12" i="8"/>
  <c r="V13" i="8"/>
  <c r="V14" i="8"/>
  <c r="V15" i="8"/>
  <c r="V16" i="8"/>
  <c r="V17" i="8"/>
  <c r="V18" i="8"/>
  <c r="V19" i="8"/>
  <c r="AD35" i="4"/>
  <c r="O20" i="4"/>
  <c r="O19" i="4"/>
  <c r="O18" i="4"/>
  <c r="O17" i="4"/>
  <c r="O16" i="4"/>
  <c r="O15" i="4"/>
  <c r="O14" i="4"/>
  <c r="O13" i="4"/>
  <c r="O12" i="4"/>
  <c r="O11" i="4"/>
  <c r="O10" i="4"/>
  <c r="O9" i="4"/>
  <c r="O8" i="4"/>
  <c r="O7" i="4"/>
  <c r="O6" i="4"/>
  <c r="O3" i="4"/>
  <c r="O5" i="4"/>
  <c r="O4" i="4"/>
  <c r="CN22" i="4"/>
  <c r="CM23" i="4"/>
  <c r="CL27" i="4"/>
  <c r="CL26" i="4"/>
  <c r="CL25" i="4"/>
  <c r="CL24" i="4"/>
  <c r="CL23" i="4"/>
  <c r="CL22" i="4"/>
  <c r="CK27" i="4"/>
  <c r="CK26" i="4"/>
  <c r="CK25" i="4"/>
  <c r="CK24" i="4"/>
  <c r="CK23" i="4"/>
  <c r="CK22" i="4"/>
  <c r="CJ23" i="4"/>
  <c r="CJ22" i="4"/>
  <c r="CG27" i="4"/>
  <c r="CF27" i="4"/>
  <c r="CE27" i="4"/>
  <c r="CG26" i="4"/>
  <c r="CF26" i="4"/>
  <c r="CE26" i="4"/>
  <c r="CG25" i="4"/>
  <c r="CF25" i="4"/>
  <c r="CE25" i="4"/>
  <c r="CG24" i="4"/>
  <c r="CF24" i="4"/>
  <c r="CE24" i="4"/>
  <c r="CG23" i="4"/>
  <c r="CF23" i="4"/>
  <c r="CE23" i="4"/>
  <c r="CG22" i="4"/>
  <c r="CF22" i="4"/>
  <c r="CE22" i="4"/>
  <c r="CD27" i="4"/>
  <c r="CD26" i="4"/>
  <c r="CD25" i="4"/>
  <c r="CD24" i="4"/>
  <c r="CD23" i="4"/>
  <c r="CD22" i="4"/>
  <c r="CB24" i="4"/>
  <c r="CB23" i="4"/>
  <c r="CB22" i="4"/>
  <c r="CA25" i="4"/>
  <c r="CA24" i="4"/>
  <c r="CA23" i="4"/>
  <c r="CA22" i="4"/>
  <c r="BZ25" i="4"/>
  <c r="BY28" i="4"/>
  <c r="BZ24" i="4"/>
  <c r="BY27" i="4"/>
  <c r="BZ23" i="4"/>
  <c r="BZ22" i="4"/>
  <c r="BY26" i="4"/>
  <c r="BY25" i="4"/>
  <c r="BY24" i="4"/>
  <c r="BY23" i="4"/>
  <c r="BY22" i="4"/>
  <c r="BW25" i="4"/>
  <c r="BW24" i="4"/>
  <c r="BW23" i="4"/>
  <c r="BW22" i="4"/>
  <c r="BS25" i="4"/>
  <c r="BS24" i="4"/>
  <c r="BS23" i="4"/>
  <c r="BS22" i="4"/>
  <c r="BV25" i="4"/>
  <c r="BV24" i="4"/>
  <c r="BV23" i="4"/>
  <c r="BV22" i="4"/>
  <c r="BR26" i="4"/>
  <c r="BR25" i="4"/>
  <c r="BR24" i="4"/>
  <c r="BR23" i="4"/>
  <c r="BR22" i="4"/>
  <c r="BU27" i="4"/>
  <c r="BU26" i="4"/>
  <c r="BU25" i="4"/>
  <c r="BU24" i="4"/>
  <c r="BU23" i="4"/>
  <c r="BU22" i="4"/>
  <c r="BQ28" i="4"/>
  <c r="BQ27" i="4"/>
  <c r="BQ26" i="4"/>
  <c r="BQ25" i="4"/>
  <c r="BQ24" i="4"/>
  <c r="BQ23" i="4"/>
  <c r="BQ22" i="4"/>
  <c r="BT26" i="4"/>
  <c r="BP27" i="4"/>
  <c r="BP26" i="4"/>
  <c r="BT25" i="4"/>
  <c r="BT24" i="4"/>
  <c r="BT23" i="4"/>
  <c r="BT22" i="4"/>
  <c r="BP25" i="4"/>
  <c r="BP24" i="4"/>
  <c r="BP23" i="4"/>
  <c r="BP22" i="4"/>
  <c r="BF25" i="4"/>
  <c r="BF24" i="4"/>
  <c r="BF23" i="4"/>
  <c r="BC25" i="4"/>
  <c r="BB23" i="4"/>
  <c r="BB22" i="4"/>
  <c r="AH22" i="4"/>
  <c r="AG23" i="4"/>
  <c r="AG22" i="4"/>
  <c r="AF22" i="4"/>
  <c r="AC23" i="4"/>
  <c r="AC24" i="4"/>
  <c r="AC22" i="4"/>
  <c r="AA27" i="4"/>
  <c r="AA24" i="4"/>
  <c r="AA23" i="4"/>
  <c r="AA22" i="4"/>
  <c r="Z22" i="4"/>
  <c r="CO4" i="4"/>
  <c r="CO6" i="4"/>
  <c r="CO7" i="4"/>
  <c r="CO9" i="4"/>
  <c r="CO10" i="4"/>
  <c r="CO11" i="4"/>
  <c r="CO12" i="4"/>
  <c r="CO13" i="4"/>
  <c r="CO14" i="4"/>
  <c r="CO15" i="4"/>
  <c r="CO16" i="4"/>
  <c r="CO17" i="4"/>
  <c r="CO18" i="4"/>
  <c r="CO19" i="4"/>
  <c r="CO20" i="4"/>
  <c r="CO3" i="4"/>
  <c r="AD36" i="4"/>
  <c r="AD34" i="4"/>
  <c r="AD33" i="4"/>
  <c r="CO33" i="4"/>
  <c r="CO32" i="4"/>
  <c r="CO31" i="4"/>
  <c r="CO30" i="4"/>
  <c r="CO22" i="4"/>
  <c r="CO23" i="4"/>
  <c r="CN23" i="4"/>
  <c r="CN32" i="4"/>
  <c r="CN31" i="4"/>
  <c r="CN30" i="4"/>
  <c r="CM31" i="4"/>
  <c r="CM30" i="4"/>
  <c r="CM22" i="4"/>
  <c r="CL32" i="4"/>
  <c r="CL31" i="4"/>
  <c r="CL30" i="4"/>
  <c r="CK31" i="4"/>
  <c r="CK30" i="4"/>
  <c r="CJ34" i="4"/>
  <c r="CJ33" i="4"/>
  <c r="CJ32" i="4"/>
  <c r="CJ31" i="4"/>
  <c r="CJ30" i="4"/>
  <c r="CJ26" i="4"/>
  <c r="CJ25" i="4"/>
  <c r="CJ24" i="4"/>
  <c r="CI31" i="4"/>
  <c r="CI30" i="4"/>
  <c r="CG30" i="4"/>
  <c r="CF30" i="4"/>
  <c r="CE30" i="4"/>
  <c r="CD30" i="4"/>
  <c r="CG31" i="4"/>
  <c r="CF33" i="4"/>
  <c r="CE33" i="4"/>
  <c r="CD32" i="4"/>
  <c r="CG33" i="4"/>
  <c r="CG32" i="4"/>
  <c r="CF31" i="4"/>
  <c r="CE31" i="4"/>
  <c r="CD33" i="4"/>
  <c r="CF32" i="4"/>
  <c r="CE32" i="4"/>
  <c r="CD31" i="4"/>
  <c r="BY30" i="4"/>
  <c r="CB31" i="4"/>
  <c r="CA30" i="4"/>
  <c r="BZ30" i="4"/>
  <c r="BY32" i="4"/>
  <c r="BP32" i="4"/>
  <c r="CB30" i="4"/>
  <c r="CA32" i="4"/>
  <c r="BZ32" i="4"/>
  <c r="BY31" i="4"/>
  <c r="BP31" i="4"/>
  <c r="CB32" i="4"/>
  <c r="CA31" i="4"/>
  <c r="BZ31" i="4"/>
  <c r="BP30" i="4"/>
  <c r="BS30" i="4"/>
  <c r="BR32" i="4"/>
  <c r="BQ32" i="4"/>
  <c r="BT31" i="4"/>
  <c r="BS31" i="4"/>
  <c r="BR30" i="4"/>
  <c r="BQ30" i="4"/>
  <c r="BU30" i="4"/>
  <c r="BS32" i="4"/>
  <c r="BR31" i="4"/>
  <c r="BQ31" i="4"/>
  <c r="BT30" i="4"/>
  <c r="BW31" i="4"/>
  <c r="BV30" i="4"/>
  <c r="BT32" i="4"/>
  <c r="BV32" i="4"/>
  <c r="BW30" i="4"/>
  <c r="BU32" i="4"/>
  <c r="BW32" i="4"/>
  <c r="BV31" i="4"/>
  <c r="BU31" i="4"/>
  <c r="BO30" i="4"/>
  <c r="BM30" i="4"/>
  <c r="BK32" i="4"/>
  <c r="BK31" i="4"/>
  <c r="BK30" i="4"/>
  <c r="BI33" i="4"/>
  <c r="BI32" i="4"/>
  <c r="BI31" i="4"/>
  <c r="BI30" i="4"/>
  <c r="BJ30" i="4"/>
  <c r="BL30" i="4"/>
  <c r="BN30" i="4"/>
  <c r="BH30" i="4"/>
  <c r="BH22" i="4"/>
  <c r="BG32" i="4"/>
  <c r="BG31" i="4"/>
  <c r="BG30" i="4"/>
  <c r="BF32" i="4"/>
  <c r="BF31" i="4"/>
  <c r="BF30" i="4"/>
  <c r="BD32" i="4"/>
  <c r="BD31" i="4"/>
  <c r="BD30" i="4"/>
  <c r="BC33" i="4"/>
  <c r="BC32" i="4"/>
  <c r="BC31" i="4"/>
  <c r="BC30" i="4"/>
  <c r="BE32" i="4"/>
  <c r="BE31" i="4"/>
  <c r="BE30" i="4"/>
  <c r="BB31" i="4"/>
  <c r="BB30" i="4"/>
  <c r="BA31" i="4"/>
  <c r="BA30" i="4"/>
  <c r="AZ33" i="4"/>
  <c r="AZ32" i="4"/>
  <c r="AZ31" i="4"/>
  <c r="AZ30" i="4"/>
  <c r="AY32" i="4"/>
  <c r="AY31" i="4"/>
  <c r="AY30" i="4"/>
  <c r="AV34" i="4"/>
  <c r="AV33" i="4"/>
  <c r="AV32" i="4"/>
  <c r="AV31" i="4"/>
  <c r="AV30" i="4"/>
  <c r="AI31" i="4"/>
  <c r="AI30" i="4"/>
  <c r="AG32" i="4"/>
  <c r="AA26" i="4"/>
  <c r="AH31" i="4"/>
  <c r="AG31" i="4"/>
  <c r="AH30" i="4"/>
  <c r="AG30" i="4"/>
  <c r="AD32" i="4"/>
  <c r="AD31" i="4"/>
  <c r="AD30" i="4"/>
  <c r="AC33" i="4"/>
  <c r="AC32" i="4"/>
  <c r="AC31" i="4"/>
  <c r="AC30" i="4"/>
  <c r="AA32" i="4"/>
  <c r="AA31" i="4"/>
  <c r="AA30" i="4"/>
  <c r="Z30" i="4"/>
  <c r="CI23" i="4"/>
  <c r="CI22" i="4"/>
  <c r="BO22" i="4"/>
  <c r="BF22" i="4"/>
  <c r="BE23" i="4"/>
  <c r="BE22" i="4"/>
  <c r="BD23" i="4"/>
  <c r="BD22" i="4"/>
  <c r="BC24" i="4"/>
  <c r="BC23" i="4"/>
  <c r="BC22" i="4"/>
  <c r="BN22" i="4"/>
  <c r="BM22" i="4"/>
  <c r="BL22" i="4"/>
  <c r="BK22" i="4"/>
  <c r="BJ22" i="4"/>
  <c r="BI22" i="4"/>
  <c r="BG22" i="4"/>
  <c r="BA22" i="4"/>
  <c r="AZ22" i="4"/>
  <c r="AY22" i="4"/>
  <c r="AI23" i="4"/>
  <c r="AI22" i="4"/>
  <c r="AA25" i="4"/>
  <c r="Z23" i="4"/>
  <c r="AE22" i="4"/>
  <c r="AD22" i="4"/>
  <c r="X11" i="4"/>
  <c r="AY10" i="4"/>
  <c r="AV13" i="7"/>
  <c r="Q15" i="8"/>
  <c r="H11" i="8"/>
  <c r="U10" i="8"/>
  <c r="T10" i="8"/>
  <c r="S10" i="8"/>
  <c r="R10" i="8"/>
  <c r="Q10" i="8"/>
  <c r="AA8" i="4"/>
  <c r="Z7" i="4"/>
  <c r="N6" i="8"/>
  <c r="M6" i="8"/>
  <c r="L6" i="8"/>
  <c r="G20" i="4"/>
  <c r="G19" i="4"/>
  <c r="G18" i="4"/>
  <c r="G17" i="4"/>
  <c r="G16" i="4"/>
  <c r="G15" i="4"/>
  <c r="G14" i="4"/>
  <c r="G13" i="4"/>
  <c r="G12" i="4"/>
  <c r="G11" i="4"/>
  <c r="G10" i="4"/>
  <c r="G9" i="4"/>
  <c r="G8" i="4"/>
  <c r="G7" i="4"/>
  <c r="G6" i="4"/>
  <c r="G4" i="4"/>
  <c r="G5" i="4"/>
  <c r="G4" i="8"/>
  <c r="G5" i="8"/>
  <c r="G6" i="8"/>
  <c r="G7" i="8"/>
  <c r="G8" i="8"/>
  <c r="G9" i="8"/>
  <c r="G10" i="8"/>
  <c r="G11" i="8"/>
  <c r="G12" i="8"/>
  <c r="G13" i="8"/>
  <c r="G14" i="8"/>
  <c r="G15" i="8"/>
  <c r="G16" i="8"/>
  <c r="G17" i="8"/>
  <c r="G18" i="8"/>
  <c r="G19" i="8"/>
  <c r="G3" i="4"/>
  <c r="W19" i="8"/>
  <c r="U19" i="8"/>
  <c r="T19" i="8"/>
  <c r="S19" i="8"/>
  <c r="R19" i="8"/>
  <c r="Q19" i="8"/>
  <c r="P19" i="8"/>
  <c r="H19" i="8"/>
  <c r="F19" i="8"/>
  <c r="W18" i="8"/>
  <c r="U18" i="8"/>
  <c r="T18" i="8"/>
  <c r="S18" i="8"/>
  <c r="R18" i="8"/>
  <c r="Q18" i="8"/>
  <c r="P18" i="8"/>
  <c r="N18" i="8"/>
  <c r="M18" i="8"/>
  <c r="L18" i="8"/>
  <c r="K18" i="8"/>
  <c r="J18" i="8"/>
  <c r="H18" i="8"/>
  <c r="F18" i="8"/>
  <c r="W17" i="8"/>
  <c r="U17" i="8"/>
  <c r="T17" i="8"/>
  <c r="S17" i="8"/>
  <c r="R17" i="8"/>
  <c r="Q17" i="8"/>
  <c r="P17" i="8"/>
  <c r="N17" i="8"/>
  <c r="M17" i="8"/>
  <c r="L17" i="8"/>
  <c r="K17" i="8"/>
  <c r="J17" i="8"/>
  <c r="H17" i="8"/>
  <c r="F17" i="8"/>
  <c r="W16" i="8"/>
  <c r="U16" i="8"/>
  <c r="T16" i="8"/>
  <c r="S16" i="8"/>
  <c r="R16" i="8"/>
  <c r="Q16" i="8"/>
  <c r="P16" i="8"/>
  <c r="N16" i="8"/>
  <c r="M16" i="8"/>
  <c r="L16" i="8"/>
  <c r="K16" i="8"/>
  <c r="J16" i="8"/>
  <c r="H16" i="8"/>
  <c r="F16" i="8"/>
  <c r="W15" i="8"/>
  <c r="U15" i="8"/>
  <c r="T15" i="8"/>
  <c r="S15" i="8"/>
  <c r="R15" i="8"/>
  <c r="P15" i="8"/>
  <c r="N15" i="8"/>
  <c r="M15" i="8"/>
  <c r="L15" i="8"/>
  <c r="K15" i="8"/>
  <c r="J15" i="8"/>
  <c r="H15" i="8"/>
  <c r="F15" i="8"/>
  <c r="W14" i="8"/>
  <c r="U14" i="8"/>
  <c r="T14" i="8"/>
  <c r="S14" i="8"/>
  <c r="R14" i="8"/>
  <c r="Q14" i="8"/>
  <c r="P14" i="8"/>
  <c r="N14" i="8"/>
  <c r="M14" i="8"/>
  <c r="L14" i="8"/>
  <c r="K14" i="8"/>
  <c r="J14" i="8"/>
  <c r="H14" i="8"/>
  <c r="F14" i="8"/>
  <c r="W13" i="8"/>
  <c r="U13" i="8"/>
  <c r="T13" i="8"/>
  <c r="S13" i="8"/>
  <c r="R13" i="8"/>
  <c r="Q13" i="8"/>
  <c r="P13" i="8"/>
  <c r="N13" i="8"/>
  <c r="M13" i="8"/>
  <c r="L13" i="8"/>
  <c r="K13" i="8"/>
  <c r="J13" i="8"/>
  <c r="H13" i="8"/>
  <c r="F13" i="8"/>
  <c r="W12" i="8"/>
  <c r="U12" i="8"/>
  <c r="T12" i="8"/>
  <c r="S12" i="8"/>
  <c r="R12" i="8"/>
  <c r="Q12" i="8"/>
  <c r="P12" i="8"/>
  <c r="N12" i="8"/>
  <c r="M12" i="8"/>
  <c r="L12" i="8"/>
  <c r="K12" i="8"/>
  <c r="J12" i="8"/>
  <c r="H12" i="8"/>
  <c r="F12" i="8"/>
  <c r="W11" i="8"/>
  <c r="U11" i="8"/>
  <c r="T11" i="8"/>
  <c r="S11" i="8"/>
  <c r="R11" i="8"/>
  <c r="Q11" i="8"/>
  <c r="P11" i="8"/>
  <c r="N11" i="8"/>
  <c r="M11" i="8"/>
  <c r="L11" i="8"/>
  <c r="K11" i="8"/>
  <c r="J11" i="8"/>
  <c r="F11" i="8"/>
  <c r="W10" i="8"/>
  <c r="P10" i="8"/>
  <c r="N10" i="8"/>
  <c r="M10" i="8"/>
  <c r="L10" i="8"/>
  <c r="K10" i="8"/>
  <c r="J10" i="8"/>
  <c r="H10" i="8"/>
  <c r="F10" i="8"/>
  <c r="W9" i="8"/>
  <c r="U9" i="8"/>
  <c r="T9" i="8"/>
  <c r="S9" i="8"/>
  <c r="R9" i="8"/>
  <c r="Q9" i="8"/>
  <c r="P9" i="8"/>
  <c r="N9" i="8"/>
  <c r="M9" i="8"/>
  <c r="L9" i="8"/>
  <c r="K9" i="8"/>
  <c r="J9" i="8"/>
  <c r="H9" i="8"/>
  <c r="F9" i="8"/>
  <c r="W8" i="8"/>
  <c r="U8" i="8"/>
  <c r="T8" i="8"/>
  <c r="S8" i="8"/>
  <c r="R8" i="8"/>
  <c r="Q8" i="8"/>
  <c r="P8" i="8"/>
  <c r="N8" i="8"/>
  <c r="M8" i="8"/>
  <c r="L8" i="8"/>
  <c r="K8" i="8"/>
  <c r="J8" i="8"/>
  <c r="H8" i="8"/>
  <c r="F8" i="8"/>
  <c r="W7" i="8"/>
  <c r="U7" i="8"/>
  <c r="T7" i="8"/>
  <c r="S7" i="8"/>
  <c r="R7" i="8"/>
  <c r="Q7" i="8"/>
  <c r="P7" i="8"/>
  <c r="N7" i="8"/>
  <c r="M7" i="8"/>
  <c r="L7" i="8"/>
  <c r="K7" i="8"/>
  <c r="J7" i="8"/>
  <c r="H7" i="8"/>
  <c r="F7" i="8"/>
  <c r="W6" i="8"/>
  <c r="U6" i="8"/>
  <c r="T6" i="8"/>
  <c r="S6" i="8"/>
  <c r="R6" i="8"/>
  <c r="Q6" i="8"/>
  <c r="P6" i="8"/>
  <c r="K6" i="8"/>
  <c r="J6" i="8"/>
  <c r="H6" i="8"/>
  <c r="F6" i="8"/>
  <c r="W5" i="8"/>
  <c r="U5" i="8"/>
  <c r="T5" i="8"/>
  <c r="S5" i="8"/>
  <c r="R5" i="8"/>
  <c r="Q5" i="8"/>
  <c r="P5" i="8"/>
  <c r="N5" i="8"/>
  <c r="M5" i="8"/>
  <c r="L5" i="8"/>
  <c r="K5" i="8"/>
  <c r="J5" i="8"/>
  <c r="H5" i="8"/>
  <c r="F5" i="8"/>
  <c r="W4" i="8"/>
  <c r="U4" i="8"/>
  <c r="T4" i="8"/>
  <c r="S4" i="8"/>
  <c r="R4" i="8"/>
  <c r="Q4" i="8"/>
  <c r="P4" i="8"/>
  <c r="N4" i="8"/>
  <c r="M4" i="8"/>
  <c r="L4" i="8"/>
  <c r="K4" i="8"/>
  <c r="J4" i="8"/>
  <c r="I4" i="8"/>
  <c r="H4" i="8"/>
  <c r="F4" i="8"/>
  <c r="W3" i="8"/>
  <c r="U3" i="8"/>
  <c r="T3" i="8"/>
  <c r="S3" i="8"/>
  <c r="R3" i="8"/>
  <c r="Q3" i="8"/>
  <c r="P3" i="8"/>
  <c r="N3" i="8"/>
  <c r="M3" i="8"/>
  <c r="L3" i="8"/>
  <c r="K3" i="8"/>
  <c r="J3" i="8"/>
  <c r="H3" i="8"/>
  <c r="F3" i="8"/>
  <c r="W20" i="6"/>
  <c r="W4" i="6"/>
  <c r="W5" i="6"/>
  <c r="W7" i="6"/>
  <c r="W8" i="6"/>
  <c r="W9" i="6"/>
  <c r="W10" i="6"/>
  <c r="W12" i="6"/>
  <c r="W13" i="6"/>
  <c r="W14" i="6"/>
  <c r="W15" i="6"/>
  <c r="W18" i="6"/>
  <c r="W19" i="6"/>
  <c r="W10" i="5"/>
  <c r="W11" i="5"/>
  <c r="W13" i="5"/>
  <c r="W14" i="5"/>
  <c r="W15" i="5"/>
  <c r="W17" i="5"/>
  <c r="W19" i="5"/>
  <c r="W20" i="5"/>
  <c r="Z3" i="4"/>
  <c r="CN20" i="4"/>
  <c r="CM20" i="4"/>
  <c r="AL20" i="4"/>
  <c r="Z20" i="4"/>
  <c r="X20" i="4"/>
  <c r="CN19" i="4"/>
  <c r="CM19" i="4"/>
  <c r="AL19" i="4"/>
  <c r="X19" i="4"/>
  <c r="CN18" i="4"/>
  <c r="CM18" i="4"/>
  <c r="AL18" i="4"/>
  <c r="X18" i="4"/>
  <c r="CN17" i="4"/>
  <c r="CM17" i="4"/>
  <c r="AL17" i="4"/>
  <c r="AC17" i="4"/>
  <c r="X17" i="4"/>
  <c r="CN16" i="4"/>
  <c r="CM16" i="4"/>
  <c r="AL16" i="4"/>
  <c r="CN15" i="4"/>
  <c r="CM15" i="4"/>
  <c r="AL15" i="4"/>
  <c r="AC15" i="4"/>
  <c r="X15" i="4"/>
  <c r="CN14" i="4"/>
  <c r="CM14" i="4"/>
  <c r="AL14" i="4"/>
  <c r="X14" i="4"/>
  <c r="CN13" i="4"/>
  <c r="CM13" i="4"/>
  <c r="AL13" i="4"/>
  <c r="AC13" i="4"/>
  <c r="X13" i="4"/>
  <c r="CN12" i="4"/>
  <c r="CM12" i="4"/>
  <c r="AL12" i="4"/>
  <c r="X12" i="4"/>
  <c r="CN11" i="4"/>
  <c r="CM11" i="4"/>
  <c r="AL11" i="4"/>
  <c r="AC11" i="4"/>
  <c r="Z11" i="4"/>
  <c r="CN10" i="4"/>
  <c r="CM10" i="4"/>
  <c r="AL10" i="4"/>
  <c r="CN9" i="4"/>
  <c r="CM9" i="4"/>
  <c r="AL9" i="4"/>
  <c r="X9" i="4"/>
  <c r="CN8" i="4"/>
  <c r="CM8" i="4"/>
  <c r="AL8" i="4"/>
  <c r="X8" i="4"/>
  <c r="CN7" i="4"/>
  <c r="CM7" i="4"/>
  <c r="AL7" i="4"/>
  <c r="X7" i="4"/>
  <c r="CN6" i="4"/>
  <c r="CM6" i="4"/>
  <c r="AL6" i="4"/>
  <c r="AC6" i="4"/>
  <c r="X6" i="4"/>
  <c r="CN5" i="4"/>
  <c r="CM5" i="4"/>
  <c r="AL5" i="4"/>
  <c r="X5" i="4"/>
  <c r="CN4" i="4"/>
  <c r="CM4" i="4"/>
  <c r="AL4" i="4"/>
  <c r="AC4" i="4"/>
  <c r="X4" i="4"/>
  <c r="CN3" i="4"/>
  <c r="CM3" i="4"/>
  <c r="AE119" i="1"/>
  <c r="AY130" i="1"/>
  <c r="AY118" i="1"/>
  <c r="CE115" i="1"/>
  <c r="CE120" i="1"/>
  <c r="AS132" i="1"/>
  <c r="AO123" i="1"/>
  <c r="AO122" i="1"/>
  <c r="T132" i="1"/>
  <c r="R132" i="1"/>
  <c r="CE132" i="1"/>
  <c r="CD132" i="1"/>
  <c r="CC132" i="1"/>
  <c r="CB132" i="1"/>
  <c r="BM132" i="1"/>
  <c r="BR132" i="1" s="1"/>
  <c r="BL132" i="1"/>
  <c r="BK132" i="1"/>
  <c r="BJ132" i="1"/>
  <c r="BI132" i="1"/>
  <c r="BH132" i="1"/>
  <c r="BG132" i="1"/>
  <c r="BF132" i="1"/>
  <c r="AE132" i="1"/>
  <c r="W129" i="1"/>
  <c r="W125" i="1"/>
  <c r="W127" i="1"/>
  <c r="W123" i="1"/>
  <c r="W118" i="1"/>
  <c r="W116" i="1"/>
  <c r="CB124" i="1"/>
  <c r="CB125" i="1"/>
  <c r="CB127" i="1"/>
  <c r="CB128" i="1"/>
  <c r="CB130" i="1"/>
  <c r="CB131" i="1"/>
  <c r="CB115" i="1"/>
  <c r="CB116" i="1"/>
  <c r="CB117" i="1"/>
  <c r="CB118" i="1"/>
  <c r="CB119" i="1"/>
  <c r="CB120" i="1"/>
  <c r="CB121" i="1"/>
  <c r="CB122" i="1"/>
  <c r="BK123" i="1"/>
  <c r="CE126" i="1"/>
  <c r="CE116" i="1"/>
  <c r="CE117" i="1"/>
  <c r="CE118" i="1"/>
  <c r="CE119" i="1"/>
  <c r="CE121" i="1"/>
  <c r="CE122" i="1"/>
  <c r="CE123" i="1"/>
  <c r="CE124" i="1"/>
  <c r="CE125" i="1"/>
  <c r="CE127" i="1"/>
  <c r="CE128" i="1"/>
  <c r="CE129" i="1"/>
  <c r="CE130" i="1"/>
  <c r="CE131" i="1"/>
  <c r="CD116" i="1"/>
  <c r="CD117" i="1"/>
  <c r="CD118" i="1"/>
  <c r="CD119" i="1"/>
  <c r="CD120" i="1"/>
  <c r="CD121" i="1"/>
  <c r="CD122" i="1"/>
  <c r="CD123" i="1"/>
  <c r="CD124" i="1"/>
  <c r="CD125" i="1"/>
  <c r="CD126" i="1"/>
  <c r="CD127" i="1"/>
  <c r="CD128" i="1"/>
  <c r="CD129" i="1"/>
  <c r="CD130" i="1"/>
  <c r="CD131" i="1"/>
  <c r="CD115" i="1"/>
  <c r="CC116" i="1"/>
  <c r="CC117" i="1"/>
  <c r="CC118" i="1"/>
  <c r="CC119" i="1"/>
  <c r="CC120" i="1"/>
  <c r="CC121" i="1"/>
  <c r="CC122" i="1"/>
  <c r="CC123" i="1"/>
  <c r="CC124" i="1"/>
  <c r="CC125" i="1"/>
  <c r="CC126" i="1"/>
  <c r="CC127" i="1"/>
  <c r="CC128" i="1"/>
  <c r="CC129" i="1"/>
  <c r="CC130" i="1"/>
  <c r="CC131" i="1"/>
  <c r="CC115" i="1"/>
  <c r="AE116" i="1"/>
  <c r="AE117" i="1"/>
  <c r="AE118" i="1"/>
  <c r="AE120" i="1"/>
  <c r="AE121" i="1"/>
  <c r="AE122" i="1"/>
  <c r="AE123" i="1"/>
  <c r="AE124" i="1"/>
  <c r="AE125" i="1"/>
  <c r="AE126" i="1"/>
  <c r="AE127" i="1"/>
  <c r="AE128" i="1"/>
  <c r="AE129" i="1"/>
  <c r="AE130" i="1"/>
  <c r="AE131" i="1"/>
  <c r="AE115" i="1"/>
  <c r="R130" i="1"/>
  <c r="R131" i="1"/>
  <c r="R129" i="1"/>
  <c r="R128" i="1"/>
  <c r="R127" i="1"/>
  <c r="R126" i="1"/>
  <c r="R125" i="1"/>
  <c r="R123" i="1"/>
  <c r="R122" i="1"/>
  <c r="R121" i="1"/>
  <c r="R120" i="1"/>
  <c r="R119" i="1"/>
  <c r="R118" i="1"/>
  <c r="R117" i="1"/>
  <c r="R124" i="1"/>
  <c r="R116" i="1"/>
  <c r="R115" i="1"/>
  <c r="T128" i="1"/>
  <c r="T123" i="1"/>
  <c r="T119" i="1"/>
  <c r="BK131" i="1"/>
  <c r="BP131" i="1" s="1"/>
  <c r="BK130" i="1"/>
  <c r="BP130" i="1" s="1"/>
  <c r="BK129" i="1"/>
  <c r="BP129" i="1" s="1"/>
  <c r="BK128" i="1"/>
  <c r="BP128" i="1" s="1"/>
  <c r="BK127" i="1"/>
  <c r="BP127" i="1" s="1"/>
  <c r="BK126" i="1"/>
  <c r="BP126" i="1" s="1"/>
  <c r="BK125" i="1"/>
  <c r="BP125" i="1" s="1"/>
  <c r="BK124" i="1"/>
  <c r="BP124" i="1" s="1"/>
  <c r="BP123" i="1"/>
  <c r="BK122" i="1"/>
  <c r="BP122" i="1" s="1"/>
  <c r="BK121" i="1"/>
  <c r="BP121" i="1" s="1"/>
  <c r="BK120" i="1"/>
  <c r="BP120" i="1" s="1"/>
  <c r="BK119" i="1"/>
  <c r="BP119" i="1" s="1"/>
  <c r="BK118" i="1"/>
  <c r="BP118" i="1" s="1"/>
  <c r="BK117" i="1"/>
  <c r="BP117" i="1" s="1"/>
  <c r="BK116" i="1"/>
  <c r="BP116" i="1" s="1"/>
  <c r="BK115" i="1"/>
  <c r="BP115" i="1" s="1"/>
  <c r="BL131" i="1"/>
  <c r="BQ131" i="1" s="1"/>
  <c r="BL130" i="1"/>
  <c r="BQ130" i="1" s="1"/>
  <c r="BL129" i="1"/>
  <c r="BQ129" i="1" s="1"/>
  <c r="BL128" i="1"/>
  <c r="BQ128" i="1" s="1"/>
  <c r="BL127" i="1"/>
  <c r="BQ127" i="1" s="1"/>
  <c r="BL126" i="1"/>
  <c r="BQ126" i="1" s="1"/>
  <c r="BL125" i="1"/>
  <c r="BQ125" i="1" s="1"/>
  <c r="BL124" i="1"/>
  <c r="BQ124" i="1" s="1"/>
  <c r="BL123" i="1"/>
  <c r="BL122" i="1"/>
  <c r="BQ122" i="1" s="1"/>
  <c r="BL121" i="1"/>
  <c r="BQ121" i="1" s="1"/>
  <c r="BL120" i="1"/>
  <c r="BQ120" i="1" s="1"/>
  <c r="BL119" i="1"/>
  <c r="BQ119" i="1" s="1"/>
  <c r="BL118" i="1"/>
  <c r="BQ118" i="1" s="1"/>
  <c r="BL116" i="1"/>
  <c r="BQ116" i="1" s="1"/>
  <c r="BL117" i="1"/>
  <c r="BQ117" i="1" s="1"/>
  <c r="BL115" i="1"/>
  <c r="BQ115" i="1" s="1"/>
  <c r="BM115" i="1"/>
  <c r="BR115" i="1" s="1"/>
  <c r="BM117" i="1"/>
  <c r="BR117" i="1" s="1"/>
  <c r="BM118" i="1"/>
  <c r="BR118" i="1" s="1"/>
  <c r="BM119" i="1"/>
  <c r="BR119" i="1" s="1"/>
  <c r="BM120" i="1"/>
  <c r="BR120" i="1" s="1"/>
  <c r="BM121" i="1"/>
  <c r="BR121" i="1" s="1"/>
  <c r="BM122" i="1"/>
  <c r="BR122" i="1" s="1"/>
  <c r="BM123" i="1"/>
  <c r="BR123" i="1" s="1"/>
  <c r="BM124" i="1"/>
  <c r="BR124" i="1" s="1"/>
  <c r="BM125" i="1"/>
  <c r="BR125" i="1" s="1"/>
  <c r="BM126" i="1"/>
  <c r="BR126" i="1" s="1"/>
  <c r="BM127" i="1"/>
  <c r="BR127" i="1" s="1"/>
  <c r="BM128" i="1"/>
  <c r="BR128" i="1" s="1"/>
  <c r="BM129" i="1"/>
  <c r="BM130" i="1"/>
  <c r="BR130" i="1" s="1"/>
  <c r="BM131" i="1"/>
  <c r="BR131" i="1" s="1"/>
  <c r="BM116" i="1"/>
  <c r="BR116" i="1" s="1"/>
  <c r="BJ115" i="1"/>
  <c r="BO115" i="1" s="1"/>
  <c r="BJ131" i="1"/>
  <c r="BO131" i="1" s="1"/>
  <c r="BJ130" i="1"/>
  <c r="BO130" i="1" s="1"/>
  <c r="BJ129" i="1"/>
  <c r="BJ128" i="1"/>
  <c r="BO128" i="1" s="1"/>
  <c r="BJ127" i="1"/>
  <c r="BO127" i="1" s="1"/>
  <c r="BZ127" i="1" s="1"/>
  <c r="BJ126" i="1"/>
  <c r="BJ125" i="1"/>
  <c r="BO125" i="1" s="1"/>
  <c r="BZ125" i="1" s="1"/>
  <c r="BJ124" i="1"/>
  <c r="BO124" i="1" s="1"/>
  <c r="BJ123" i="1"/>
  <c r="BJ122" i="1"/>
  <c r="BO122" i="1" s="1"/>
  <c r="BJ121" i="1"/>
  <c r="BO121" i="1" s="1"/>
  <c r="BJ120" i="1"/>
  <c r="BO120" i="1" s="1"/>
  <c r="BJ119" i="1"/>
  <c r="BO119" i="1" s="1"/>
  <c r="BJ118" i="1"/>
  <c r="BO118" i="1" s="1"/>
  <c r="BZ118" i="1" s="1"/>
  <c r="BJ116" i="1"/>
  <c r="BO116" i="1" s="1"/>
  <c r="BZ116" i="1" s="1"/>
  <c r="BJ117" i="1"/>
  <c r="BO117" i="1" s="1"/>
  <c r="BF115" i="1"/>
  <c r="BF131" i="1"/>
  <c r="BG131" i="1"/>
  <c r="BH131" i="1"/>
  <c r="BI131" i="1"/>
  <c r="BF130" i="1"/>
  <c r="BG130" i="1"/>
  <c r="BH130" i="1"/>
  <c r="BI130" i="1"/>
  <c r="BF129" i="1"/>
  <c r="BG129" i="1"/>
  <c r="BH129" i="1"/>
  <c r="BI129" i="1"/>
  <c r="BF128" i="1"/>
  <c r="BG128" i="1"/>
  <c r="BH128" i="1"/>
  <c r="BI128" i="1"/>
  <c r="BF127" i="1"/>
  <c r="BG127" i="1"/>
  <c r="BH127" i="1"/>
  <c r="BI127" i="1"/>
  <c r="BF126" i="1"/>
  <c r="BG126" i="1"/>
  <c r="BH126" i="1"/>
  <c r="BI126" i="1"/>
  <c r="BF125" i="1"/>
  <c r="BG125" i="1"/>
  <c r="BH125" i="1"/>
  <c r="BI125" i="1"/>
  <c r="BI124" i="1"/>
  <c r="BH124" i="1"/>
  <c r="BG124" i="1"/>
  <c r="BF124" i="1"/>
  <c r="BF123" i="1"/>
  <c r="BI123" i="1"/>
  <c r="BH123" i="1"/>
  <c r="BG123" i="1"/>
  <c r="BI122" i="1"/>
  <c r="BH122" i="1"/>
  <c r="BG122" i="1"/>
  <c r="BF122" i="1"/>
  <c r="BI121" i="1"/>
  <c r="BH121" i="1"/>
  <c r="BG121" i="1"/>
  <c r="BF121" i="1"/>
  <c r="BI120" i="1"/>
  <c r="BH120" i="1"/>
  <c r="BG120" i="1"/>
  <c r="BF120" i="1"/>
  <c r="BF119" i="1"/>
  <c r="BI119" i="1"/>
  <c r="BH119" i="1"/>
  <c r="BG119" i="1"/>
  <c r="BI118" i="1"/>
  <c r="BI117" i="1"/>
  <c r="BH118" i="1"/>
  <c r="BG118" i="1"/>
  <c r="BF118" i="1"/>
  <c r="BI116" i="1"/>
  <c r="BH116" i="1"/>
  <c r="BH117" i="1"/>
  <c r="BG116" i="1"/>
  <c r="BG117" i="1"/>
  <c r="BF116" i="1"/>
  <c r="BF117" i="1"/>
  <c r="BI115" i="1"/>
  <c r="BH115" i="1"/>
  <c r="BG115" i="1"/>
  <c r="AC7" i="1"/>
  <c r="AA18" i="1"/>
  <c r="AB18" i="1" s="1"/>
  <c r="AC57" i="1"/>
  <c r="AC32" i="1"/>
  <c r="AC46" i="1"/>
  <c r="AC24" i="1"/>
  <c r="AC44" i="1"/>
  <c r="AC48" i="1"/>
  <c r="AC50" i="1"/>
  <c r="AC34" i="1"/>
  <c r="AC51" i="1"/>
  <c r="AC23" i="1"/>
  <c r="AC43" i="1"/>
  <c r="AC36" i="1"/>
  <c r="AC37" i="1"/>
  <c r="AC45" i="1"/>
  <c r="AC40" i="1"/>
  <c r="AC30" i="1"/>
  <c r="AC28" i="1"/>
  <c r="AC27" i="1"/>
  <c r="AC38" i="1"/>
  <c r="AC25" i="1"/>
  <c r="AC39" i="1"/>
  <c r="AC41" i="1"/>
  <c r="AC29" i="1"/>
  <c r="AC49" i="1"/>
  <c r="AC26" i="1"/>
  <c r="AC47" i="1"/>
  <c r="AC31" i="1"/>
  <c r="AC42" i="1"/>
  <c r="AC35" i="1"/>
  <c r="AC100" i="1"/>
  <c r="AC92" i="1"/>
  <c r="AC99" i="1"/>
  <c r="AC98" i="1"/>
  <c r="AC97" i="1"/>
  <c r="AC93" i="1"/>
  <c r="AC95" i="1"/>
  <c r="AC96" i="1"/>
  <c r="AC89" i="1"/>
  <c r="AC90" i="1"/>
  <c r="AC94" i="1"/>
  <c r="AC101" i="1"/>
  <c r="AC91" i="1"/>
  <c r="AC52" i="1"/>
  <c r="AC84" i="1"/>
  <c r="AC74" i="1"/>
  <c r="AC87" i="1"/>
  <c r="AC76" i="1"/>
  <c r="AC62" i="1"/>
  <c r="AC71" i="1"/>
  <c r="AC65" i="1"/>
  <c r="AC70" i="1"/>
  <c r="AC53" i="1"/>
  <c r="AC67" i="1"/>
  <c r="AC80" i="1"/>
  <c r="AC88" i="1"/>
  <c r="AC82" i="1"/>
  <c r="AC72" i="1"/>
  <c r="AC83" i="1"/>
  <c r="AC81" i="1"/>
  <c r="AC79" i="1"/>
  <c r="AC61" i="1"/>
  <c r="AC58" i="1"/>
  <c r="AC86" i="1"/>
  <c r="AC75" i="1"/>
  <c r="AC73" i="1"/>
  <c r="AC66" i="1"/>
  <c r="AC56" i="1"/>
  <c r="AC85" i="1"/>
  <c r="AC64" i="1"/>
  <c r="AC59" i="1"/>
  <c r="AC55" i="1"/>
  <c r="AC78" i="1"/>
  <c r="AC77" i="1"/>
  <c r="AC60" i="1"/>
  <c r="AC68" i="1"/>
  <c r="AC54" i="1"/>
  <c r="AC69" i="1"/>
  <c r="AC63" i="1"/>
  <c r="AC12" i="1"/>
  <c r="AC9" i="1"/>
  <c r="AC10" i="1"/>
  <c r="AC11" i="1"/>
  <c r="AC5" i="1"/>
  <c r="AC8" i="1"/>
  <c r="AC4" i="1"/>
  <c r="AC6" i="1"/>
  <c r="AC21" i="1"/>
  <c r="AC15" i="1"/>
  <c r="AC19" i="1"/>
  <c r="AC14" i="1"/>
  <c r="AC13" i="1"/>
  <c r="AC22" i="1"/>
  <c r="AC18" i="1"/>
  <c r="AC20" i="1"/>
  <c r="AC17" i="1"/>
  <c r="AC16" i="1"/>
  <c r="AC102" i="1"/>
  <c r="AC33" i="1"/>
  <c r="AA102" i="1"/>
  <c r="AB102" i="1" s="1"/>
  <c r="AA101" i="1"/>
  <c r="AB101" i="1" s="1"/>
  <c r="AA100" i="1"/>
  <c r="AB100" i="1" s="1"/>
  <c r="AA99" i="1"/>
  <c r="AB99" i="1" s="1"/>
  <c r="AA98" i="1"/>
  <c r="AB98" i="1" s="1"/>
  <c r="AA97" i="1"/>
  <c r="AB97" i="1" s="1"/>
  <c r="AA96" i="1"/>
  <c r="AB96" i="1" s="1"/>
  <c r="AA95" i="1"/>
  <c r="AB95" i="1" s="1"/>
  <c r="AA94" i="1"/>
  <c r="AB94" i="1" s="1"/>
  <c r="AA93" i="1"/>
  <c r="AB93" i="1" s="1"/>
  <c r="AA92" i="1"/>
  <c r="AB92" i="1" s="1"/>
  <c r="AA91" i="1"/>
  <c r="AB91" i="1" s="1"/>
  <c r="AA90" i="1"/>
  <c r="AB90" i="1" s="1"/>
  <c r="AA89" i="1"/>
  <c r="AB89" i="1" s="1"/>
  <c r="AA88" i="1"/>
  <c r="AB88" i="1" s="1"/>
  <c r="AA87" i="1"/>
  <c r="AB87" i="1" s="1"/>
  <c r="AA86" i="1"/>
  <c r="AB86" i="1" s="1"/>
  <c r="AA85" i="1"/>
  <c r="AB85" i="1" s="1"/>
  <c r="AA84" i="1"/>
  <c r="AB84" i="1" s="1"/>
  <c r="AA83" i="1"/>
  <c r="AB83" i="1" s="1"/>
  <c r="AA82" i="1"/>
  <c r="AB82" i="1" s="1"/>
  <c r="AA81" i="1"/>
  <c r="AB81" i="1" s="1"/>
  <c r="AA80" i="1"/>
  <c r="AB80" i="1" s="1"/>
  <c r="AA79" i="1"/>
  <c r="AB79" i="1" s="1"/>
  <c r="AA78" i="1"/>
  <c r="AB78" i="1" s="1"/>
  <c r="AA77" i="1"/>
  <c r="AB77" i="1" s="1"/>
  <c r="AA76" i="1"/>
  <c r="AB76" i="1" s="1"/>
  <c r="AA75" i="1"/>
  <c r="AB75" i="1" s="1"/>
  <c r="AA74" i="1"/>
  <c r="AB74" i="1" s="1"/>
  <c r="AA73" i="1"/>
  <c r="AB73" i="1" s="1"/>
  <c r="AA72" i="1"/>
  <c r="AB72" i="1" s="1"/>
  <c r="AA71" i="1"/>
  <c r="AB71" i="1" s="1"/>
  <c r="AA70" i="1"/>
  <c r="AB70" i="1" s="1"/>
  <c r="AA69" i="1"/>
  <c r="AB69" i="1" s="1"/>
  <c r="AA68" i="1"/>
  <c r="AB68" i="1" s="1"/>
  <c r="AA67" i="1"/>
  <c r="AB67" i="1" s="1"/>
  <c r="AA66" i="1"/>
  <c r="AB66" i="1" s="1"/>
  <c r="AA65" i="1"/>
  <c r="AB65" i="1" s="1"/>
  <c r="AA64" i="1"/>
  <c r="AB64" i="1" s="1"/>
  <c r="AA63" i="1"/>
  <c r="AB63" i="1" s="1"/>
  <c r="AA62" i="1"/>
  <c r="AB62" i="1" s="1"/>
  <c r="AA61" i="1"/>
  <c r="AB61" i="1" s="1"/>
  <c r="AA60" i="1"/>
  <c r="AB60" i="1" s="1"/>
  <c r="AA59" i="1"/>
  <c r="AB59" i="1" s="1"/>
  <c r="AA58" i="1"/>
  <c r="AB58" i="1" s="1"/>
  <c r="AA57" i="1"/>
  <c r="AB57" i="1" s="1"/>
  <c r="AA56" i="1"/>
  <c r="AB56" i="1" s="1"/>
  <c r="AA55" i="1"/>
  <c r="AB55" i="1" s="1"/>
  <c r="AA54" i="1"/>
  <c r="AB54" i="1" s="1"/>
  <c r="AA53" i="1"/>
  <c r="AB53" i="1" s="1"/>
  <c r="AA52" i="1"/>
  <c r="AB52" i="1" s="1"/>
  <c r="AA51" i="1"/>
  <c r="AB51" i="1" s="1"/>
  <c r="AA50" i="1"/>
  <c r="AB50" i="1" s="1"/>
  <c r="AA49" i="1"/>
  <c r="AB49" i="1" s="1"/>
  <c r="AA48" i="1"/>
  <c r="AB48" i="1" s="1"/>
  <c r="AA47" i="1"/>
  <c r="AB47" i="1" s="1"/>
  <c r="AA46" i="1"/>
  <c r="AB46" i="1" s="1"/>
  <c r="AA45" i="1"/>
  <c r="AB45" i="1" s="1"/>
  <c r="AA44" i="1"/>
  <c r="AB44" i="1" s="1"/>
  <c r="AA43" i="1"/>
  <c r="AB43" i="1" s="1"/>
  <c r="AA42" i="1"/>
  <c r="AB42" i="1" s="1"/>
  <c r="AA41" i="1"/>
  <c r="AB41" i="1" s="1"/>
  <c r="AA40" i="1"/>
  <c r="AB40" i="1" s="1"/>
  <c r="AA39" i="1"/>
  <c r="AB39" i="1" s="1"/>
  <c r="AA38" i="1"/>
  <c r="AB38" i="1" s="1"/>
  <c r="AA37" i="1"/>
  <c r="AB37" i="1" s="1"/>
  <c r="AA36" i="1"/>
  <c r="AB36" i="1" s="1"/>
  <c r="AA35" i="1"/>
  <c r="AB35" i="1" s="1"/>
  <c r="AA34" i="1"/>
  <c r="AB34" i="1" s="1"/>
  <c r="AA33" i="1"/>
  <c r="AB33" i="1" s="1"/>
  <c r="AA32" i="1"/>
  <c r="AB32" i="1" s="1"/>
  <c r="AA31" i="1"/>
  <c r="AB31" i="1" s="1"/>
  <c r="AA30" i="1"/>
  <c r="AB30" i="1" s="1"/>
  <c r="AA29" i="1"/>
  <c r="AB29" i="1" s="1"/>
  <c r="AA28" i="1"/>
  <c r="AB28" i="1" s="1"/>
  <c r="AA27" i="1"/>
  <c r="AB27" i="1" s="1"/>
  <c r="AA26" i="1"/>
  <c r="AB26" i="1" s="1"/>
  <c r="AA25" i="1"/>
  <c r="AB25" i="1" s="1"/>
  <c r="AA24" i="1"/>
  <c r="AB24" i="1" s="1"/>
  <c r="AA23" i="1"/>
  <c r="AB23" i="1" s="1"/>
  <c r="AA22" i="1"/>
  <c r="AB22" i="1" s="1"/>
  <c r="AA21" i="1"/>
  <c r="AB21" i="1" s="1"/>
  <c r="AA20" i="1"/>
  <c r="AB20" i="1" s="1"/>
  <c r="AA19" i="1"/>
  <c r="AB19" i="1" s="1"/>
  <c r="AA17" i="1"/>
  <c r="AB17" i="1" s="1"/>
  <c r="AA16" i="1"/>
  <c r="AB16" i="1" s="1"/>
  <c r="AA15" i="1"/>
  <c r="AB15" i="1" s="1"/>
  <c r="AA14" i="1"/>
  <c r="AB14" i="1" s="1"/>
  <c r="AA13" i="1"/>
  <c r="AB13" i="1" s="1"/>
  <c r="AA12" i="1"/>
  <c r="AB12" i="1" s="1"/>
  <c r="AA11" i="1"/>
  <c r="AB11" i="1" s="1"/>
  <c r="AA10" i="1"/>
  <c r="AB10" i="1" s="1"/>
  <c r="AA9" i="1"/>
  <c r="AB9" i="1" s="1"/>
  <c r="AA8" i="1"/>
  <c r="AB8" i="1" s="1"/>
  <c r="AA7" i="1"/>
  <c r="AB7" i="1" s="1"/>
  <c r="AA6" i="1"/>
  <c r="AB6" i="1" s="1"/>
  <c r="AA5" i="1"/>
  <c r="AB5" i="1" s="1"/>
  <c r="AA4" i="1"/>
  <c r="AB4" i="1" s="1"/>
  <c r="AA103" i="1"/>
  <c r="AB103" i="1" s="1"/>
  <c r="X4" i="7" l="1"/>
  <c r="X4" i="8"/>
  <c r="X4" i="6"/>
  <c r="X4" i="5"/>
  <c r="AC4" i="8"/>
  <c r="AC4" i="7"/>
  <c r="AC4" i="6"/>
  <c r="AC4" i="5"/>
  <c r="AL4" i="8"/>
  <c r="CI4" i="4"/>
  <c r="X5" i="8"/>
  <c r="X5" i="7"/>
  <c r="X5" i="5"/>
  <c r="X5" i="6"/>
  <c r="AL5" i="8"/>
  <c r="AL5" i="7"/>
  <c r="CI5" i="4"/>
  <c r="X6" i="7"/>
  <c r="X6" i="8"/>
  <c r="X6" i="5"/>
  <c r="X6" i="6"/>
  <c r="AC6" i="8"/>
  <c r="AC6" i="7"/>
  <c r="AC6" i="5"/>
  <c r="AC6" i="6"/>
  <c r="CI6" i="4"/>
  <c r="X7" i="8"/>
  <c r="X7" i="7"/>
  <c r="AP7" i="5"/>
  <c r="X7" i="5"/>
  <c r="X7" i="6"/>
  <c r="AL7" i="6"/>
  <c r="CI7" i="4"/>
  <c r="X8" i="5"/>
  <c r="X8" i="6"/>
  <c r="CI8" i="4"/>
  <c r="X9" i="8"/>
  <c r="X9" i="7"/>
  <c r="X9" i="5"/>
  <c r="X9" i="6"/>
  <c r="AL9" i="8"/>
  <c r="CI9" i="4"/>
  <c r="AL10" i="7"/>
  <c r="Z11" i="9"/>
  <c r="Z11" i="8"/>
  <c r="Z11" i="7"/>
  <c r="Z11" i="5"/>
  <c r="Z11" i="6"/>
  <c r="AC11" i="8"/>
  <c r="AC11" i="7"/>
  <c r="AC11" i="6"/>
  <c r="AC11" i="5"/>
  <c r="AL11" i="8"/>
  <c r="AL11" i="7"/>
  <c r="X12" i="7"/>
  <c r="X12" i="8"/>
  <c r="X12" i="5"/>
  <c r="X12" i="6"/>
  <c r="AL12" i="8"/>
  <c r="AL12" i="7"/>
  <c r="CI12" i="4"/>
  <c r="X13" i="8"/>
  <c r="X13" i="7"/>
  <c r="X13" i="5"/>
  <c r="X13" i="6"/>
  <c r="AC13" i="8"/>
  <c r="AC13" i="7"/>
  <c r="AC13" i="6"/>
  <c r="AC13" i="5"/>
  <c r="CI13" i="4"/>
  <c r="X14" i="8"/>
  <c r="X14" i="7"/>
  <c r="X14" i="5"/>
  <c r="X14" i="6"/>
  <c r="AL14" i="8"/>
  <c r="AL14" i="7"/>
  <c r="CI14" i="4"/>
  <c r="X15" i="8"/>
  <c r="X15" i="7"/>
  <c r="X15" i="5"/>
  <c r="X15" i="6"/>
  <c r="AC15" i="8"/>
  <c r="AC15" i="7"/>
  <c r="AC15" i="6"/>
  <c r="AC15" i="5"/>
  <c r="AL15" i="8"/>
  <c r="AL15" i="7"/>
  <c r="CI15" i="4"/>
  <c r="AL16" i="8"/>
  <c r="AL16" i="7"/>
  <c r="AL16" i="6"/>
  <c r="CI16" i="4"/>
  <c r="X17" i="7"/>
  <c r="X17" i="8"/>
  <c r="X17" i="5"/>
  <c r="X17" i="6"/>
  <c r="AC17" i="8"/>
  <c r="AC17" i="7"/>
  <c r="AC17" i="6"/>
  <c r="AC17" i="5"/>
  <c r="AL17" i="8"/>
  <c r="AL17" i="7"/>
  <c r="CI17" i="4"/>
  <c r="X18" i="8"/>
  <c r="X18" i="7"/>
  <c r="X18" i="5"/>
  <c r="X18" i="6"/>
  <c r="CI18" i="4"/>
  <c r="X19" i="8"/>
  <c r="X19" i="7"/>
  <c r="X19" i="5"/>
  <c r="X19" i="6"/>
  <c r="AL19" i="8"/>
  <c r="AL19" i="7"/>
  <c r="CI19" i="4"/>
  <c r="X20" i="8"/>
  <c r="X20" i="7"/>
  <c r="X20" i="5"/>
  <c r="X20" i="6"/>
  <c r="Z20" i="9"/>
  <c r="Z20" i="8"/>
  <c r="Z20" i="7"/>
  <c r="Z20" i="5"/>
  <c r="Z20" i="6"/>
  <c r="AL20" i="6"/>
  <c r="CI20" i="4"/>
  <c r="Z3" i="9"/>
  <c r="Z3" i="8"/>
  <c r="Z3" i="7"/>
  <c r="Z3" i="6"/>
  <c r="Z3" i="5"/>
  <c r="BQ3" i="9"/>
  <c r="G3" i="7"/>
  <c r="G3" i="6"/>
  <c r="BQ5" i="9"/>
  <c r="G5" i="7"/>
  <c r="G5" i="6"/>
  <c r="G5" i="5"/>
  <c r="BQ4" i="9"/>
  <c r="G4" i="7"/>
  <c r="G4" i="6"/>
  <c r="G4" i="5"/>
  <c r="BQ6" i="9"/>
  <c r="G6" i="7"/>
  <c r="G6" i="6"/>
  <c r="G6" i="5"/>
  <c r="BQ7" i="9"/>
  <c r="G7" i="7"/>
  <c r="G7" i="6"/>
  <c r="G7" i="5"/>
  <c r="G8" i="7"/>
  <c r="G8" i="6"/>
  <c r="G8" i="5"/>
  <c r="BQ9" i="9"/>
  <c r="G9" i="7"/>
  <c r="G9" i="6"/>
  <c r="G9" i="5"/>
  <c r="BQ10" i="9"/>
  <c r="G10" i="7"/>
  <c r="G10" i="6"/>
  <c r="G10" i="5"/>
  <c r="BQ11" i="9"/>
  <c r="G11" i="7"/>
  <c r="G11" i="6"/>
  <c r="G11" i="5"/>
  <c r="BQ12" i="9"/>
  <c r="G12" i="7"/>
  <c r="G12" i="6"/>
  <c r="G12" i="5"/>
  <c r="BQ13" i="9"/>
  <c r="G13" i="7"/>
  <c r="G13" i="6"/>
  <c r="G13" i="5"/>
  <c r="BQ14" i="9"/>
  <c r="G14" i="7"/>
  <c r="G14" i="6"/>
  <c r="G14" i="5"/>
  <c r="BQ15" i="9"/>
  <c r="G15" i="7"/>
  <c r="G15" i="6"/>
  <c r="G15" i="5"/>
  <c r="BQ16" i="9"/>
  <c r="G16" i="7"/>
  <c r="G16" i="6"/>
  <c r="G16" i="5"/>
  <c r="BQ17" i="9"/>
  <c r="G17" i="7"/>
  <c r="G17" i="6"/>
  <c r="G17" i="5"/>
  <c r="BQ18" i="9"/>
  <c r="G18" i="7"/>
  <c r="G18" i="6"/>
  <c r="G18" i="5"/>
  <c r="BQ19" i="9"/>
  <c r="G19" i="7"/>
  <c r="G19" i="6"/>
  <c r="G19" i="5"/>
  <c r="BQ20" i="9"/>
  <c r="G20" i="8"/>
  <c r="G20" i="7"/>
  <c r="G20" i="6"/>
  <c r="G20" i="5"/>
  <c r="Z7" i="9"/>
  <c r="Z7" i="8"/>
  <c r="Z7" i="6"/>
  <c r="Z7" i="5"/>
  <c r="CO8" i="4"/>
  <c r="BQ8" i="9"/>
  <c r="BQ8" i="8"/>
  <c r="BQ8" i="7"/>
  <c r="AA8" i="5"/>
  <c r="AA8" i="6"/>
  <c r="X10" i="4"/>
  <c r="AY10" i="9"/>
  <c r="AY10" i="8"/>
  <c r="AY10" i="5"/>
  <c r="AY10" i="6"/>
  <c r="O4" i="9"/>
  <c r="O4" i="7"/>
  <c r="O4" i="6"/>
  <c r="O4" i="5"/>
  <c r="O5" i="9"/>
  <c r="O5" i="7"/>
  <c r="O5" i="6"/>
  <c r="O5" i="5"/>
  <c r="O3" i="9"/>
  <c r="O3" i="7"/>
  <c r="O3" i="6"/>
  <c r="O6" i="9"/>
  <c r="O6" i="7"/>
  <c r="O6" i="6"/>
  <c r="O6" i="5"/>
  <c r="O7" i="9"/>
  <c r="O7" i="7"/>
  <c r="O7" i="6"/>
  <c r="O7" i="5"/>
  <c r="O8" i="9"/>
  <c r="O8" i="7"/>
  <c r="O8" i="6"/>
  <c r="O8" i="5"/>
  <c r="O9" i="9"/>
  <c r="O9" i="7"/>
  <c r="I9" i="4"/>
  <c r="O9" i="6"/>
  <c r="O9" i="5"/>
  <c r="O10" i="9"/>
  <c r="O10" i="7"/>
  <c r="O10" i="6"/>
  <c r="O10" i="5"/>
  <c r="O11" i="9"/>
  <c r="O11" i="7"/>
  <c r="O11" i="6"/>
  <c r="O11" i="5"/>
  <c r="O12" i="9"/>
  <c r="O12" i="7"/>
  <c r="O12" i="6"/>
  <c r="O12" i="5"/>
  <c r="O13" i="9"/>
  <c r="O13" i="7"/>
  <c r="O13" i="6"/>
  <c r="O13" i="5"/>
  <c r="O14" i="9"/>
  <c r="O14" i="7"/>
  <c r="O14" i="6"/>
  <c r="O14" i="5"/>
  <c r="O15" i="9"/>
  <c r="O15" i="7"/>
  <c r="O15" i="6"/>
  <c r="O15" i="5"/>
  <c r="O16" i="9"/>
  <c r="O16" i="7"/>
  <c r="O16" i="6"/>
  <c r="O16" i="5"/>
  <c r="O17" i="9"/>
  <c r="O17" i="7"/>
  <c r="O17" i="6"/>
  <c r="O17" i="5"/>
  <c r="O18" i="9"/>
  <c r="O18" i="7"/>
  <c r="O18" i="6"/>
  <c r="O18" i="5"/>
  <c r="O19" i="9"/>
  <c r="O19" i="7"/>
  <c r="O19" i="6"/>
  <c r="O19" i="5"/>
  <c r="O20" i="9"/>
  <c r="O20" i="8"/>
  <c r="O20" i="7"/>
  <c r="O20" i="6"/>
  <c r="O20" i="5"/>
  <c r="P5" i="9"/>
  <c r="P5" i="7"/>
  <c r="P5" i="6"/>
  <c r="P5" i="5"/>
  <c r="P4" i="9"/>
  <c r="P4" i="7"/>
  <c r="P4" i="6"/>
  <c r="P4" i="5"/>
  <c r="P3" i="9"/>
  <c r="P3" i="7"/>
  <c r="P3" i="6"/>
  <c r="P6" i="9"/>
  <c r="P6" i="7"/>
  <c r="P6" i="6"/>
  <c r="P6" i="5"/>
  <c r="P7" i="9"/>
  <c r="P7" i="7"/>
  <c r="P7" i="6"/>
  <c r="P7" i="5"/>
  <c r="P8" i="9"/>
  <c r="P8" i="7"/>
  <c r="P8" i="6"/>
  <c r="P8" i="5"/>
  <c r="P9" i="9"/>
  <c r="P9" i="7"/>
  <c r="P9" i="6"/>
  <c r="P9" i="5"/>
  <c r="P10" i="9"/>
  <c r="P10" i="7"/>
  <c r="P10" i="6"/>
  <c r="P10" i="5"/>
  <c r="P11" i="9"/>
  <c r="P11" i="7"/>
  <c r="P11" i="6"/>
  <c r="P11" i="5"/>
  <c r="P12" i="9"/>
  <c r="P12" i="7"/>
  <c r="P12" i="6"/>
  <c r="P12" i="5"/>
  <c r="P13" i="9"/>
  <c r="P13" i="7"/>
  <c r="P13" i="6"/>
  <c r="P13" i="5"/>
  <c r="P14" i="9"/>
  <c r="P14" i="7"/>
  <c r="P14" i="6"/>
  <c r="P14" i="5"/>
  <c r="P20" i="9"/>
  <c r="P20" i="8"/>
  <c r="P20" i="7"/>
  <c r="P20" i="6"/>
  <c r="P20" i="5"/>
  <c r="P15" i="9"/>
  <c r="P15" i="7"/>
  <c r="P15" i="6"/>
  <c r="P15" i="5"/>
  <c r="P16" i="9"/>
  <c r="P16" i="7"/>
  <c r="P16" i="6"/>
  <c r="P16" i="5"/>
  <c r="P17" i="9"/>
  <c r="P17" i="7"/>
  <c r="P17" i="6"/>
  <c r="P17" i="5"/>
  <c r="P18" i="9"/>
  <c r="P18" i="7"/>
  <c r="P18" i="6"/>
  <c r="P18" i="5"/>
  <c r="P19" i="9"/>
  <c r="P19" i="7"/>
  <c r="P19" i="6"/>
  <c r="P19" i="5"/>
  <c r="I4" i="9"/>
  <c r="I4" i="7"/>
  <c r="I4" i="6"/>
  <c r="I4" i="5"/>
  <c r="X3" i="8"/>
  <c r="X3" i="7"/>
  <c r="CI3" i="4"/>
  <c r="BD20" i="9"/>
  <c r="BD20" i="8"/>
  <c r="BD20" i="7"/>
  <c r="BD20" i="6"/>
  <c r="BD20" i="5"/>
  <c r="BE13" i="9"/>
  <c r="BE13" i="7"/>
  <c r="BE13" i="8"/>
  <c r="BE13" i="6"/>
  <c r="BE13" i="5"/>
  <c r="BK6" i="9"/>
  <c r="BK6" i="8"/>
  <c r="AL6" i="8" s="1"/>
  <c r="BK6" i="7"/>
  <c r="BK6" i="6"/>
  <c r="AL6" i="6" s="1"/>
  <c r="BK6" i="5"/>
  <c r="BK18" i="9"/>
  <c r="BK18" i="8"/>
  <c r="BK18" i="7"/>
  <c r="BK18" i="5"/>
  <c r="BK18" i="6"/>
  <c r="AL18" i="6" s="1"/>
  <c r="X3" i="6"/>
  <c r="AL19" i="6"/>
  <c r="AL17" i="6"/>
  <c r="AL15" i="6"/>
  <c r="AL14" i="6"/>
  <c r="AL13" i="6"/>
  <c r="AL12" i="6"/>
  <c r="AL11" i="6"/>
  <c r="AL10" i="6"/>
  <c r="AL9" i="6"/>
  <c r="AL8" i="6"/>
  <c r="AL5" i="6"/>
  <c r="AL4" i="6"/>
  <c r="Z8" i="9"/>
  <c r="Z8" i="8"/>
  <c r="Z8" i="7"/>
  <c r="Z8" i="6"/>
  <c r="Z8" i="5"/>
  <c r="AY11" i="9"/>
  <c r="AY11" i="7"/>
  <c r="X11" i="7" s="1"/>
  <c r="AY11" i="8"/>
  <c r="X11" i="8" s="1"/>
  <c r="AY11" i="6"/>
  <c r="AV19" i="9"/>
  <c r="AV19" i="8"/>
  <c r="AV19" i="7"/>
  <c r="AV19" i="5"/>
  <c r="AV18" i="9"/>
  <c r="AV18" i="8"/>
  <c r="AV18" i="7"/>
  <c r="AV17" i="9"/>
  <c r="AV17" i="8"/>
  <c r="AV17" i="7"/>
  <c r="AL20" i="7"/>
  <c r="AZ3" i="7"/>
  <c r="BC3" i="7"/>
  <c r="BF3" i="7"/>
  <c r="BG3" i="7"/>
  <c r="BI3" i="7"/>
  <c r="BM3" i="7"/>
  <c r="BN3" i="7"/>
  <c r="BO3" i="7"/>
  <c r="AU3" i="7"/>
  <c r="AO3" i="7"/>
  <c r="AJ3" i="7"/>
  <c r="AK3" i="7"/>
  <c r="AL3" i="7" s="1"/>
  <c r="AF3" i="7"/>
  <c r="AE3" i="7"/>
  <c r="AD3" i="7"/>
  <c r="AC3" i="7"/>
  <c r="AA3" i="7"/>
  <c r="Y3" i="7"/>
  <c r="AZ4" i="7"/>
  <c r="BC4" i="7"/>
  <c r="BF4" i="7"/>
  <c r="BG4" i="7"/>
  <c r="BI4" i="7"/>
  <c r="BM4" i="7"/>
  <c r="BN4" i="7"/>
  <c r="BO4" i="7"/>
  <c r="AU4" i="7"/>
  <c r="AO4" i="7"/>
  <c r="AJ4" i="7"/>
  <c r="AK4" i="7"/>
  <c r="AL4" i="7" s="1"/>
  <c r="AA4" i="7"/>
  <c r="AD4" i="7"/>
  <c r="AE4" i="7"/>
  <c r="AF4" i="7"/>
  <c r="Y4" i="7"/>
  <c r="AZ6" i="7"/>
  <c r="BC6" i="7"/>
  <c r="BF6" i="7"/>
  <c r="BG6" i="7"/>
  <c r="BI6" i="7"/>
  <c r="BM6" i="7"/>
  <c r="BN6" i="7"/>
  <c r="BO6" i="7"/>
  <c r="AU6" i="7"/>
  <c r="AO6" i="7"/>
  <c r="AJ6" i="7"/>
  <c r="AK6" i="7"/>
  <c r="AA6" i="7"/>
  <c r="AD6" i="7"/>
  <c r="AE6" i="7"/>
  <c r="AF6" i="7"/>
  <c r="Y6" i="7"/>
  <c r="AZ7" i="7"/>
  <c r="BC7" i="7"/>
  <c r="BF7" i="7"/>
  <c r="BG7" i="7"/>
  <c r="BI7" i="7"/>
  <c r="BM7" i="7"/>
  <c r="BN7" i="7"/>
  <c r="BO7" i="7"/>
  <c r="AU7" i="7"/>
  <c r="AO7" i="7"/>
  <c r="AK7" i="7"/>
  <c r="AL7" i="7" s="1"/>
  <c r="AJ7" i="7"/>
  <c r="AA7" i="7"/>
  <c r="AC7" i="7"/>
  <c r="AD7" i="7"/>
  <c r="AE7" i="7"/>
  <c r="AF7" i="7"/>
  <c r="Y7" i="7"/>
  <c r="BI9" i="7"/>
  <c r="AC9" i="7"/>
  <c r="AZ9" i="7"/>
  <c r="BC9" i="7"/>
  <c r="BF9" i="7"/>
  <c r="BG9" i="7"/>
  <c r="BM9" i="7"/>
  <c r="BN9" i="7"/>
  <c r="BO9" i="7"/>
  <c r="AU9" i="7"/>
  <c r="AO9" i="7"/>
  <c r="AJ9" i="7"/>
  <c r="AK9" i="7"/>
  <c r="AL9" i="7" s="1"/>
  <c r="AA9" i="7"/>
  <c r="AD9" i="7"/>
  <c r="AE9" i="7"/>
  <c r="AF9" i="7"/>
  <c r="Y9" i="7"/>
  <c r="Y13" i="7"/>
  <c r="AZ13" i="7"/>
  <c r="BC13" i="7"/>
  <c r="BF13" i="7"/>
  <c r="BG13" i="7"/>
  <c r="BI13" i="7"/>
  <c r="BM13" i="7"/>
  <c r="BN13" i="7"/>
  <c r="BO13" i="7"/>
  <c r="AU13" i="7"/>
  <c r="AO13" i="7"/>
  <c r="AJ13" i="7"/>
  <c r="AK13" i="7"/>
  <c r="AL13" i="7" s="1"/>
  <c r="AA13" i="7"/>
  <c r="AD13" i="7"/>
  <c r="AE13" i="7"/>
  <c r="AF13" i="7"/>
  <c r="AZ18" i="7"/>
  <c r="BC18" i="7"/>
  <c r="BF18" i="7"/>
  <c r="BG18" i="7"/>
  <c r="BI18" i="7"/>
  <c r="BM18" i="7"/>
  <c r="BN18" i="7"/>
  <c r="BO18" i="7"/>
  <c r="AU18" i="7"/>
  <c r="AO18" i="7"/>
  <c r="AJ18" i="7"/>
  <c r="AK18" i="7"/>
  <c r="AA18" i="7"/>
  <c r="AC18" i="7"/>
  <c r="AD18" i="7"/>
  <c r="AE18" i="7"/>
  <c r="AF18" i="7"/>
  <c r="Y18" i="7"/>
  <c r="AL20" i="8"/>
  <c r="BM18" i="8"/>
  <c r="BN18" i="8"/>
  <c r="BO18" i="8"/>
  <c r="BI18" i="8"/>
  <c r="AZ18" i="8"/>
  <c r="BC18" i="8"/>
  <c r="BF18" i="8"/>
  <c r="BG18" i="8"/>
  <c r="Y18" i="8"/>
  <c r="AA18" i="8"/>
  <c r="AC18" i="8"/>
  <c r="AD18" i="8"/>
  <c r="AE18" i="8"/>
  <c r="AF18" i="8"/>
  <c r="AJ18" i="8"/>
  <c r="AK18" i="8"/>
  <c r="AO18" i="8"/>
  <c r="AU18" i="8"/>
  <c r="BM13" i="8"/>
  <c r="BN13" i="8"/>
  <c r="BO13" i="8"/>
  <c r="BI13" i="8"/>
  <c r="AZ13" i="8"/>
  <c r="BC13" i="8"/>
  <c r="BF13" i="8"/>
  <c r="BG13" i="8"/>
  <c r="Y13" i="8"/>
  <c r="AA13" i="8"/>
  <c r="AD13" i="8"/>
  <c r="AE13" i="8"/>
  <c r="AF13" i="8"/>
  <c r="AJ13" i="8"/>
  <c r="AK13" i="8"/>
  <c r="AL13" i="8" s="1"/>
  <c r="AO13" i="8"/>
  <c r="AU13" i="8"/>
  <c r="Y10" i="8"/>
  <c r="BM10" i="8"/>
  <c r="BN10" i="8"/>
  <c r="BO10" i="8"/>
  <c r="BI10" i="8"/>
  <c r="AZ10" i="8"/>
  <c r="BC10" i="8"/>
  <c r="BF10" i="8"/>
  <c r="BG10" i="8"/>
  <c r="AA10" i="8"/>
  <c r="AC10" i="8"/>
  <c r="AD10" i="8"/>
  <c r="AE10" i="8"/>
  <c r="AF10" i="8"/>
  <c r="AJ10" i="8"/>
  <c r="AK10" i="8"/>
  <c r="AL10" i="8" s="1"/>
  <c r="AO10" i="8"/>
  <c r="AU10" i="8"/>
  <c r="BM7" i="8"/>
  <c r="BN7" i="8"/>
  <c r="BO7" i="8"/>
  <c r="BI7" i="8"/>
  <c r="AZ7" i="8"/>
  <c r="BC7" i="8"/>
  <c r="BF7" i="8"/>
  <c r="BG7" i="8"/>
  <c r="Y7" i="8"/>
  <c r="AA7" i="8"/>
  <c r="AC7" i="8"/>
  <c r="AD7" i="8"/>
  <c r="AE7" i="8"/>
  <c r="AF7" i="8"/>
  <c r="AJ7" i="8"/>
  <c r="AK7" i="8"/>
  <c r="AL7" i="8" s="1"/>
  <c r="AO7" i="8"/>
  <c r="AU7" i="8"/>
  <c r="BM5" i="8"/>
  <c r="BN5" i="8"/>
  <c r="BO5" i="8"/>
  <c r="BI5" i="8"/>
  <c r="AZ5" i="8"/>
  <c r="BC5" i="8"/>
  <c r="BF5" i="8"/>
  <c r="BG5" i="8"/>
  <c r="AJ5" i="8"/>
  <c r="Z9" i="9"/>
  <c r="Z9" i="7"/>
  <c r="Z9" i="5"/>
  <c r="X16" i="7"/>
  <c r="X11" i="5"/>
  <c r="X11" i="6"/>
  <c r="CI11" i="4"/>
  <c r="AL20" i="5"/>
  <c r="AL19" i="5"/>
  <c r="AL18" i="5"/>
  <c r="AL17" i="5"/>
  <c r="AL16" i="5"/>
  <c r="AL15" i="5"/>
  <c r="AL14" i="5"/>
  <c r="AL13" i="5"/>
  <c r="AL12" i="5"/>
  <c r="AL11" i="5"/>
  <c r="AL10" i="5"/>
  <c r="AL9" i="5"/>
  <c r="AL8" i="5"/>
  <c r="AL7" i="5"/>
  <c r="AL6" i="5"/>
  <c r="AL5" i="5"/>
  <c r="AL4" i="5"/>
  <c r="O4" i="8"/>
  <c r="I5" i="4"/>
  <c r="O5" i="8"/>
  <c r="I3" i="4"/>
  <c r="O3" i="8"/>
  <c r="I6" i="4"/>
  <c r="O6" i="8"/>
  <c r="I7" i="4"/>
  <c r="O7" i="8"/>
  <c r="I8" i="4"/>
  <c r="O8" i="8"/>
  <c r="O9" i="8"/>
  <c r="I10" i="4"/>
  <c r="O10" i="8"/>
  <c r="I11" i="4"/>
  <c r="O11" i="8"/>
  <c r="I12" i="4"/>
  <c r="O12" i="8"/>
  <c r="I13" i="4"/>
  <c r="O13" i="8"/>
  <c r="I14" i="4"/>
  <c r="O14" i="8"/>
  <c r="I15" i="4"/>
  <c r="O15" i="8"/>
  <c r="I16" i="4"/>
  <c r="O16" i="8"/>
  <c r="I17" i="4"/>
  <c r="O17" i="8"/>
  <c r="I18" i="4"/>
  <c r="O18" i="8"/>
  <c r="I19" i="4"/>
  <c r="O19" i="8"/>
  <c r="I20" i="4"/>
  <c r="BW4" i="4"/>
  <c r="CB4" i="4" s="1"/>
  <c r="BV4" i="4"/>
  <c r="CA4" i="4" s="1"/>
  <c r="BU4" i="4"/>
  <c r="BZ4" i="4" s="1"/>
  <c r="BT4" i="4"/>
  <c r="BY4" i="4" s="1"/>
  <c r="BQ4" i="4"/>
  <c r="BR4" i="4"/>
  <c r="BS4" i="4"/>
  <c r="BP4" i="4"/>
  <c r="AG38" i="4"/>
  <c r="CG4" i="4"/>
  <c r="Y38" i="4"/>
  <c r="Z38" i="4"/>
  <c r="AA38" i="4"/>
  <c r="AB38" i="4"/>
  <c r="AC38" i="4"/>
  <c r="AD38" i="4"/>
  <c r="AE38" i="4"/>
  <c r="AF38" i="4"/>
  <c r="AH38" i="4"/>
  <c r="AI38" i="4"/>
  <c r="AJ38" i="4"/>
  <c r="AK38" i="4"/>
  <c r="AL38" i="4"/>
  <c r="AM38" i="4"/>
  <c r="AN38" i="4"/>
  <c r="AO38" i="4"/>
  <c r="AP38" i="4"/>
  <c r="AQ38" i="4"/>
  <c r="AR38" i="4"/>
  <c r="AS38" i="4"/>
  <c r="AT38" i="4"/>
  <c r="AU38" i="4"/>
  <c r="AV38" i="4"/>
  <c r="AW38" i="4"/>
  <c r="AY38" i="4"/>
  <c r="AZ38" i="4"/>
  <c r="BA38" i="4"/>
  <c r="BB38" i="4"/>
  <c r="BC38" i="4"/>
  <c r="BD38" i="4"/>
  <c r="BE38" i="4"/>
  <c r="BF38" i="4"/>
  <c r="BG38" i="4"/>
  <c r="BH38" i="4"/>
  <c r="BI38" i="4"/>
  <c r="BJ38" i="4"/>
  <c r="BK38" i="4"/>
  <c r="BL38" i="4"/>
  <c r="BM38" i="4"/>
  <c r="BN38" i="4"/>
  <c r="BO38" i="4"/>
  <c r="BP38" i="4"/>
  <c r="BQ38" i="4"/>
  <c r="BR38" i="4"/>
  <c r="BS38" i="4"/>
  <c r="BT38" i="4"/>
  <c r="BU38" i="4"/>
  <c r="BV38" i="4"/>
  <c r="BW38" i="4"/>
  <c r="BX38" i="4"/>
  <c r="BY38" i="4"/>
  <c r="BZ38" i="4"/>
  <c r="CA38" i="4"/>
  <c r="CB38" i="4"/>
  <c r="CC38" i="4"/>
  <c r="CD38" i="4"/>
  <c r="CE38" i="4"/>
  <c r="CF38" i="4"/>
  <c r="CG38" i="4"/>
  <c r="CH38" i="4"/>
  <c r="CI38" i="4"/>
  <c r="CJ38" i="4"/>
  <c r="CK38" i="4"/>
  <c r="CL38" i="4"/>
  <c r="CM38" i="4"/>
  <c r="CN38" i="4"/>
  <c r="CO38" i="4"/>
  <c r="CP38" i="4"/>
  <c r="X38" i="4"/>
  <c r="Y39" i="4"/>
  <c r="Z39" i="4"/>
  <c r="AA39" i="4"/>
  <c r="AB39" i="4"/>
  <c r="AC39" i="4"/>
  <c r="AD39" i="4"/>
  <c r="AE39" i="4"/>
  <c r="AF39" i="4"/>
  <c r="AG39" i="4"/>
  <c r="AH39" i="4"/>
  <c r="AI39" i="4"/>
  <c r="AJ39" i="4"/>
  <c r="AK39" i="4"/>
  <c r="AL39" i="4"/>
  <c r="AM39" i="4"/>
  <c r="AN39" i="4"/>
  <c r="AO39" i="4"/>
  <c r="AP39" i="4"/>
  <c r="AQ39" i="4"/>
  <c r="AR39" i="4"/>
  <c r="AS39" i="4"/>
  <c r="AT39" i="4"/>
  <c r="AU39" i="4"/>
  <c r="AV39" i="4"/>
  <c r="AW39" i="4"/>
  <c r="AY39" i="4"/>
  <c r="AZ39" i="4"/>
  <c r="BA39" i="4"/>
  <c r="BB39" i="4"/>
  <c r="BC39" i="4"/>
  <c r="BD39" i="4"/>
  <c r="BE39" i="4"/>
  <c r="BF39" i="4"/>
  <c r="BG39" i="4"/>
  <c r="BH39" i="4"/>
  <c r="BI39" i="4"/>
  <c r="BJ39" i="4"/>
  <c r="BK39" i="4"/>
  <c r="BL39" i="4"/>
  <c r="BM39" i="4"/>
  <c r="BN39" i="4"/>
  <c r="BO39" i="4"/>
  <c r="BP39" i="4"/>
  <c r="BQ39" i="4"/>
  <c r="BR39" i="4"/>
  <c r="BS39" i="4"/>
  <c r="BT39" i="4"/>
  <c r="BU39" i="4"/>
  <c r="BV39" i="4"/>
  <c r="BW39" i="4"/>
  <c r="BX39" i="4"/>
  <c r="BY39" i="4"/>
  <c r="BZ39" i="4"/>
  <c r="CA39" i="4"/>
  <c r="CB39" i="4"/>
  <c r="CC39" i="4"/>
  <c r="CD39" i="4"/>
  <c r="CE39" i="4"/>
  <c r="CF39" i="4"/>
  <c r="CG39" i="4"/>
  <c r="CH39" i="4"/>
  <c r="CI39" i="4"/>
  <c r="CJ39" i="4"/>
  <c r="CK39" i="4"/>
  <c r="CL39" i="4"/>
  <c r="CM39" i="4"/>
  <c r="CN39" i="4"/>
  <c r="CO39" i="4"/>
  <c r="CP39" i="4"/>
  <c r="X39" i="4"/>
  <c r="CE4" i="4"/>
  <c r="CF4" i="4"/>
  <c r="AY10" i="7"/>
  <c r="G3" i="8"/>
  <c r="Z7" i="7"/>
  <c r="BY119" i="1"/>
  <c r="BY132" i="1"/>
  <c r="BW132" i="1"/>
  <c r="BO132" i="1"/>
  <c r="BP132" i="1"/>
  <c r="BU132" i="1" s="1"/>
  <c r="BQ132" i="1"/>
  <c r="BV132" i="1" s="1"/>
  <c r="BZ117" i="1"/>
  <c r="CA117" i="1"/>
  <c r="BZ119" i="1"/>
  <c r="CA119" i="1"/>
  <c r="BZ120" i="1"/>
  <c r="CA120" i="1"/>
  <c r="BZ121" i="1"/>
  <c r="CA121" i="1"/>
  <c r="BZ122" i="1"/>
  <c r="CA122" i="1"/>
  <c r="BZ124" i="1"/>
  <c r="CA124" i="1"/>
  <c r="BZ128" i="1"/>
  <c r="CA128" i="1"/>
  <c r="BZ130" i="1"/>
  <c r="CA130" i="1"/>
  <c r="BZ131" i="1"/>
  <c r="CA131" i="1"/>
  <c r="BZ115" i="1"/>
  <c r="CA115" i="1"/>
  <c r="CA116" i="1"/>
  <c r="CA118" i="1"/>
  <c r="CA127" i="1"/>
  <c r="CA125" i="1"/>
  <c r="BO123" i="1"/>
  <c r="CB123" i="1"/>
  <c r="BO126" i="1"/>
  <c r="CB126" i="1"/>
  <c r="BO129" i="1"/>
  <c r="CB129" i="1"/>
  <c r="BR129" i="1"/>
  <c r="BQ123" i="1"/>
  <c r="BY115" i="1"/>
  <c r="BY131" i="1"/>
  <c r="BY130" i="1"/>
  <c r="BY129" i="1"/>
  <c r="BY128" i="1"/>
  <c r="BY127" i="1"/>
  <c r="BY126" i="1"/>
  <c r="BY125" i="1"/>
  <c r="BY124" i="1"/>
  <c r="BY123" i="1"/>
  <c r="BY122" i="1"/>
  <c r="BY121" i="1"/>
  <c r="BY120" i="1"/>
  <c r="BY118" i="1"/>
  <c r="BY117" i="1"/>
  <c r="BY116" i="1"/>
  <c r="BT119" i="1"/>
  <c r="BW115" i="1"/>
  <c r="BV115" i="1"/>
  <c r="BU115" i="1"/>
  <c r="BT115" i="1"/>
  <c r="BW131" i="1"/>
  <c r="BV131" i="1"/>
  <c r="BU131" i="1"/>
  <c r="BT131" i="1"/>
  <c r="BW130" i="1"/>
  <c r="BV130" i="1"/>
  <c r="BU130" i="1"/>
  <c r="BT130" i="1"/>
  <c r="BW129" i="1"/>
  <c r="BV129" i="1"/>
  <c r="BU129" i="1"/>
  <c r="BT129" i="1"/>
  <c r="BW128" i="1"/>
  <c r="BV128" i="1"/>
  <c r="BU128" i="1"/>
  <c r="BT128" i="1"/>
  <c r="BW127" i="1"/>
  <c r="BV127" i="1"/>
  <c r="BU127" i="1"/>
  <c r="BT127" i="1"/>
  <c r="BW126" i="1"/>
  <c r="BV126" i="1"/>
  <c r="BU126" i="1"/>
  <c r="BT126" i="1"/>
  <c r="BW125" i="1"/>
  <c r="BV125" i="1"/>
  <c r="BU125" i="1"/>
  <c r="BT125" i="1"/>
  <c r="BW124" i="1"/>
  <c r="BV124" i="1"/>
  <c r="BU124" i="1"/>
  <c r="BT124" i="1"/>
  <c r="BW123" i="1"/>
  <c r="BV123" i="1"/>
  <c r="BU123" i="1"/>
  <c r="BT123" i="1"/>
  <c r="BW122" i="1"/>
  <c r="BV122" i="1"/>
  <c r="BU122" i="1"/>
  <c r="BT122" i="1"/>
  <c r="BW121" i="1"/>
  <c r="BV121" i="1"/>
  <c r="BU121" i="1"/>
  <c r="BT121" i="1"/>
  <c r="BW120" i="1"/>
  <c r="BV120" i="1"/>
  <c r="BU120" i="1"/>
  <c r="BT120" i="1"/>
  <c r="BW118" i="1"/>
  <c r="BV118" i="1"/>
  <c r="BU118" i="1"/>
  <c r="BT118" i="1"/>
  <c r="BW117" i="1"/>
  <c r="BV117" i="1"/>
  <c r="BU117" i="1"/>
  <c r="BT117" i="1"/>
  <c r="BW116" i="1"/>
  <c r="BV116" i="1"/>
  <c r="BU116" i="1"/>
  <c r="BT116" i="1"/>
  <c r="BW119" i="1"/>
  <c r="BV119" i="1"/>
  <c r="BU119" i="1"/>
  <c r="BQ5" i="4" l="1"/>
  <c r="BU5" i="4"/>
  <c r="BP5" i="4"/>
  <c r="I20" i="9"/>
  <c r="I20" i="8"/>
  <c r="I20" i="7"/>
  <c r="I20" i="6"/>
  <c r="I20" i="5"/>
  <c r="I19" i="9"/>
  <c r="I19" i="7"/>
  <c r="I19" i="6"/>
  <c r="I19" i="5"/>
  <c r="I18" i="9"/>
  <c r="I18" i="7"/>
  <c r="I18" i="6"/>
  <c r="I18" i="5"/>
  <c r="I17" i="9"/>
  <c r="I17" i="7"/>
  <c r="I17" i="6"/>
  <c r="I17" i="5"/>
  <c r="I16" i="9"/>
  <c r="I16" i="7"/>
  <c r="I16" i="6"/>
  <c r="I16" i="5"/>
  <c r="I15" i="9"/>
  <c r="I15" i="7"/>
  <c r="I15" i="6"/>
  <c r="I15" i="5"/>
  <c r="I14" i="9"/>
  <c r="I14" i="7"/>
  <c r="I14" i="6"/>
  <c r="I14" i="5"/>
  <c r="I13" i="9"/>
  <c r="I13" i="7"/>
  <c r="I13" i="6"/>
  <c r="I13" i="5"/>
  <c r="I12" i="9"/>
  <c r="I12" i="7"/>
  <c r="I12" i="6"/>
  <c r="I12" i="5"/>
  <c r="I11" i="9"/>
  <c r="I11" i="7"/>
  <c r="I11" i="6"/>
  <c r="I11" i="5"/>
  <c r="I10" i="9"/>
  <c r="I10" i="7"/>
  <c r="I10" i="6"/>
  <c r="I10" i="5"/>
  <c r="I8" i="9"/>
  <c r="I8" i="7"/>
  <c r="I8" i="6"/>
  <c r="I8" i="5"/>
  <c r="I7" i="9"/>
  <c r="I7" i="7"/>
  <c r="I7" i="6"/>
  <c r="I7" i="5"/>
  <c r="I6" i="9"/>
  <c r="I6" i="7"/>
  <c r="I6" i="6"/>
  <c r="I6" i="5"/>
  <c r="I3" i="9"/>
  <c r="I3" i="7"/>
  <c r="I3" i="6"/>
  <c r="I5" i="9"/>
  <c r="I5" i="7"/>
  <c r="I5" i="6"/>
  <c r="I5" i="5"/>
  <c r="AL18" i="7"/>
  <c r="AL18" i="8"/>
  <c r="AL6" i="7"/>
  <c r="I9" i="9"/>
  <c r="I9" i="7"/>
  <c r="I9" i="5"/>
  <c r="I9" i="6"/>
  <c r="X10" i="7"/>
  <c r="X10" i="8"/>
  <c r="X10" i="5"/>
  <c r="X10" i="6"/>
  <c r="CI10" i="4"/>
  <c r="BI8" i="7"/>
  <c r="AZ8" i="7"/>
  <c r="BC8" i="7"/>
  <c r="BF8" i="7"/>
  <c r="BG8" i="7"/>
  <c r="BM8" i="7"/>
  <c r="BN8" i="7"/>
  <c r="BO8" i="7"/>
  <c r="AU8" i="7"/>
  <c r="AO8" i="7"/>
  <c r="AJ8" i="7"/>
  <c r="AK8" i="7"/>
  <c r="AL8" i="7" s="1"/>
  <c r="AC8" i="7"/>
  <c r="AD8" i="7"/>
  <c r="AE8" i="7"/>
  <c r="AF8" i="7"/>
  <c r="Y8" i="7"/>
  <c r="V8" i="7"/>
  <c r="X8" i="7"/>
  <c r="AA8" i="7"/>
  <c r="BM8" i="8"/>
  <c r="BN8" i="8"/>
  <c r="BO8" i="8"/>
  <c r="BI8" i="8"/>
  <c r="AZ8" i="8"/>
  <c r="BC8" i="8"/>
  <c r="BF8" i="8"/>
  <c r="BG8" i="8"/>
  <c r="Y8" i="8"/>
  <c r="AC8" i="8"/>
  <c r="AD8" i="8"/>
  <c r="AE8" i="8"/>
  <c r="AF8" i="8"/>
  <c r="AJ8" i="8"/>
  <c r="AK8" i="8"/>
  <c r="AL8" i="8" s="1"/>
  <c r="AO8" i="8"/>
  <c r="AU8" i="8"/>
  <c r="X8" i="8"/>
  <c r="AA8" i="8"/>
  <c r="BN8" i="9"/>
  <c r="BO8" i="9"/>
  <c r="BM8" i="9"/>
  <c r="BI8" i="9"/>
  <c r="BG8" i="9"/>
  <c r="BF8" i="9"/>
  <c r="BC8" i="9"/>
  <c r="AZ8" i="9"/>
  <c r="AV8" i="9"/>
  <c r="AU8" i="9"/>
  <c r="AT8" i="9"/>
  <c r="AS8" i="9"/>
  <c r="AR8" i="9"/>
  <c r="AQ8" i="9"/>
  <c r="AP8" i="9"/>
  <c r="X8" i="9" s="1"/>
  <c r="AO8" i="9"/>
  <c r="AN8" i="9"/>
  <c r="AM8" i="9"/>
  <c r="AK8" i="9"/>
  <c r="AL8" i="9" s="1"/>
  <c r="AG8" i="9"/>
  <c r="AH8" i="9"/>
  <c r="AI8" i="9"/>
  <c r="AD8" i="9"/>
  <c r="AE8" i="9"/>
  <c r="AF8" i="9"/>
  <c r="AC8" i="9"/>
  <c r="Y8" i="9"/>
  <c r="AJ8" i="9"/>
  <c r="V8" i="9"/>
  <c r="W8" i="9"/>
  <c r="R8" i="9"/>
  <c r="S8" i="9"/>
  <c r="T8" i="9"/>
  <c r="U8" i="9"/>
  <c r="Q8" i="9"/>
  <c r="N8" i="9"/>
  <c r="M8" i="9"/>
  <c r="L8" i="9"/>
  <c r="K8" i="9"/>
  <c r="J8" i="9"/>
  <c r="F8" i="9"/>
  <c r="H8" i="9"/>
  <c r="G8" i="9"/>
  <c r="AA8" i="9"/>
  <c r="BN20" i="9"/>
  <c r="BO20" i="9"/>
  <c r="BM20" i="9"/>
  <c r="BI20" i="9"/>
  <c r="BG20" i="9"/>
  <c r="BF20" i="9"/>
  <c r="BC20" i="9"/>
  <c r="AZ20" i="9"/>
  <c r="AV20" i="9"/>
  <c r="AU20" i="9"/>
  <c r="AT20" i="9"/>
  <c r="AS20" i="9"/>
  <c r="AR20" i="9"/>
  <c r="AQ20" i="9"/>
  <c r="AP20" i="9"/>
  <c r="X20" i="9" s="1"/>
  <c r="AO20" i="9"/>
  <c r="AN20" i="9"/>
  <c r="AM20" i="9"/>
  <c r="AK20" i="9"/>
  <c r="AL20" i="9" s="1"/>
  <c r="AG20" i="9"/>
  <c r="AH20" i="9"/>
  <c r="AI20" i="9"/>
  <c r="AD20" i="9"/>
  <c r="AE20" i="9"/>
  <c r="AF20" i="9"/>
  <c r="AC20" i="9"/>
  <c r="AA20" i="9"/>
  <c r="Y20" i="9"/>
  <c r="AJ20" i="9"/>
  <c r="V20" i="9"/>
  <c r="W20" i="9"/>
  <c r="U20" i="9"/>
  <c r="T20" i="9"/>
  <c r="S20" i="9"/>
  <c r="R20" i="9"/>
  <c r="Q20" i="9"/>
  <c r="J20" i="9"/>
  <c r="K20" i="9"/>
  <c r="L20" i="9"/>
  <c r="M20" i="9"/>
  <c r="N20" i="9"/>
  <c r="H20" i="9"/>
  <c r="F20" i="9"/>
  <c r="G20" i="9"/>
  <c r="BN19" i="9"/>
  <c r="BO19" i="9"/>
  <c r="BM19" i="9"/>
  <c r="BI19" i="9"/>
  <c r="BG19" i="9"/>
  <c r="BF19" i="9"/>
  <c r="BC19" i="9"/>
  <c r="AZ19" i="9"/>
  <c r="AU19" i="9"/>
  <c r="AT19" i="9"/>
  <c r="AS19" i="9"/>
  <c r="AR19" i="9"/>
  <c r="AQ19" i="9"/>
  <c r="AP19" i="9"/>
  <c r="X19" i="9" s="1"/>
  <c r="AO19" i="9"/>
  <c r="AN19" i="9"/>
  <c r="AM19" i="9"/>
  <c r="AK19" i="9"/>
  <c r="AL19" i="9" s="1"/>
  <c r="AG19" i="9"/>
  <c r="AH19" i="9"/>
  <c r="AI19" i="9"/>
  <c r="AD19" i="9"/>
  <c r="AE19" i="9"/>
  <c r="AF19" i="9"/>
  <c r="AC19" i="9"/>
  <c r="AA19" i="9"/>
  <c r="Y19" i="9"/>
  <c r="AJ19" i="9"/>
  <c r="V19" i="9"/>
  <c r="W19" i="9"/>
  <c r="R19" i="9"/>
  <c r="S19" i="9"/>
  <c r="T19" i="9"/>
  <c r="U19" i="9"/>
  <c r="Q19" i="9"/>
  <c r="J19" i="9"/>
  <c r="K19" i="9"/>
  <c r="L19" i="9"/>
  <c r="M19" i="9"/>
  <c r="N19" i="9"/>
  <c r="H19" i="9"/>
  <c r="F19" i="9"/>
  <c r="G19" i="9"/>
  <c r="BN18" i="9"/>
  <c r="BO18" i="9"/>
  <c r="BM18" i="9"/>
  <c r="BI18" i="9"/>
  <c r="BG18" i="9"/>
  <c r="BF18" i="9"/>
  <c r="BC18" i="9"/>
  <c r="AZ18" i="9"/>
  <c r="AU18" i="9"/>
  <c r="AT18" i="9"/>
  <c r="AS18" i="9"/>
  <c r="AR18" i="9"/>
  <c r="AQ18" i="9"/>
  <c r="AP18" i="9"/>
  <c r="X18" i="9" s="1"/>
  <c r="AO18" i="9"/>
  <c r="AN18" i="9"/>
  <c r="AM18" i="9"/>
  <c r="AK18" i="9"/>
  <c r="AL18" i="9" s="1"/>
  <c r="AG18" i="9"/>
  <c r="AH18" i="9"/>
  <c r="AI18" i="9"/>
  <c r="AD18" i="9"/>
  <c r="AE18" i="9"/>
  <c r="AF18" i="9"/>
  <c r="AC18" i="9"/>
  <c r="AA18" i="9"/>
  <c r="Y18" i="9"/>
  <c r="AJ18" i="9"/>
  <c r="V18" i="9"/>
  <c r="W18" i="9"/>
  <c r="R18" i="9"/>
  <c r="S18" i="9"/>
  <c r="T18" i="9"/>
  <c r="U18" i="9"/>
  <c r="Q18" i="9"/>
  <c r="J18" i="9"/>
  <c r="K18" i="9"/>
  <c r="L18" i="9"/>
  <c r="M18" i="9"/>
  <c r="N18" i="9"/>
  <c r="H18" i="9"/>
  <c r="F18" i="9"/>
  <c r="G18" i="9"/>
  <c r="BN17" i="9"/>
  <c r="BO17" i="9"/>
  <c r="BM17" i="9"/>
  <c r="BI17" i="9"/>
  <c r="BG17" i="9"/>
  <c r="BF17" i="9"/>
  <c r="BC17" i="9"/>
  <c r="AZ17" i="9"/>
  <c r="AU17" i="9"/>
  <c r="AT17" i="9"/>
  <c r="AS17" i="9"/>
  <c r="AR17" i="9"/>
  <c r="AQ17" i="9"/>
  <c r="AP17" i="9"/>
  <c r="X17" i="9" s="1"/>
  <c r="AO17" i="9"/>
  <c r="AN17" i="9"/>
  <c r="AM17" i="9"/>
  <c r="AK17" i="9"/>
  <c r="AL17" i="9" s="1"/>
  <c r="AG17" i="9"/>
  <c r="AH17" i="9"/>
  <c r="AI17" i="9"/>
  <c r="AD17" i="9"/>
  <c r="AE17" i="9"/>
  <c r="AF17" i="9"/>
  <c r="AA17" i="9"/>
  <c r="Y17" i="9"/>
  <c r="AJ17" i="9"/>
  <c r="V17" i="9"/>
  <c r="W17" i="9"/>
  <c r="R17" i="9"/>
  <c r="S17" i="9"/>
  <c r="T17" i="9"/>
  <c r="U17" i="9"/>
  <c r="Q17" i="9"/>
  <c r="J17" i="9"/>
  <c r="K17" i="9"/>
  <c r="L17" i="9"/>
  <c r="M17" i="9"/>
  <c r="N17" i="9"/>
  <c r="H17" i="9"/>
  <c r="F17" i="9"/>
  <c r="AC17" i="9"/>
  <c r="G17" i="9"/>
  <c r="BN16" i="9"/>
  <c r="BO16" i="9"/>
  <c r="BM16" i="9"/>
  <c r="BI16" i="9"/>
  <c r="BG16" i="9"/>
  <c r="BF16" i="9"/>
  <c r="BC16" i="9"/>
  <c r="AZ16" i="9"/>
  <c r="AV16" i="9"/>
  <c r="AU16" i="9"/>
  <c r="AT16" i="9"/>
  <c r="AS16" i="9"/>
  <c r="AR16" i="9"/>
  <c r="AQ16" i="9"/>
  <c r="AP16" i="9"/>
  <c r="X16" i="9" s="1"/>
  <c r="AO16" i="9"/>
  <c r="AN16" i="9"/>
  <c r="AM16" i="9"/>
  <c r="AK16" i="9"/>
  <c r="AL16" i="9" s="1"/>
  <c r="AG16" i="9"/>
  <c r="AH16" i="9"/>
  <c r="AI16" i="9"/>
  <c r="AD16" i="9"/>
  <c r="AE16" i="9"/>
  <c r="AF16" i="9"/>
  <c r="AC16" i="9"/>
  <c r="AA16" i="9"/>
  <c r="Y16" i="9"/>
  <c r="AJ16" i="9"/>
  <c r="V16" i="9"/>
  <c r="W16" i="9"/>
  <c r="R16" i="9"/>
  <c r="S16" i="9"/>
  <c r="T16" i="9"/>
  <c r="U16" i="9"/>
  <c r="Q16" i="9"/>
  <c r="J16" i="9"/>
  <c r="K16" i="9"/>
  <c r="L16" i="9"/>
  <c r="M16" i="9"/>
  <c r="N16" i="9"/>
  <c r="H16" i="9"/>
  <c r="F16" i="9"/>
  <c r="G16" i="9"/>
  <c r="BN15" i="9"/>
  <c r="BO15" i="9"/>
  <c r="BM15" i="9"/>
  <c r="BI15" i="9"/>
  <c r="BG15" i="9"/>
  <c r="BF15" i="9"/>
  <c r="BC15" i="9"/>
  <c r="AZ15" i="9"/>
  <c r="AV15" i="9"/>
  <c r="AU15" i="9"/>
  <c r="AT15" i="9"/>
  <c r="AS15" i="9"/>
  <c r="AR15" i="9"/>
  <c r="AQ15" i="9"/>
  <c r="AP15" i="9"/>
  <c r="X15" i="9" s="1"/>
  <c r="AO15" i="9"/>
  <c r="AN15" i="9"/>
  <c r="AM15" i="9"/>
  <c r="AK15" i="9"/>
  <c r="AL15" i="9" s="1"/>
  <c r="AG15" i="9"/>
  <c r="AH15" i="9"/>
  <c r="AI15" i="9"/>
  <c r="AD15" i="9"/>
  <c r="AE15" i="9"/>
  <c r="AF15" i="9"/>
  <c r="AA15" i="9"/>
  <c r="Y15" i="9"/>
  <c r="AJ15" i="9"/>
  <c r="V15" i="9"/>
  <c r="W15" i="9"/>
  <c r="Q15" i="9"/>
  <c r="R15" i="9"/>
  <c r="S15" i="9"/>
  <c r="T15" i="9"/>
  <c r="U15" i="9"/>
  <c r="J15" i="9"/>
  <c r="K15" i="9"/>
  <c r="L15" i="9"/>
  <c r="M15" i="9"/>
  <c r="N15" i="9"/>
  <c r="F15" i="9"/>
  <c r="H15" i="9"/>
  <c r="AC15" i="9"/>
  <c r="G15" i="9"/>
  <c r="BN14" i="9"/>
  <c r="BO14" i="9"/>
  <c r="BM14" i="9"/>
  <c r="BI14" i="9"/>
  <c r="BG14" i="9"/>
  <c r="BF14" i="9"/>
  <c r="BC14" i="9"/>
  <c r="AZ14" i="9"/>
  <c r="AV14" i="9"/>
  <c r="AU14" i="9"/>
  <c r="AT14" i="9"/>
  <c r="AS14" i="9"/>
  <c r="AR14" i="9"/>
  <c r="AQ14" i="9"/>
  <c r="AP14" i="9"/>
  <c r="X14" i="9" s="1"/>
  <c r="AO14" i="9"/>
  <c r="AN14" i="9"/>
  <c r="AM14" i="9"/>
  <c r="AK14" i="9"/>
  <c r="AL14" i="9" s="1"/>
  <c r="AG14" i="9"/>
  <c r="AH14" i="9"/>
  <c r="AI14" i="9"/>
  <c r="AD14" i="9"/>
  <c r="AE14" i="9"/>
  <c r="AF14" i="9"/>
  <c r="AC14" i="9"/>
  <c r="AA14" i="9"/>
  <c r="Y14" i="9"/>
  <c r="AJ14" i="9"/>
  <c r="V14" i="9"/>
  <c r="W14" i="9"/>
  <c r="Q14" i="9"/>
  <c r="R14" i="9"/>
  <c r="S14" i="9"/>
  <c r="T14" i="9"/>
  <c r="U14" i="9"/>
  <c r="J14" i="9"/>
  <c r="K14" i="9"/>
  <c r="L14" i="9"/>
  <c r="M14" i="9"/>
  <c r="N14" i="9"/>
  <c r="F14" i="9"/>
  <c r="H14" i="9"/>
  <c r="G14" i="9"/>
  <c r="BN13" i="9"/>
  <c r="BO13" i="9"/>
  <c r="BM13" i="9"/>
  <c r="BI13" i="9"/>
  <c r="BG13" i="9"/>
  <c r="BF13" i="9"/>
  <c r="BC13" i="9"/>
  <c r="AZ13" i="9"/>
  <c r="AV13" i="9"/>
  <c r="AU13" i="9"/>
  <c r="AT13" i="9"/>
  <c r="AS13" i="9"/>
  <c r="AR13" i="9"/>
  <c r="AQ13" i="9"/>
  <c r="AP13" i="9"/>
  <c r="X13" i="9" s="1"/>
  <c r="AO13" i="9"/>
  <c r="AN13" i="9"/>
  <c r="AM13" i="9"/>
  <c r="AK13" i="9"/>
  <c r="AL13" i="9" s="1"/>
  <c r="AG13" i="9"/>
  <c r="AH13" i="9"/>
  <c r="AI13" i="9"/>
  <c r="AD13" i="9"/>
  <c r="AE13" i="9"/>
  <c r="AF13" i="9"/>
  <c r="AA13" i="9"/>
  <c r="Y13" i="9"/>
  <c r="AJ13" i="9"/>
  <c r="V13" i="9"/>
  <c r="W13" i="9"/>
  <c r="Q13" i="9"/>
  <c r="R13" i="9"/>
  <c r="S13" i="9"/>
  <c r="T13" i="9"/>
  <c r="U13" i="9"/>
  <c r="J13" i="9"/>
  <c r="K13" i="9"/>
  <c r="L13" i="9"/>
  <c r="M13" i="9"/>
  <c r="N13" i="9"/>
  <c r="F13" i="9"/>
  <c r="H13" i="9"/>
  <c r="AC13" i="9"/>
  <c r="G13" i="9"/>
  <c r="BN12" i="9"/>
  <c r="BO12" i="9"/>
  <c r="BM12" i="9"/>
  <c r="BI12" i="9"/>
  <c r="BG12" i="9"/>
  <c r="BF12" i="9"/>
  <c r="BC12" i="9"/>
  <c r="AZ12" i="9"/>
  <c r="AV12" i="9"/>
  <c r="AU12" i="9"/>
  <c r="AT12" i="9"/>
  <c r="AS12" i="9"/>
  <c r="AR12" i="9"/>
  <c r="AQ12" i="9"/>
  <c r="AP12" i="9"/>
  <c r="X12" i="9" s="1"/>
  <c r="AO12" i="9"/>
  <c r="AN12" i="9"/>
  <c r="AM12" i="9"/>
  <c r="AK12" i="9"/>
  <c r="AL12" i="9" s="1"/>
  <c r="AH12" i="9"/>
  <c r="AG12" i="9"/>
  <c r="AI12" i="9"/>
  <c r="AD12" i="9"/>
  <c r="AE12" i="9"/>
  <c r="AF12" i="9"/>
  <c r="AC12" i="9"/>
  <c r="AA12" i="9"/>
  <c r="Y12" i="9"/>
  <c r="AJ12" i="9"/>
  <c r="V12" i="9"/>
  <c r="W12" i="9"/>
  <c r="Q12" i="9"/>
  <c r="R12" i="9"/>
  <c r="S12" i="9"/>
  <c r="T12" i="9"/>
  <c r="U12" i="9"/>
  <c r="J12" i="9"/>
  <c r="K12" i="9"/>
  <c r="L12" i="9"/>
  <c r="M12" i="9"/>
  <c r="N12" i="9"/>
  <c r="F12" i="9"/>
  <c r="H12" i="9"/>
  <c r="G12" i="9"/>
  <c r="BN11" i="9"/>
  <c r="BO11" i="9"/>
  <c r="BM11" i="9"/>
  <c r="BI11" i="9"/>
  <c r="BG11" i="9"/>
  <c r="BF11" i="9"/>
  <c r="BC11" i="9"/>
  <c r="AZ11" i="9"/>
  <c r="AV11" i="9"/>
  <c r="AU11" i="9"/>
  <c r="AT11" i="9"/>
  <c r="AS11" i="9"/>
  <c r="AR11" i="9"/>
  <c r="AQ11" i="9"/>
  <c r="AP11" i="9"/>
  <c r="X11" i="9" s="1"/>
  <c r="AO11" i="9"/>
  <c r="AN11" i="9"/>
  <c r="AM11" i="9"/>
  <c r="AK11" i="9"/>
  <c r="AL11" i="9" s="1"/>
  <c r="AG11" i="9"/>
  <c r="AH11" i="9"/>
  <c r="AI11" i="9"/>
  <c r="AD11" i="9"/>
  <c r="AE11" i="9"/>
  <c r="AF11" i="9"/>
  <c r="AA11" i="9"/>
  <c r="Y11" i="9"/>
  <c r="AJ11" i="9"/>
  <c r="V11" i="9"/>
  <c r="W11" i="9"/>
  <c r="Q11" i="9"/>
  <c r="R11" i="9"/>
  <c r="S11" i="9"/>
  <c r="T11" i="9"/>
  <c r="U11" i="9"/>
  <c r="J11" i="9"/>
  <c r="K11" i="9"/>
  <c r="L11" i="9"/>
  <c r="M11" i="9"/>
  <c r="N11" i="9"/>
  <c r="F11" i="9"/>
  <c r="H11" i="9"/>
  <c r="AC11" i="9"/>
  <c r="G11" i="9"/>
  <c r="BN10" i="9"/>
  <c r="BO10" i="9"/>
  <c r="BM10" i="9"/>
  <c r="BI10" i="9"/>
  <c r="BG10" i="9"/>
  <c r="BF10" i="9"/>
  <c r="BC10" i="9"/>
  <c r="AZ10" i="9"/>
  <c r="AV10" i="9"/>
  <c r="AU10" i="9"/>
  <c r="AT10" i="9"/>
  <c r="AS10" i="9"/>
  <c r="AR10" i="9"/>
  <c r="AQ10" i="9"/>
  <c r="AP10" i="9"/>
  <c r="X10" i="9" s="1"/>
  <c r="AO10" i="9"/>
  <c r="AN10" i="9"/>
  <c r="AM10" i="9"/>
  <c r="AK10" i="9"/>
  <c r="AL10" i="9" s="1"/>
  <c r="AG10" i="9"/>
  <c r="AH10" i="9"/>
  <c r="AI10" i="9"/>
  <c r="AD10" i="9"/>
  <c r="AE10" i="9"/>
  <c r="AF10" i="9"/>
  <c r="AC10" i="9"/>
  <c r="AA10" i="9"/>
  <c r="Y10" i="9"/>
  <c r="AJ10" i="9"/>
  <c r="V10" i="9"/>
  <c r="W10" i="9"/>
  <c r="Q10" i="9"/>
  <c r="R10" i="9"/>
  <c r="S10" i="9"/>
  <c r="T10" i="9"/>
  <c r="U10" i="9"/>
  <c r="J10" i="9"/>
  <c r="K10" i="9"/>
  <c r="L10" i="9"/>
  <c r="M10" i="9"/>
  <c r="N10" i="9"/>
  <c r="F10" i="9"/>
  <c r="H10" i="9"/>
  <c r="G10" i="9"/>
  <c r="BN9" i="9"/>
  <c r="BO9" i="9"/>
  <c r="BM9" i="9"/>
  <c r="BI9" i="9"/>
  <c r="BG9" i="9"/>
  <c r="BF9" i="9"/>
  <c r="BC9" i="9"/>
  <c r="AZ9" i="9"/>
  <c r="AV9" i="9"/>
  <c r="AU9" i="9"/>
  <c r="AT9" i="9"/>
  <c r="AS9" i="9"/>
  <c r="AR9" i="9"/>
  <c r="AQ9" i="9"/>
  <c r="AP9" i="9"/>
  <c r="X9" i="9" s="1"/>
  <c r="AO9" i="9"/>
  <c r="AN9" i="9"/>
  <c r="AM9" i="9"/>
  <c r="AK9" i="9"/>
  <c r="AL9" i="9" s="1"/>
  <c r="AG9" i="9"/>
  <c r="AH9" i="9"/>
  <c r="AI9" i="9"/>
  <c r="AD9" i="9"/>
  <c r="AE9" i="9"/>
  <c r="AF9" i="9"/>
  <c r="AC9" i="9"/>
  <c r="AA9" i="9"/>
  <c r="Y9" i="9"/>
  <c r="AJ9" i="9"/>
  <c r="V9" i="9"/>
  <c r="W9" i="9"/>
  <c r="U9" i="9"/>
  <c r="T9" i="9"/>
  <c r="S9" i="9"/>
  <c r="R9" i="9"/>
  <c r="Q9" i="9"/>
  <c r="J9" i="9"/>
  <c r="K9" i="9"/>
  <c r="L9" i="9"/>
  <c r="M9" i="9"/>
  <c r="N9" i="9"/>
  <c r="F9" i="9"/>
  <c r="H9" i="9"/>
  <c r="G9" i="9"/>
  <c r="BN7" i="9"/>
  <c r="BO7" i="9"/>
  <c r="BM7" i="9"/>
  <c r="BI7" i="9"/>
  <c r="BG7" i="9"/>
  <c r="BF7" i="9"/>
  <c r="BC7" i="9"/>
  <c r="AZ7" i="9"/>
  <c r="AV7" i="9"/>
  <c r="AU7" i="9"/>
  <c r="AT7" i="9"/>
  <c r="AS7" i="9"/>
  <c r="AR7" i="9"/>
  <c r="AQ7" i="9"/>
  <c r="AP7" i="9"/>
  <c r="X7" i="9" s="1"/>
  <c r="AO7" i="9"/>
  <c r="AN7" i="9"/>
  <c r="AM7" i="9"/>
  <c r="AK7" i="9"/>
  <c r="AL7" i="9" s="1"/>
  <c r="AG7" i="9"/>
  <c r="AH7" i="9"/>
  <c r="AI7" i="9"/>
  <c r="AF7" i="9"/>
  <c r="AE7" i="9"/>
  <c r="AD7" i="9"/>
  <c r="AC7" i="9"/>
  <c r="AA7" i="9"/>
  <c r="Y7" i="9"/>
  <c r="AJ7" i="9"/>
  <c r="V7" i="9"/>
  <c r="W7" i="9"/>
  <c r="Q7" i="9"/>
  <c r="R7" i="9"/>
  <c r="S7" i="9"/>
  <c r="T7" i="9"/>
  <c r="U7" i="9"/>
  <c r="N7" i="9"/>
  <c r="M7" i="9"/>
  <c r="L7" i="9"/>
  <c r="K7" i="9"/>
  <c r="J7" i="9"/>
  <c r="F7" i="9"/>
  <c r="H7" i="9"/>
  <c r="G7" i="9"/>
  <c r="BN6" i="9"/>
  <c r="BO6" i="9"/>
  <c r="BM6" i="9"/>
  <c r="BI6" i="9"/>
  <c r="BG6" i="9"/>
  <c r="BF6" i="9"/>
  <c r="BC6" i="9"/>
  <c r="AZ6" i="9"/>
  <c r="AV6" i="9"/>
  <c r="AU6" i="9"/>
  <c r="AT6" i="9"/>
  <c r="AS6" i="9"/>
  <c r="AR6" i="9"/>
  <c r="AQ6" i="9"/>
  <c r="AP6" i="9"/>
  <c r="X6" i="9" s="1"/>
  <c r="AO6" i="9"/>
  <c r="AN6" i="9"/>
  <c r="AM6" i="9"/>
  <c r="AK6" i="9"/>
  <c r="AL6" i="9" s="1"/>
  <c r="AG6" i="9"/>
  <c r="AH6" i="9"/>
  <c r="AI6" i="9"/>
  <c r="AD6" i="9"/>
  <c r="AE6" i="9"/>
  <c r="AF6" i="9"/>
  <c r="Y6" i="9"/>
  <c r="AA6" i="9"/>
  <c r="AJ6" i="9"/>
  <c r="V6" i="9"/>
  <c r="W6" i="9"/>
  <c r="U6" i="9"/>
  <c r="T6" i="9"/>
  <c r="S6" i="9"/>
  <c r="R6" i="9"/>
  <c r="Q6" i="9"/>
  <c r="N6" i="9"/>
  <c r="M6" i="9"/>
  <c r="L6" i="9"/>
  <c r="K6" i="9"/>
  <c r="J6" i="9"/>
  <c r="F6" i="9"/>
  <c r="H6" i="9"/>
  <c r="AC6" i="9"/>
  <c r="G6" i="9"/>
  <c r="BN4" i="9"/>
  <c r="BO4" i="9"/>
  <c r="BM4" i="9"/>
  <c r="BI4" i="9"/>
  <c r="BG4" i="9"/>
  <c r="BF4" i="9"/>
  <c r="BC4" i="9"/>
  <c r="AZ4" i="9"/>
  <c r="AV4" i="9"/>
  <c r="AU4" i="9"/>
  <c r="AT4" i="9"/>
  <c r="AS4" i="9"/>
  <c r="AR4" i="9"/>
  <c r="AQ4" i="9"/>
  <c r="AP4" i="9"/>
  <c r="X4" i="9" s="1"/>
  <c r="AO4" i="9"/>
  <c r="AN4" i="9"/>
  <c r="AM4" i="9"/>
  <c r="AK4" i="9"/>
  <c r="AL4" i="9" s="1"/>
  <c r="AG4" i="9"/>
  <c r="AH4" i="9"/>
  <c r="AI4" i="9"/>
  <c r="Y4" i="9"/>
  <c r="AA4" i="9"/>
  <c r="AD4" i="9"/>
  <c r="AE4" i="9"/>
  <c r="AF4" i="9"/>
  <c r="AJ4" i="9"/>
  <c r="V4" i="9"/>
  <c r="W4" i="9"/>
  <c r="Q4" i="9"/>
  <c r="R4" i="9"/>
  <c r="S4" i="9"/>
  <c r="T4" i="9"/>
  <c r="U4" i="9"/>
  <c r="J4" i="9"/>
  <c r="K4" i="9"/>
  <c r="L4" i="9"/>
  <c r="M4" i="9"/>
  <c r="N4" i="9"/>
  <c r="F4" i="9"/>
  <c r="H4" i="9"/>
  <c r="AC4" i="9"/>
  <c r="G4" i="9"/>
  <c r="BN5" i="9"/>
  <c r="BO5" i="9"/>
  <c r="BM5" i="9"/>
  <c r="BI5" i="9"/>
  <c r="BG5" i="9"/>
  <c r="BF5" i="9"/>
  <c r="BC5" i="9"/>
  <c r="AZ5" i="9"/>
  <c r="AV5" i="9"/>
  <c r="AU5" i="9"/>
  <c r="AT5" i="9"/>
  <c r="AS5" i="9"/>
  <c r="AR5" i="9"/>
  <c r="AQ5" i="9"/>
  <c r="AP5" i="9"/>
  <c r="X5" i="9" s="1"/>
  <c r="AO5" i="9"/>
  <c r="AN5" i="9"/>
  <c r="AM5" i="9"/>
  <c r="AK5" i="9"/>
  <c r="AL5" i="9" s="1"/>
  <c r="AG5" i="9"/>
  <c r="AH5" i="9"/>
  <c r="AI5" i="9"/>
  <c r="Y5" i="9"/>
  <c r="AA5" i="9"/>
  <c r="AC5" i="9"/>
  <c r="AD5" i="9"/>
  <c r="AE5" i="9"/>
  <c r="AF5" i="9"/>
  <c r="AJ5" i="9"/>
  <c r="V5" i="9"/>
  <c r="W5" i="9"/>
  <c r="Q5" i="9"/>
  <c r="R5" i="9"/>
  <c r="S5" i="9"/>
  <c r="T5" i="9"/>
  <c r="U5" i="9"/>
  <c r="J5" i="9"/>
  <c r="K5" i="9"/>
  <c r="L5" i="9"/>
  <c r="M5" i="9"/>
  <c r="N5" i="9"/>
  <c r="F5" i="9"/>
  <c r="H5" i="9"/>
  <c r="G5" i="9"/>
  <c r="BO3" i="9"/>
  <c r="BN3" i="9"/>
  <c r="BM3" i="9"/>
  <c r="BI3" i="9"/>
  <c r="BG3" i="9"/>
  <c r="BF3" i="9"/>
  <c r="BC3" i="9"/>
  <c r="AZ3" i="9"/>
  <c r="AV3" i="9"/>
  <c r="AU3" i="9"/>
  <c r="AT3" i="9"/>
  <c r="AS3" i="9"/>
  <c r="AR3" i="9"/>
  <c r="AQ3" i="9"/>
  <c r="AP3" i="9"/>
  <c r="X3" i="9" s="1"/>
  <c r="AO3" i="9"/>
  <c r="AN3" i="9"/>
  <c r="AM3" i="9"/>
  <c r="AG3" i="9"/>
  <c r="AH3" i="9"/>
  <c r="AI3" i="9"/>
  <c r="AJ3" i="9"/>
  <c r="AK3" i="9"/>
  <c r="AL3" i="9" s="1"/>
  <c r="AF3" i="9"/>
  <c r="AE3" i="9"/>
  <c r="AD3" i="9"/>
  <c r="AC3" i="9"/>
  <c r="AA3" i="9"/>
  <c r="Y3" i="9"/>
  <c r="R3" i="9"/>
  <c r="S3" i="9"/>
  <c r="T3" i="9"/>
  <c r="U3" i="9"/>
  <c r="Q3" i="9"/>
  <c r="H3" i="9"/>
  <c r="J3" i="9"/>
  <c r="K3" i="9"/>
  <c r="L3" i="9"/>
  <c r="M3" i="9"/>
  <c r="N3" i="9"/>
  <c r="V3" i="9"/>
  <c r="W3" i="9"/>
  <c r="F3" i="9"/>
  <c r="G3" i="9"/>
  <c r="BQ20" i="4"/>
  <c r="BR20" i="4"/>
  <c r="BS20" i="4"/>
  <c r="BP20" i="4"/>
  <c r="BW20" i="4"/>
  <c r="BV20" i="4"/>
  <c r="CA20" i="4" s="1"/>
  <c r="CF20" i="4" s="1"/>
  <c r="BU20" i="4"/>
  <c r="BZ20" i="4" s="1"/>
  <c r="CE20" i="4" s="1"/>
  <c r="BT20" i="4"/>
  <c r="BY20" i="4" s="1"/>
  <c r="BQ19" i="4"/>
  <c r="BR19" i="4"/>
  <c r="BS19" i="4"/>
  <c r="BP19" i="4"/>
  <c r="BW19" i="4"/>
  <c r="BV19" i="4"/>
  <c r="CA19" i="4" s="1"/>
  <c r="CF19" i="4" s="1"/>
  <c r="BU19" i="4"/>
  <c r="BZ19" i="4" s="1"/>
  <c r="CE19" i="4" s="1"/>
  <c r="BT19" i="4"/>
  <c r="BY19" i="4" s="1"/>
  <c r="I19" i="8"/>
  <c r="BQ18" i="4"/>
  <c r="BR18" i="4"/>
  <c r="BS18" i="4"/>
  <c r="BP18" i="4"/>
  <c r="BW18" i="4"/>
  <c r="BV18" i="4"/>
  <c r="CA18" i="4" s="1"/>
  <c r="CF18" i="4" s="1"/>
  <c r="BU18" i="4"/>
  <c r="BZ18" i="4" s="1"/>
  <c r="CE18" i="4" s="1"/>
  <c r="BT18" i="4"/>
  <c r="I18" i="8"/>
  <c r="BQ17" i="4"/>
  <c r="BR17" i="4"/>
  <c r="BS17" i="4"/>
  <c r="BP17" i="4"/>
  <c r="BW17" i="4"/>
  <c r="BV17" i="4"/>
  <c r="CA17" i="4" s="1"/>
  <c r="BU17" i="4"/>
  <c r="BZ17" i="4" s="1"/>
  <c r="CE17" i="4" s="1"/>
  <c r="BT17" i="4"/>
  <c r="I17" i="8"/>
  <c r="BQ16" i="4"/>
  <c r="BR16" i="4"/>
  <c r="BS16" i="4"/>
  <c r="BP16" i="4"/>
  <c r="BW16" i="4"/>
  <c r="BV16" i="4"/>
  <c r="CA16" i="4" s="1"/>
  <c r="CF16" i="4" s="1"/>
  <c r="BU16" i="4"/>
  <c r="BZ16" i="4" s="1"/>
  <c r="CE16" i="4" s="1"/>
  <c r="BT16" i="4"/>
  <c r="BY16" i="4" s="1"/>
  <c r="I16" i="8"/>
  <c r="BQ15" i="4"/>
  <c r="BR15" i="4"/>
  <c r="BS15" i="4"/>
  <c r="BP15" i="4"/>
  <c r="BW15" i="4"/>
  <c r="BV15" i="4"/>
  <c r="CA15" i="4" s="1"/>
  <c r="CF15" i="4" s="1"/>
  <c r="BU15" i="4"/>
  <c r="BZ15" i="4" s="1"/>
  <c r="CE15" i="4" s="1"/>
  <c r="BT15" i="4"/>
  <c r="BY15" i="4" s="1"/>
  <c r="I15" i="8"/>
  <c r="BQ14" i="4"/>
  <c r="BR14" i="4"/>
  <c r="BS14" i="4"/>
  <c r="BP14" i="4"/>
  <c r="BW14" i="4"/>
  <c r="BV14" i="4"/>
  <c r="CA14" i="4" s="1"/>
  <c r="CF14" i="4" s="1"/>
  <c r="BU14" i="4"/>
  <c r="BZ14" i="4" s="1"/>
  <c r="CE14" i="4" s="1"/>
  <c r="BT14" i="4"/>
  <c r="I14" i="8"/>
  <c r="BQ13" i="4"/>
  <c r="BR13" i="4"/>
  <c r="BS13" i="4"/>
  <c r="BP13" i="4"/>
  <c r="BW13" i="4"/>
  <c r="BV13" i="4"/>
  <c r="CA13" i="4" s="1"/>
  <c r="CF13" i="4" s="1"/>
  <c r="BU13" i="4"/>
  <c r="BZ13" i="4" s="1"/>
  <c r="CE13" i="4" s="1"/>
  <c r="BT13" i="4"/>
  <c r="BY13" i="4" s="1"/>
  <c r="I13" i="8"/>
  <c r="BQ12" i="4"/>
  <c r="BR12" i="4"/>
  <c r="BS12" i="4"/>
  <c r="BP12" i="4"/>
  <c r="BW12" i="4"/>
  <c r="BV12" i="4"/>
  <c r="CA12" i="4" s="1"/>
  <c r="CF12" i="4" s="1"/>
  <c r="BU12" i="4"/>
  <c r="BZ12" i="4" s="1"/>
  <c r="CE12" i="4" s="1"/>
  <c r="BT12" i="4"/>
  <c r="BY12" i="4" s="1"/>
  <c r="I12" i="8"/>
  <c r="BQ11" i="4"/>
  <c r="BR11" i="4"/>
  <c r="BS11" i="4"/>
  <c r="BP11" i="4"/>
  <c r="BW11" i="4"/>
  <c r="BV11" i="4"/>
  <c r="CA11" i="4" s="1"/>
  <c r="CF11" i="4" s="1"/>
  <c r="BU11" i="4"/>
  <c r="BZ11" i="4" s="1"/>
  <c r="CE11" i="4" s="1"/>
  <c r="BT11" i="4"/>
  <c r="I11" i="8"/>
  <c r="BQ10" i="4"/>
  <c r="BR10" i="4"/>
  <c r="BS10" i="4"/>
  <c r="BP10" i="4"/>
  <c r="BV10" i="4"/>
  <c r="CA10" i="4" s="1"/>
  <c r="CF10" i="4" s="1"/>
  <c r="BW10" i="4"/>
  <c r="BU10" i="4"/>
  <c r="BZ10" i="4" s="1"/>
  <c r="CE10" i="4" s="1"/>
  <c r="BT10" i="4"/>
  <c r="BY10" i="4" s="1"/>
  <c r="I10" i="8"/>
  <c r="BQ9" i="4"/>
  <c r="BR9" i="4"/>
  <c r="BS9" i="4"/>
  <c r="BP9" i="4"/>
  <c r="BW9" i="4"/>
  <c r="BV9" i="4"/>
  <c r="CA9" i="4" s="1"/>
  <c r="CF9" i="4" s="1"/>
  <c r="BU9" i="4"/>
  <c r="BZ9" i="4" s="1"/>
  <c r="CE9" i="4" s="1"/>
  <c r="BT9" i="4"/>
  <c r="BY9" i="4" s="1"/>
  <c r="I9" i="8"/>
  <c r="BQ8" i="4"/>
  <c r="BR8" i="4"/>
  <c r="BS8" i="4"/>
  <c r="BP8" i="4"/>
  <c r="BW8" i="4"/>
  <c r="BV8" i="4"/>
  <c r="CA8" i="4" s="1"/>
  <c r="CF8" i="4" s="1"/>
  <c r="BU8" i="4"/>
  <c r="BZ8" i="4" s="1"/>
  <c r="CE8" i="4" s="1"/>
  <c r="BT8" i="4"/>
  <c r="BY8" i="4" s="1"/>
  <c r="I8" i="8"/>
  <c r="BQ7" i="4"/>
  <c r="BR7" i="4"/>
  <c r="BS7" i="4"/>
  <c r="BP7" i="4"/>
  <c r="BW7" i="4"/>
  <c r="BV7" i="4"/>
  <c r="CA7" i="4" s="1"/>
  <c r="CF7" i="4" s="1"/>
  <c r="BU7" i="4"/>
  <c r="BZ7" i="4" s="1"/>
  <c r="CE7" i="4" s="1"/>
  <c r="BT7" i="4"/>
  <c r="BY7" i="4" s="1"/>
  <c r="I7" i="8"/>
  <c r="BQ6" i="4"/>
  <c r="BR6" i="4"/>
  <c r="BS6" i="4"/>
  <c r="BP6" i="4"/>
  <c r="BW6" i="4"/>
  <c r="BV6" i="4"/>
  <c r="CA6" i="4" s="1"/>
  <c r="CF6" i="4" s="1"/>
  <c r="BU6" i="4"/>
  <c r="BZ6" i="4" s="1"/>
  <c r="CE6" i="4" s="1"/>
  <c r="BT6" i="4"/>
  <c r="BY6" i="4" s="1"/>
  <c r="I6" i="8"/>
  <c r="BS3" i="4"/>
  <c r="BR3" i="4"/>
  <c r="BQ3" i="4"/>
  <c r="BP3" i="4"/>
  <c r="BW3" i="4"/>
  <c r="CB3" i="4" s="1"/>
  <c r="BV3" i="4"/>
  <c r="CA3" i="4" s="1"/>
  <c r="BU3" i="4"/>
  <c r="BZ3" i="4" s="1"/>
  <c r="BT3" i="4"/>
  <c r="BY3" i="4" s="1"/>
  <c r="BR5" i="4"/>
  <c r="BS5" i="4"/>
  <c r="BW5" i="4"/>
  <c r="BV5" i="4"/>
  <c r="CA5" i="4" s="1"/>
  <c r="CF5" i="4" s="1"/>
  <c r="BZ5" i="4"/>
  <c r="CE5" i="4" s="1"/>
  <c r="BT5" i="4"/>
  <c r="BY5" i="4" s="1"/>
  <c r="I5" i="8"/>
  <c r="CJ4" i="4"/>
  <c r="CK4" i="4"/>
  <c r="CD4" i="4"/>
  <c r="CJ5" i="4"/>
  <c r="CD5" i="4"/>
  <c r="CJ6" i="4"/>
  <c r="CD6" i="4"/>
  <c r="CJ7" i="4"/>
  <c r="CD7" i="4"/>
  <c r="CJ8" i="4"/>
  <c r="CD8" i="4"/>
  <c r="CJ9" i="4"/>
  <c r="CD9" i="4"/>
  <c r="CJ10" i="4"/>
  <c r="CD10" i="4"/>
  <c r="CJ12" i="4"/>
  <c r="CD12" i="4"/>
  <c r="CJ13" i="4"/>
  <c r="CD13" i="4"/>
  <c r="CJ15" i="4"/>
  <c r="CD15" i="4"/>
  <c r="CJ16" i="4"/>
  <c r="CD16" i="4"/>
  <c r="CJ19" i="4"/>
  <c r="CD19" i="4"/>
  <c r="CJ20" i="4"/>
  <c r="CD20" i="4"/>
  <c r="CF17" i="4"/>
  <c r="BZ132" i="1"/>
  <c r="CA132" i="1"/>
  <c r="BT132" i="1"/>
  <c r="BZ129" i="1"/>
  <c r="CA129" i="1"/>
  <c r="BZ126" i="1"/>
  <c r="CA126" i="1"/>
  <c r="BZ123" i="1"/>
  <c r="CA123" i="1"/>
  <c r="CG3" i="4"/>
  <c r="CF3" i="4"/>
  <c r="I3" i="8"/>
  <c r="CB5" i="4" l="1"/>
  <c r="CB6" i="4"/>
  <c r="CB7" i="4"/>
  <c r="CB8" i="4"/>
  <c r="CB9" i="4"/>
  <c r="CB10" i="4"/>
  <c r="CB11" i="4"/>
  <c r="CG11" i="4" s="1"/>
  <c r="CB12" i="4"/>
  <c r="CB13" i="4"/>
  <c r="CB14" i="4"/>
  <c r="CG14" i="4" s="1"/>
  <c r="CB15" i="4"/>
  <c r="CB16" i="4"/>
  <c r="CB17" i="4"/>
  <c r="CG17" i="4" s="1"/>
  <c r="CB18" i="4"/>
  <c r="CG18" i="4" s="1"/>
  <c r="CB19" i="4"/>
  <c r="CB20" i="4"/>
  <c r="BY11" i="4"/>
  <c r="CL11" i="4"/>
  <c r="BY14" i="4"/>
  <c r="CL14" i="4"/>
  <c r="BY17" i="4"/>
  <c r="CL17" i="4"/>
  <c r="BY18" i="4"/>
  <c r="CL18" i="4"/>
  <c r="CK3" i="4"/>
  <c r="CE3" i="4"/>
  <c r="CD3" i="4"/>
  <c r="CJ3" i="4"/>
  <c r="CK20" i="4" l="1"/>
  <c r="CG20" i="4"/>
  <c r="CK19" i="4"/>
  <c r="CG19" i="4"/>
  <c r="CK16" i="4"/>
  <c r="CG16" i="4"/>
  <c r="CK15" i="4"/>
  <c r="CG15" i="4"/>
  <c r="CK13" i="4"/>
  <c r="CG13" i="4"/>
  <c r="CK12" i="4"/>
  <c r="CG12" i="4"/>
  <c r="CK10" i="4"/>
  <c r="CG10" i="4"/>
  <c r="CK9" i="4"/>
  <c r="CG9" i="4"/>
  <c r="CK8" i="4"/>
  <c r="CG8" i="4"/>
  <c r="CK7" i="4"/>
  <c r="CG7" i="4"/>
  <c r="CK6" i="4"/>
  <c r="CG6" i="4"/>
  <c r="CK5" i="4"/>
  <c r="CG5" i="4"/>
  <c r="CK18" i="4"/>
  <c r="CJ18" i="4"/>
  <c r="CD18" i="4"/>
  <c r="CD17" i="4"/>
  <c r="CJ17" i="4"/>
  <c r="CK17" i="4"/>
  <c r="CK14" i="4"/>
  <c r="CJ14" i="4"/>
  <c r="CD14" i="4"/>
  <c r="CJ11" i="4"/>
  <c r="CK11" i="4"/>
  <c r="CD11" i="4"/>
  <c r="X3" i="5"/>
  <c r="F3" i="5"/>
  <c r="I3" i="5"/>
  <c r="H3" i="5"/>
  <c r="G3" i="5"/>
  <c r="P3" i="5"/>
  <c r="O3" i="5"/>
  <c r="N3" i="5"/>
  <c r="M3" i="5"/>
  <c r="L3" i="5"/>
  <c r="J3" i="5"/>
  <c r="K3" i="5"/>
  <c r="Y3" i="5"/>
  <c r="AU3" i="5"/>
  <c r="AJ3" i="5"/>
  <c r="AF3" i="5"/>
  <c r="AE3" i="5"/>
  <c r="AD3" i="5"/>
  <c r="AB3" i="5"/>
  <c r="AA3" i="5"/>
  <c r="AK3" i="5"/>
  <c r="AL3" i="5" s="1"/>
  <c r="V3" i="5"/>
  <c r="U3" i="5"/>
  <c r="T3" i="5"/>
  <c r="S3" i="5"/>
  <c r="R3" i="5"/>
  <c r="Q3" i="5"/>
  <c r="AO3" i="5"/>
  <c r="AC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tc={8C9EC219-D2E8-410A-9800-6CAED9DF08A1}</author>
  </authors>
  <commentList>
    <comment ref="AA55" authorId="0" shapeId="0" xr:uid="{8C9EC219-D2E8-410A-9800-6CAED9DF08A1}">
      <text>
        <t>[Threaded comment]
Your version of Excel allows you to read this threaded comment; however, any edits to it will get removed if the file is opened in a newer version of Excel. Learn more: https://go.microsoft.com/fwlink/?linkid=870924
Comment:
    Suporte velocidade deve ser acrescentado ao cálculo para evitar inconsistências como essa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tc={716F4607-E3F3-4B77-A28C-33ADA10F71BE}</author>
    <author>tc={8A5ADEA5-D85B-4B85-A62F-CD5628A6BE99}</author>
    <author>tc={D499927C-32E4-4824-BDD7-1EB24C952311}</author>
    <author>tc={6005FE8D-6E05-4236-97AD-EEA55B59BDF9}</author>
    <author>tc={CA862491-DCAB-49D1-AEA8-4EBB46E9F719}</author>
    <author>tc={A6807F57-8ABE-4983-A965-B1B12D58150C}</author>
    <author>tc={1ED67FC6-31A4-47BD-A29C-10226C751BE7}</author>
    <author>tc={5E7E51DF-9362-446C-8F6E-A7E757E95556}</author>
    <author>tc={8D626326-302B-42F8-9109-FEAEE6DB127B}</author>
    <author>tc={320A87EF-22B4-49B6-B5E1-840CA2D0742F}</author>
    <author>tc={5DF8E8B7-9979-4CEA-ABC0-65686BCAA254}</author>
    <author>tc={ECBC6839-E661-48F1-8B4B-BE8113CD6EB3}</author>
    <author>tc={0846B9A5-465C-4657-958E-32FC602A1BBC}</author>
    <author>tc={CA9E0636-15A3-4258-BB1B-768150E314AF}</author>
    <author>tc={9E742685-4FDC-4479-849B-63B3BF21DACA}</author>
    <author>tc={E0A05078-23F6-4418-9FB6-CC384A1F2A7C}</author>
    <author>tc={E8C2EC97-F785-4358-8F7C-82A913FD9C66}</author>
    <author>tc={50B2FE60-FD9B-4F0A-88D5-0EA821EB5D69}</author>
    <author>tc={DC74891A-812A-4EA5-8BB5-5C96563983EE}</author>
    <author>tc={C8D42A2D-DF2C-4A1B-9A13-DAEF26956E0E}</author>
    <author>tc={8E6212EC-B633-4184-8E36-EAFD95968A3F}</author>
    <author>tc={A08E7434-FFAA-4040-AC14-02CC0434163E}</author>
    <author>tc={496AEBDB-EF73-4263-820B-738B7779C49C}</author>
    <author>tc={E3DD8D8E-5C46-416E-8FBB-F2646B46F4CD}</author>
    <author>tc={5BDEB97A-0EEE-43F3-80E1-71D306290635}</author>
    <author>tc={90C8D85F-69C4-4BF1-9D6D-0D3913BAC21C}</author>
    <author>tc={394CEB1A-2736-42FF-81A8-1A76B2961077}</author>
    <author>tc={F6E3C82A-545C-4CBC-9D05-AA1873540D95}</author>
    <author>tc={0FB53ED3-0B61-4BAD-B264-BDE38D65969D}</author>
    <author>tc={DDC89BE3-2881-4912-944F-BB2A9042A9D5}</author>
    <author>tc={B22A28D6-E11F-46E6-B0EF-F39046736447}</author>
    <author>tc={8ED874D5-BBA5-4D75-BA5A-1FC4D90722F7}</author>
    <author>tc={310DEFB4-878E-4EBE-8467-EAA5DA3E8A05}</author>
    <author>tc={9C6032D8-5F82-4201-A22C-4948EF14D130}</author>
    <author>tc={AC3D34C0-33A7-4522-A978-6B5635D1B661}</author>
    <author>tc={D89EAA5F-31EB-4BB2-BF40-868A9D880F57}</author>
    <author>tc={B2E93F1E-B2CE-4BC5-879F-C6748A4C4E36}</author>
    <author>tc={5D9D6F8E-BBE2-4206-886C-31168EBC53FC}</author>
    <author>tc={D98A3EE5-0B75-4351-9DF1-4F7F251BF6FF}</author>
    <author>tc={747B6F09-CDD4-4129-BCFB-3BC2FEC072FB}</author>
    <author>tc={3972AB50-CCB4-4CE2-914D-E147ABD420BE}</author>
  </authors>
  <commentList>
    <comment ref="X2" authorId="0" shapeId="0" xr:uid="{716F4607-E3F3-4B77-A28C-33ADA10F71BE}">
      <text>
        <t>[Threaded comment]
Your version of Excel allows you to read this threaded comment; however, any edits to it will get removed if the file is opened in a newer version of Excel. Learn more: https://go.microsoft.com/fwlink/?linkid=870924
Comment:
    (Durabilidade_total / 1400) + (auto_heal_buffing / 3,5)</t>
      </text>
    </comment>
    <comment ref="Y2" authorId="1" shapeId="0" xr:uid="{8A5ADEA5-D85B-4B85-A62F-CD5628A6BE99}">
      <text>
        <t>[Threaded comment]
Your version of Excel allows you to read this threaded comment; however, any edits to it will get removed if the file is opened in a newer version of Excel. Learn more: https://go.microsoft.com/fwlink/?linkid=870924
Comment:
    0 - Não ataca eu achokkk
1 - distância curta
2 - distância curta/normal
3 - distância normal/curta
4 - distância normal
5 - distância normal/longa
6 - distância longa/normal
7 - distância longa
8 - distância longa/mtlonga
9 - distância mtlonga/longa
10 - distância mtlonga
11...
-1 se o tiro é lento ou -2 se muito lento. Use isso para distinguir alcances aparentemente iguais.</t>
      </text>
    </comment>
    <comment ref="Z2" authorId="2" shapeId="0" xr:uid="{D499927C-32E4-4824-BDD7-1EB24C952311}">
      <text>
        <t>[Threaded comment]
Your version of Excel allows you to read this threaded comment; however, any edits to it will get removed if the file is opened in a newer version of Excel. Learn more: https://go.microsoft.com/fwlink/?linkid=870924
Comment:
    (frequencia + potência + versatilidade)/3
frequência:
1 - 1 min
2 - 45s
3 - 35s
4 - 30s
5 - 25s
6 - 20s
7 - 15s
8 - 10s
9 - 5s
10 - menos de 5s
11...
potência do uso:
1 - distância curta
2 - distância curta/normal
3 - distância normal/curta
4 - distância normal
5 - distância normal/longa
6 - distância longa/normal
7 - distância longa
8 - distância longa/mtlonga
9 - distância mtlonga/longa
10 - distância mtlonga
11...
versatilidade:
1 - invulnerável, mas parado e vulnerável ao voltar
2 - invulnerável, mas parado ao voltar
3 - afasta inimigos um pouco
4 - afasta medio inimigos
5 - fuga lenta sem escolher direção ou circunstancial
6 - fuga lenta escolhendo direção quase livremente
7 - fuga lenta escolhendo direção livremente
8 - fuga rápida quase sem escolher direção
9 - fuga rápida escolhendo direção quase livremente
10 - fuga rápida escolhendo direção livremente
11...</t>
      </text>
    </comment>
    <comment ref="AA2" authorId="3" shapeId="0" xr:uid="{6005FE8D-6E05-4236-97AD-EEA55B59BDF9}">
      <text>
        <t>[Threaded comment]
Your version of Excel allows you to read this threaded comment; however, any edits to it will get removed if the file is opened in a newer version of Excel. Learn more: https://go.microsoft.com/fwlink/?linkid=870924
Comment:
    0 - projétil único
1 - projétil único perfurante
2 - linha fina multiplos projéteis
3 - tiro em forma de cone pequeno (25° +ou-)
4 - tiro em forma retangular medio (1 brawler de largura)
5 - tiro em forma de cone médio (50° +ou-)
6 - tiro em forma retangular grande (1-2 brawler de largura)
7 - tiro em forma de cone grande (75° +ou-)
8 - tiro com amplitude maior (até 100° +ou-)
9 - tiro em todas as direções
10 - tiro frequente em todas as direções
11...</t>
      </text>
    </comment>
    <comment ref="AB2" authorId="4" shapeId="0" xr:uid="{CA862491-DCAB-49D1-AEA8-4EBB46E9F719}">
      <text>
        <t>[Threaded comment]
Your version of Excel allows you to read this threaded comment; however, any edits to it will get removed if the file is opened in a newer version of Excel. Learn more: https://go.microsoft.com/fwlink/?linkid=870924
Comment:
    0 - mais de 1/30s
1 - 1/30s
2 - 1/20s
3 - 1/15s
4 - 1/10s
5 - 1/5s
6 - ataque básico frequente
7 - ataque básico e super frequente</t>
      </text>
    </comment>
    <comment ref="AC2" authorId="5" shapeId="0" xr:uid="{A6807F57-8ABE-4983-A965-B1B12D58150C}">
      <text>
        <t>[Threaded comment]
Your version of Excel allows you to read this threaded comment; however, any edits to it will get removed if the file is opened in a newer version of Excel. Learn more: https://go.microsoft.com/fwlink/?linkid=870924
Comment:
    (duração + área + efeito + distância-arremesso)/4
Efeito:
3 - efeito ignorável muitas vezes
6 - efeito ignorável raramente
9 - efeito quase nunca ignoravel
Area:
1 - diâmetro de 1 brawler
2 - diâmetro de 2 brawler
3 - diâmetro de 3 brawler
4 - diâmetro de 4 brawler
5 - diâmetro de 5 brawler
6 - diâmetro de 6 brawler
7 - diâmetro de 7 brawler
8 - diâmetro de 8 brawler9 - diâmetro de 9 brawler
10 - diâmetro de 10 brawler
11...
Duração:
1 - 1s
2 - 2s
3 - 3s
4 - 4s
5 - 5s
6 - 6s
7 - 7s
8 - 8s
9 - 9s
10 - 10s
11...
Distância arremesso
0 - Não ataca eu achokkk
1 - distância curta
2 - distância curta/normal
3 - distância normal/curta
4 - distância normal
5 - distância normal/longa
6 - distância longa/normal
7 - distância longa
8 - distância longa/mtlonga
9 - distância mtlonga/longa
10 - distância mtlonga
11...
-1 se o tiro é lento ou -2 se muito lento. Use isso para distinguir alcances aparentemente iguais.</t>
      </text>
    </comment>
    <comment ref="AD2" authorId="6" shapeId="0" xr:uid="{1ED67FC6-31A4-47BD-A29C-10226C751BE7}">
      <text>
        <t>[Threaded comment]
Your version of Excel allows you to read this threaded comment; however, any edits to it will get removed if the file is opened in a newer version of Excel. Learn more: https://go.microsoft.com/fwlink/?linkid=870924
Comment:
    0 - o brawler não tem essa capacidade
1 - consegue manipular pouco e apenas de muito perto e não possui formas rápidas de se aproximar
2 - consegue manipular pouco e apenas de perto e não possui formas rápidas de se aproximar
3 - consegue manipular pouco e apenas de medio alcance e não possui formas rápidas de se aproximar
4 - consegue manipular pouco e apenas de perto mas possui formas de se aproximar
5 - o brawler consegue fazer de longas distancias mas manipula pouco
6 - o brawler consegue manipular muito a posição e de médias distâncias
7 - o brawler consegue manipular muito a posição e de longas distâncias
8 - o brawler consegue manipular um pouco a posição mas ignorando muros
9 - o brawler consegue manipular muito a posição e ignorando obstaculos a médio alcance
10 - o brawler consegue manipular muito a posição e ignorando obstáculos e objetos a longo alcance</t>
      </text>
    </comment>
    <comment ref="AE2" authorId="7" shapeId="0" xr:uid="{5E7E51DF-9362-446C-8F6E-A7E757E95556}">
      <text>
        <t>[Threaded comment]
Your version of Excel allows you to read this threaded comment; however, any edits to it will get removed if the file is opened in a newer version of Excel. Learn more: https://go.microsoft.com/fwlink/?linkid=870924
Comment:
    0 - absoluta incompetência
7 - altamente competente</t>
      </text>
    </comment>
    <comment ref="AF2" authorId="8" shapeId="0" xr:uid="{8D626326-302B-42F8-9109-FEAEE6DB127B}">
      <text>
        <t>[Threaded comment]
Your version of Excel allows you to read this threaded comment; however, any edits to it will get removed if the file is opened in a newer version of Excel. Learn more: https://go.microsoft.com/fwlink/?linkid=870924
Comment:
    0 - impossivel causar dano
1 - causa dano irrisório
2 - causa dano circunstancial
3 - causa dano ocasionalmente
4 - causa dano mortal as vezes
5 - causa dano mortal quase normalmente
6 - capaz de atacar o inimigo normalmente
7 - causa dano normalmente + anda na água tmb
8 - causa dano levemente superior
9 - causa dano muito maior a inimigos na água
10 - causa dano absurdamente maior
11...</t>
      </text>
    </comment>
    <comment ref="AG2" authorId="9" shapeId="0" xr:uid="{320A87EF-22B4-49B6-B5E1-840CA2D0742F}">
      <text>
        <t>[Threaded comment]
Your version of Excel allows you to read this threaded comment; however, any edits to it will get removed if the file is opened in a newer version of Excel. Learn more: https://go.microsoft.com/fwlink/?linkid=870924
Comment:
    0 - não quebra muros
1 - 1/35min
2 - 1/30s
3 - 1/25s
4 - 1/20s
5 - 1/15s
6 - 1/12s
7 - 1/9s
8 - 1/6s
9 - 1/3s
10 - 1/1s
11...
-1 se a destruição é pouco controlável
-2 se a destruição é quase incontrolável ou se o brawler não deveria gastar os recursos dele focando nessa destruição</t>
      </text>
    </comment>
    <comment ref="AH2" authorId="10" shapeId="0" xr:uid="{5DF8E8B7-9979-4CEA-ABC0-65686BCAA254}">
      <text>
        <t>[Threaded comment]
Your version of Excel allows you to read this threaded comment; however, any edits to it will get removed if the file is opened in a newer version of Excel. Learn more: https://go.microsoft.com/fwlink/?linkid=870924
Comment:
    0 - não quebra moitas
1 - 1/25min
2 - 1/16s
3 - 1/12s
4 - 1/10s
5 - 1/8s
6 - 1/6s
7 - 1/4s
8 - 1/3s
9 - 1/2s
10 - 1/1s
11...
-1 se a destruição é pouco controlável
-2 se a destruição é quase incontrolável ou se o brawler não deveria gastar os recursos dele focando nessa destruição</t>
      </text>
    </comment>
    <comment ref="AI2" authorId="11" shapeId="0" xr:uid="{ECBC6839-E661-48F1-8B4B-BE8113CD6EB3}">
      <text>
        <t>[Threaded comment]
Your version of Excel allows you to read this threaded comment; however, any edits to it will get removed if the file is opened in a newer version of Excel. Learn more: https://go.microsoft.com/fwlink/?linkid=870924
Comment:
    0 - não constroi cover
1 - 1/25min
2 - 1/16s
3 - 1/12s
4 - 1/10s
5 - 1/8s
6 - 1/6s
7 - 1/4s
8 - 1/3s
9 - 1/2s
10 - 1/1s
11...
-1 se a construção é pouco controlável
-2 se a construção é quase incontrolável ou se o brawler não deveria gastar os recursos dele focando nessa construção</t>
      </text>
    </comment>
    <comment ref="AJ2" authorId="12" shapeId="0" xr:uid="{0846B9A5-465C-4657-958E-32FC602A1BBC}">
      <text>
        <t>[Threaded comment]
Your version of Excel allows you to read this threaded comment; however, any edits to it will get removed if the file is opened in a newer version of Excel. Learn more: https://go.microsoft.com/fwlink/?linkid=870924
Comment:
    1 - muito lento
2 - muito lento/lento
3 - lento
4 - lento/normal
5 - normal
6 - normal/rapido
7 - rapido
8 - rapido/muito rapido
9 - muito rapido
10 - suporter de velocidade
11...
-1 se a hitbox do brawler é do modelo maior</t>
      </text>
    </comment>
    <comment ref="AK2" authorId="13" shapeId="0" xr:uid="{CA9E0636-15A3-4258-BB1B-768150E314AF}">
      <text>
        <t>[Threaded comment]
Your version of Excel allows you to read this threaded comment; however, any edits to it will get removed if the file is opened in a newer version of Excel. Learn more: https://go.microsoft.com/fwlink/?linkid=870924
Comment:
    1 - ataque lento e ineficaz
2 - ataque ineficaz
3 - ataque poderoso, mas super lento
4 - ataque poderoso, mas lento
5 - ataque poderoso e rápido, mas facilmente contornável sem sequelas
6 - ataque poderoso, mas contornavel/counterável facilmente
7 - ataque poderoso. Contornavel apenas se não estiver vulnerável
8 - mesmo counters tem dificuldade em prever/reagir ao ataque antes de levar um bom dano
9 - mesmo counters recebem muito dano antes de conseguirem reagir
10 - counterar um ataque bem planejado é quase impossível para qualquer brawler
+1 se aplica velocidade após o ataque
-1 se alcance é normal/longo
-2 se o alcance é curto/normal
-3 se o alcance é muito curto/curto</t>
      </text>
    </comment>
    <comment ref="AL2" authorId="14" shapeId="0" xr:uid="{9E742685-4FDC-4479-849B-63B3BF21DACA}">
      <text>
        <t>[Threaded comment]
Your version of Excel allows you to read this threaded comment; however, any edits to it will get removed if the file is opened in a newer version of Excel. Learn more: https://go.microsoft.com/fwlink/?linkid=870924
Comment:
    *fórmula pronta, utiliza stun como força adicional</t>
      </text>
    </comment>
    <comment ref="AM2" authorId="15" shapeId="0" xr:uid="{E0A05078-23F6-4418-9FB6-CC384A1F2A7C}">
      <text>
        <t>[Threaded comment]
Your version of Excel allows you to read this threaded comment; however, any edits to it will get removed if the file is opened in a newer version of Excel. Learn more: https://go.microsoft.com/fwlink/?linkid=870924
Comment:
    1 - 1/1min
2 - 1/50s
3 - 1/40s
4 - 1/30s
5 - 1/22s
6 - 1/15s
7 - 1/10s
8 - 1/7s
9 - 1/5s
10 - 1/3s
11...</t>
      </text>
    </comment>
    <comment ref="AN2" authorId="16" shapeId="0" xr:uid="{E8C2EC97-F785-4358-8F7C-82A913FD9C66}">
      <text>
        <t>[Threaded comment]
Your version of Excel allows you to read this threaded comment; however, any edits to it will get removed if the file is opened in a newer version of Excel. Learn more: https://go.microsoft.com/fwlink/?linkid=870924
Comment:
    1 - nunca acumula mais de 1
2 - raramente acumula mais de 1
3 - ocasionalmente acumula mais de 1
4 - frequentemente acumula ao menos 2
5 - raramente acumula mais de 2
6 - ocasionalmente acumula mais de 2
7 - frequentemente acumula ao menos 3
8 - ocasionalmente acumula mais de 3
9 - frequentemente acumula mais de 4
10 - frequentemente acumula mais de 5
11...</t>
      </text>
    </comment>
    <comment ref="AO2" authorId="17" shapeId="0" xr:uid="{50B2FE60-FD9B-4F0A-88D5-0EA821EB5D69}">
      <text>
        <t>[Threaded comment]
Your version of Excel allows you to read this threaded comment; however, any edits to it will get removed if the file is opened in a newer version of Excel. Learn more: https://go.microsoft.com/fwlink/?linkid=870924
Comment:
    0 - A vida do(s) pet(s) não se deteriora sozinha com o tempo
1 - A vida do(s) pet(s) é deteriorável</t>
      </text>
    </comment>
    <comment ref="AP2" authorId="18" shapeId="0" xr:uid="{DC74891A-812A-4EA5-8BB5-5C96563983EE}">
      <text>
        <t>[Threaded comment]
Your version of Excel allows you to read this threaded comment; however, any edits to it will get removed if the file is opened in a newer version of Excel. Learn more: https://go.microsoft.com/fwlink/?linkid=870924
Comment:
    1 - menos de 2000
2 - entre 2000 e 3000
3 - entre 3000 e 4000
4 - entre 4000 e 5000
5 - entre 5000 e 6000
6 - entre 6000 e 7000
7 - entre 7000 e 8000
8 - entre 8000 e 9000
9 - entre 9000 e 10000
10 - entre 10000 e 11000
11...</t>
      </text>
    </comment>
    <comment ref="AQ2" authorId="19" shapeId="0" xr:uid="{C8D42A2D-DF2C-4A1B-9A13-DAEF26956E0E}">
      <text>
        <t>[Threaded comment]
Your version of Excel allows you to read this threaded comment; however, any edits to it will get removed if the file is opened in a newer version of Excel. Learn more: https://go.microsoft.com/fwlink/?linkid=870924
Comment:
    0 - dano médio menor de 500
1 - dano médio 500-800
2 - dano médio 800-1100
3 - dano médio 1100-1400
4 - dano médio 1400-1700
5 - dano médio 1700-2000
6 - dano médio 2000-2300
7 - dano médio 2300-2600
8 - dano médio 2900-3200
9 - dano médio 3200-3500
10 - dano médio 3500-3800
11...</t>
      </text>
    </comment>
    <comment ref="AR2" authorId="20" shapeId="0" xr:uid="{8E6212EC-B633-4184-8E36-EAFD95968A3F}">
      <text>
        <t>[Threaded comment]
Your version of Excel allows you to read this threaded comment; however, any edits to it will get removed if the file is opened in a newer version of Excel. Learn more: https://go.microsoft.com/fwlink/?linkid=870924
Comment:
    1 - distância curta
2 - distância curta/normal
3 - distância normal/curta
4 - distância normal
5 - distância normal/longa
6 - distância longa/normal
7 - distância longa
8 - distância longa/mtlonga
9 - distância mtlonga/longa
10 - distância mtlonga
11...
-1 se o tiro é lento ou -2 se muito lento. Use isso para distinguir alcances aparentemente iguais.</t>
      </text>
    </comment>
    <comment ref="AS2" authorId="21" shapeId="0" xr:uid="{A08E7434-FFAA-4040-AC14-02CC0434163E}">
      <text>
        <t>[Threaded comment]
Your version of Excel allows you to read this threaded comment; however, any edits to it will get removed if the file is opened in a newer version of Excel. Learn more: https://go.microsoft.com/fwlink/?linkid=870924
Comment:
    1 - muito lento
2 - muito lento/lento
3 - lento/normal
4 - lento
5 - lento/normal
6 - normal/lento
7 - normal
8 - normal/rapido
9 - rapido
10 - MUITO rapido
11...</t>
      </text>
    </comment>
    <comment ref="AT2" authorId="22" shapeId="0" xr:uid="{496AEBDB-EF73-4263-820B-738B7779C49C}">
      <text>
        <t>[Threaded comment]
Your version of Excel allows you to read this threaded comment; however, any edits to it will get removed if the file is opened in a newer version of Excel. Learn more: https://go.microsoft.com/fwlink/?linkid=870924
Comment:
    0 - O dono não fica próximo ao pet em quase nenhum momento
2,5 - O dono fica próximo ao pet as vezes, mas raramente por muito tempo
5 - O dono fica próximo ao pet com alguma frequência, mas não é regra de usabilidade
7,5 - O dono fica próximo ao pet na maior parte do tempo, sendo grande parte da sua estratégia principal para avançar contra inimigos
10 - O dono fica próximo ao pet em quase todos os momentos. A exceção para esta regra resulta em inutilidade do pet na maior parte das vezes.</t>
      </text>
    </comment>
    <comment ref="AU2" authorId="23" shapeId="0" xr:uid="{E3DD8D8E-5C46-416E-8FBB-F2646B46F4CD}">
      <text>
        <t>[Threaded comment]
Your version of Excel allows you to read this threaded comment; however, any edits to it will get removed if the file is opened in a newer version of Excel. Learn more: https://go.microsoft.com/fwlink/?linkid=870924
Comment:
    0 - não é o caso para esse brawler
1 - chance levemente maior de causar dano ao todo
2 - chance relativamente maior de causar dano ao todo
3 - chance muito maior de causar mais dano ao todo
4 - atinge multiplos inimigos com a super
5 - atinge facilmente multiplos inimigos com a super
6 - atinge multiplos inimigos com o ataque principal
7 - atinge facilmente multiplos inimigos com o ataque
8 - causa mais dano por projétil
9 - causa mais do dobro de dano por projétil
10 - causa mais que o triplo do dano por projétil
11...</t>
      </text>
    </comment>
    <comment ref="AV2" authorId="24" shapeId="0" xr:uid="{5BDEB97A-0EEE-43F3-80E1-71D306290635}">
      <text>
        <t>[Threaded comment]
Your version of Excel allows you to read this threaded comment; however, any edits to it will get removed if the file is opened in a newer version of Excel. Learn more: https://go.microsoft.com/fwlink/?linkid=870924
Comment:
    (precisão + Área + duração + frequência)/4
Precisão:
3 - perseguição de pets
6 - precisão em posição fixa arremessavel
10 - precisão absoluta
Area:
1 - diâmetro de 1 brawler
2 - diâmetro de 2 brawler
3 - diâmetro de 3 brawler
4 - diâmetro de 4 brawler
5 - diâmetro de 5 brawler
6 - diâmetro de 6 brawler
7 - diâmetro de 7 brawler
8 - diâmetro de 8 brawler9 - diâmetro de 9 brawler
10 - diâmetro de 10 brawler
11...
Duração:
1 - 3s
2 - 6s
3 - 9s
4 - 12s
5 - 15s
6 - 18s
7 - 21s
8 - 24s
9 - 27s
10 - infinito
11...
Frequência:
1 - 1/1min
2 - 1/50s
3 - 1/40s
4 - 1/30s
5 - 1/22s
6 - 1/15s
7 - 1/10s
8 - 1/7s
9 - 1/5s
10 - 1/3s
11...</t>
      </text>
    </comment>
    <comment ref="AW2" authorId="25" shapeId="0" xr:uid="{90C8D85F-69C4-4BF1-9D6D-0D3913BAC21C}">
      <text>
        <t>[Threaded comment]
Your version of Excel allows you to read this threaded comment; however, any edits to it will get removed if the file is opened in a newer version of Excel. Learn more: https://go.microsoft.com/fwlink/?linkid=870924
Comment:
    0 - As informações do brawler/complemento não dependem de nenhuma forma da formação de inimigos ou terreno para que façam sentido
2,5 - As informações do brawler/complemento podem depender um pouco de formas de uso
5 - As informações do brawler/complemento podem depender um pouco de características de terreno, como presença de moitas/agua e/ou de formas de uso
7,5 - as informações dependem bastante de características externas como formas de uso, terreno e inimigos. A verificação humana é essencial para garantir que o brawler realmente seja bom.
10 - As informações dependem demais de fatores externos para funcionarem de forma adequada. Detalhes desses fatores devem ser destacados para o usuário.</t>
      </text>
    </comment>
    <comment ref="AY2" authorId="26" shapeId="0" xr:uid="{394CEB1A-2736-42FF-81A8-1A76B2961077}">
      <text>
        <t>[Threaded comment]
Your version of Excel allows you to read this threaded comment; however, any edits to it will get removed if the file is opened in a newer version of Excel. Learn more: https://go.microsoft.com/fwlink/?linkid=870924
Comment:
    (frequência + potência + velocidade) / 3
Frequência:
1 - 1/1min
2 - 1/50s
3 - 1/40s
4 - 1/30s
5 - 1/22s
6 - 1/15s
7 - 1/10s
8 - 1/7s
9 - 1/5s
10 - 1/3s
11...
Potência do hp:
1 - 1-500
2 - 500-1000
3 - 1000-1500
4 - 1500 - 2000
5 - 2000 - 2500
6 - 2500 - 3000
7 - 3000 - 3500
8 - 3500 - 4000
9 - 4000 - 4500
10 - 4500 - 5000
Velocidade da cura
3 - Lenta e parcelada
6 - Lenta ou muito circunstancial
9 - Instantânea e pouco circunstancial</t>
      </text>
    </comment>
    <comment ref="AZ2" authorId="27" shapeId="0" xr:uid="{F6E3C82A-545C-4CBC-9D05-AA1873540D95}">
      <text>
        <t>[Threaded comment]
Your version of Excel allows you to read this threaded comment; however, any edits to it will get removed if the file is opened in a newer version of Excel. Learn more: https://go.microsoft.com/fwlink/?linkid=870924
Comment:
    (duração + potência) / 2 
potência:
1 - até 10%
2 - até 20%
3 - até 30%
4 - até 40%
5 - até 50%
6 - até 60%
7 - até 70%
8 - até 80%
9 - até 90%
10 - até 100%
duração
1 - 1s
2 - 2s
3 - 3s
4 - 4s
5 - 5s
6 - 6s
7 - 7s
8 - 8s
9 - 9s
10 - 10s</t>
      </text>
    </comment>
    <comment ref="BA2" authorId="28" shapeId="0" xr:uid="{0FB53ED3-0B61-4BAD-B264-BDE38D65969D}">
      <text>
        <t>[Threaded comment]
Your version of Excel allows you to read this threaded comment; however, any edits to it will get removed if the file is opened in a newer version of Excel. Learn more: https://go.microsoft.com/fwlink/?linkid=870924
Comment:
    (frequência + potência) / 2 
Frequência:
1 - 1/1min
2 - 1/50s
3 - 1/40s
4 - 1/30s
5 - 1/22s
6 - 1/15s
7 - 1/10s
8 - 1/7s
9 - 1/5s
10 - 1/3s
11...
Potência do escudo:
1 - 1-500
2 - 500-1000
3 - 1000-1500
4 - 1500 - 2000
5 - 2000 - 2500
6 - 2500 - 3000
7 - 3000 - 3500
8 - 3500 - 4000
9 - 4000 - 4500
10 - 4500 - 5000</t>
      </text>
    </comment>
    <comment ref="BB2" authorId="29" shapeId="0" xr:uid="{DDC89BE3-2881-4912-944F-BB2A9042A9D5}">
      <text>
        <t>[Threaded comment]
Your version of Excel allows you to read this threaded comment; however, any edits to it will get removed if the file is opened in a newer version of Excel. Learn more: https://go.microsoft.com/fwlink/?linkid=870924
Comment:
    (frequência + potência + duração)/3
0 - não tem essa capacidade
Frequência:
1 - 1/1min
2 - 1/50s
3 - 1/40s
4 - 1/30s
5 - 1/22s
6 - 1/15s
7 - 1/10s
8 - 1/7s
9 - 1/5s
10 - 1/3s
11...
Potência do aumento de dano:
1 - até 5%
2 - até 10%
3 - até 15%
4 - até 20%
5 - até 25%
6 - até 30%
7 - até 35%
8 - até 40%
9 - até 45%
10 - até 50%
11...
duração
1 - 1s
2 - 2s
3 - 3s
4 - 4s
5 - 5s
6 - 6s
7 - 7s
8 - 8s
9 - 9s
10 - 10s
11...</t>
      </text>
    </comment>
    <comment ref="BC2" authorId="30" shapeId="0" xr:uid="{B22A28D6-E11F-46E6-B0EF-F39046736447}">
      <text>
        <t>[Threaded comment]
Your version of Excel allows you to read this threaded comment; however, any edits to it will get removed if the file is opened in a newer version of Excel. Learn more: https://go.microsoft.com/fwlink/?linkid=870924
Comment:
    (duração + potência) / 2 
potência:
1 - até 8%
2 - até 16%
3 - até 24%
4 - até 32%
5 - até 40%
6 - até 48%
7 - até 56%
8 - até 64%
9 - até 72%
10 - até 80%
11...
duração
1 - 1s
2 - 2s
3 - 3s
4 - 4s
5 - 5s
6 - 6s
7 - 7s
8 - 8s
9 - 9s
10 - 10s</t>
      </text>
    </comment>
    <comment ref="BD2" authorId="31" shapeId="0" xr:uid="{8ED874D5-BBA5-4D75-BA5A-1FC4D90722F7}">
      <text>
        <t>[Threaded comment]
Your version of Excel allows you to read this threaded comment; however, any edits to it will get removed if the file is opened in a newer version of Excel. Learn more: https://go.microsoft.com/fwlink/?linkid=870924
Comment:
    (frequencia + duração) / 2 
Frequência
1 - 1/1min
2 - 1/50s
3 - 1/40s
4 - 1/30s
5 - 1/22s
6 - 1/15s
7 - 1/10s
8 - 1/7s
9 - 1/5s
10 - 1/3s
11...
Duração:
1 - 1s
2 - 2s
3 - 3s
4 - 4s
5 - 5s
6 - 6s
7 - 7s
8 - 8s
9 - 9s
10 - 10s
11...</t>
      </text>
    </comment>
    <comment ref="BE2" authorId="32" shapeId="0" xr:uid="{310DEFB4-878E-4EBE-8467-EAA5DA3E8A05}">
      <text>
        <t>[Threaded comment]
Your version of Excel allows you to read this threaded comment; however, any edits to it will get removed if the file is opened in a newer version of Excel. Learn more: https://go.microsoft.com/fwlink/?linkid=870924
Comment:
    (frequência + duração + área) / 3
0 - não tem essa capacidade
Frequência:
1 - 1/1min
2 - 1/50s
3 - 1/40s
4 - 1/30s
5 - 1/22s
6 - 1/15s
7 - 1/10s
8 - 1/7s
9 - 1/5s
10 - 1/3s
11...
duração
1 - 1s
2 - 2s
3 - 3s
4 - 4s
5 - 5s
6 - 6s
7 - 7s
8 - 8s
9 - 9s
10 - 10s
11...
Area:
1 - diâmetro de 1 brawler
2 - diâmetro de 2 brawler
3 - diâmetro de 3 brawler
4 - diâmetro de 4 brawler
5 - diâmetro de 5 brawler
6 - diâmetro de 6 brawler
7 - diâmetro de 7 brawler
8 - diâmetro de 8 brawler9 - diâmetro de 9 brawler
10 - diâmetro de 10 brawler
11...</t>
      </text>
    </comment>
    <comment ref="BG2" authorId="33" shapeId="0" xr:uid="{9C6032D8-5F82-4201-A22C-4948EF14D130}">
      <text>
        <t>[Threaded comment]
Your version of Excel allows you to read this threaded comment; however, any edits to it will get removed if the file is opened in a newer version of Excel. Learn more: https://go.microsoft.com/fwlink/?linkid=870924
Comment:
    0 - não aplica veneno
1 - duração de 1 hit
2 - duração de 2 hit
3 - duração de 3 hit
4 - duração de 4 hit
5 - duração de 5 hit
6 - duração de 6 hit
7 - duração de 7 hit
8 - duração de 8 hit
9 - duração de 9 hit
10 - duração de 10 hit
11...
/1 se proveniente do ataque principal
/2 se proveniente da super
/3 se proveniente de algo ainda mais ocasional</t>
      </text>
    </comment>
    <comment ref="BH2" authorId="34" shapeId="0" xr:uid="{AC3D34C0-33A7-4522-A978-6B5635D1B661}">
      <text>
        <t>[Threaded comment]
Your version of Excel allows you to read this threaded comment; however, any edits to it will get removed if the file is opened in a newer version of Excel. Learn more: https://go.microsoft.com/fwlink/?linkid=870924
Comment:
    (poder-cancelamento + frequência) / 2
poder cancelamento
1 - até 11%
2 - até 22%
3 - até 33%
4 - até 44%
5 - até 55%
6 - até 66%
7 - até 77%
8 - até 88%
9 - até 99%
10 - limpeza completa
Frequência:
1 - 1/1min
2 - 1/50s
3 - 1/40s
4 - 1/30s
5 - 1/22s
6 - 1/15s
7 - 1/10s
8 - 1/7s
9 - 1/5s
10 - 1/3s
11...</t>
      </text>
    </comment>
    <comment ref="BI2" authorId="35" shapeId="0" xr:uid="{D89EAA5F-31EB-4BB2-BF40-868A9D880F57}">
      <text>
        <t>[Threaded comment]
Your version of Excel allows you to read this threaded comment; however, any edits to it will get removed if the file is opened in a newer version of Excel. Learn more: https://go.microsoft.com/fwlink/?linkid=870924
Comment:
    1 - stun até 0.1s
2 - stun até 0.35s
3 - stun até 0.6s
4 - stun até 0.85s
5 - stun até 1.1s
6 - stun até 1.35s
7 - stun até 1.6s
8 - stun até 1.85s
9 - stun até 2.1s
10 - stun até 2.5s
11...</t>
      </text>
    </comment>
    <comment ref="BJ2" authorId="36" shapeId="0" xr:uid="{B2E93F1E-B2CE-4BC5-879F-C6748A4C4E36}">
      <text>
        <t>[Threaded comment]
Your version of Excel allows you to read this threaded comment; however, any edits to it will get removed if the file is opened in a newer version of Excel. Learn more: https://go.microsoft.com/fwlink/?linkid=870924
Comment:
    (poder-cancelamento + frequência) / 2
poder cancelamento
1 - até 11%
2 - até 22%
3 - até 33%
4 - até 44%
5 - até 55%
6 - até 66%
7 - até 77%
8 - até 88%
9 - até 99%
10 - limpeza completa
Frequência:
1 - 1/1min
2 - 1/50s
3 - 1/40s
4 - 1/30s
5 - 1/22s
6 - 1/15s
7 - 1/10s
8 - 1/7s
9 - 1/5s
10 - 1/3s
11...</t>
      </text>
    </comment>
    <comment ref="BK2" authorId="37" shapeId="0" xr:uid="{5D9D6F8E-BBE2-4206-886C-31168EBC53FC}">
      <text>
        <t>[Threaded comment]
Your version of Excel allows you to read this threaded comment; however, any edits to it will get removed if the file is opened in a newer version of Excel. Learn more: https://go.microsoft.com/fwlink/?linkid=870924
Comment:
    (frequência + potência + duração)/3
0 - não tem essa capacidade
Frequência:
1 - 1/1min
2 - 1/50s
3 - 1/40s
4 - 1/30s
5 - 1/22s
6 - 1/15s
7 - 1/10s
8 - 1/7s
9 - 1/5s
10 - 1/3s
11...
Potência da lentidão:
1 - até 5%
2 - até 10%
3 - até 15%
4 - até 20%
5 - até 25%
6 - até 30%
7 - até 35%
8 - até 40%
9 - até 45%
10 - até 50%
11...
duração
1 - 0.5s
2 - 1s
3 - 1.5s
4 - 2s
5 - 2.5s
6 - 3s
7 - 3.5s
8 - 4s
9 - 4.5s
10 - 5s
11...</t>
      </text>
    </comment>
    <comment ref="BL2" authorId="38" shapeId="0" xr:uid="{D98A3EE5-0B75-4351-9DF1-4F7F251BF6FF}">
      <text>
        <t>[Threaded comment]
Your version of Excel allows you to read this threaded comment; however, any edits to it will get removed if the file is opened in a newer version of Excel. Learn more: https://go.microsoft.com/fwlink/?linkid=870924
Comment:
    (poder-cancelamento + frequência) / 2
poder cancelamento
1 - até 11%
2 - até 22%
3 - até 33%
4 - até 44%
5 - até 55%
6 - até 66%
7 - até 77%
8 - até 88%
9 - até 99%
10 - limpeza completa
Frequência:
1 - 1/1min
2 - 1/50s
3 - 1/40s
4 - 1/30s
5 - 1/22s
6 - 1/15s
7 - 1/10s
8 - 1/7s
9 - 1/5s
10 - 1/3s
11...</t>
      </text>
    </comment>
    <comment ref="BM2" authorId="39" shapeId="0" xr:uid="{747B6F09-CDD4-4129-BCFB-3BC2FEC072FB}">
      <text>
        <t>[Threaded comment]
Your version of Excel allows you to read this threaded comment; however, any edits to it will get removed if the file is opened in a newer version of Excel. Learn more: https://go.microsoft.com/fwlink/?linkid=870924
Comment:
    0 - o brawler não tem essa capacidade
1 - pouco e apenas de muito perto e não possui formas rápidas de se aproximar
2 - pouco e apenas de perto e não possui formas rápidas de se aproximar
3 - pouco e apenas de medio alcance e não possui formas rápidas de se aproximar
4 - pouco e apenas de perto mas possui formas de se aproximar
5 - pouco e apenas de perto mas possui formas de se aproximar rapidamente
6 - de médias/longas distâncias
7 - longas distâncias
8 - ignorando muros
9 - ignorando obstaculos a médio/longo alcance
10 - ignorando obstáculos e objetos a longo alcance
11...</t>
      </text>
    </comment>
    <comment ref="BN2" authorId="40" shapeId="0" xr:uid="{3972AB50-CCB4-4CE2-914D-E147ABD420BE}">
      <text>
        <t>[Threaded comment]
Your version of Excel allows you to read this threaded comment; however, any edits to it will get removed if the file is opened in a newer version of Excel. Learn more: https://go.microsoft.com/fwlink/?linkid=870924
Comment:
    Se o seu brawler não é especialmente afetado, assinale altamente competente (7). Caso seja (um frank por exemplo é muito afetado), tente medir o quão fácil é para o inimigo cancelar um ataque forte seu e te prejudicar.
6 - afetado levemente por demora até finalização do tiro
5 - afetado levemente numa situação específica
4 - afetado consideravelmente no super
3 - afetado consideravelmente no ataque principal
2 - afetado consideravelmente no super e ataque
-1 se dá mais de 1 segundo de tempo de reação na super
-2 se dá mais de 1 segundo de tempo de reação no ataque principal</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tc={AEA62B1D-7497-4053-8BC3-AB5DD833184A}</author>
    <author>tc={48209E4E-DD4E-4495-83FF-01AD38F380E0}</author>
    <author>tc={183BD924-6326-4469-B909-83B4FE192A37}</author>
    <author>tc={774F8D20-94EB-4206-9C36-40060FEF4CCC}</author>
    <author>tc={287EE80D-468C-4F3F-B812-B46CF7395828}</author>
    <author>tc={8C502DD0-E0BD-4D12-88AF-9466DFEE17EB}</author>
    <author>tc={5C22C392-13A6-4EDA-98F4-9E312E27A3A4}</author>
    <author>tc={9881D057-9A21-4C40-BEB4-14226BA1FA69}</author>
    <author>tc={CC61375B-2CBC-4EC4-B5D9-4BCE11C9F63B}</author>
    <author>tc={9D67511D-6D55-4AF9-A07A-9AF64B9E93DD}</author>
    <author>tc={83642668-E1BB-454F-81B4-23857600244D}</author>
    <author>tc={C7F146CA-75B3-4667-9B88-2A55D9FA51CE}</author>
    <author>tc={DDEF7830-9FDA-4DA3-9301-7D0C16ABB4E7}</author>
    <author>tc={21C4BA0D-2C3A-4437-8F7C-44AB7341EE0D}</author>
    <author>tc={CF0972BD-E9B3-4549-A2A8-7C0DF85C4C48}</author>
    <author>tc={58C85561-7064-4A22-B0E3-30B32222C614}</author>
    <author>tc={0D7C7B35-5DFE-48E7-9C95-557FDA08D843}</author>
    <author>tc={7601B4EF-E1B5-4D89-8698-00E33AE9A67D}</author>
    <author>tc={8280449B-F405-4788-84C1-CEB2C85D3EC3}</author>
    <author>tc={20E55591-0011-4BD7-B71C-18DB4536223C}</author>
    <author>tc={6BFBA8F6-B57B-455C-B17A-CB0572DED925}</author>
    <author>tc={735CEBFE-F407-46BB-BCE6-4DED80CC33A8}</author>
    <author>tc={FE62A1B6-6DEE-420F-8DC0-202410C06336}</author>
    <author>tc={866E29FF-ADE6-41EE-AEBD-0B1BDEACB237}</author>
    <author>tc={68B2252B-FCFB-457A-8B5A-F07EEB6115BA}</author>
    <author>tc={7B556312-2948-4E41-AE56-0DCC309A1922}</author>
    <author>tc={955C043B-13B3-4BDF-8B36-D197E25D49D0}</author>
    <author>tc={D152C21F-A039-4FDF-B490-3B39F52216C7}</author>
    <author>tc={E4F48B0A-127D-4752-A0BE-B336A9D14889}</author>
    <author>tc={CE9CB006-B990-47C3-A966-88DBFFE642BE}</author>
    <author>tc={860C029A-C54B-420F-9B92-E3E9D8304A69}</author>
    <author>tc={6F4B8CFC-F9BD-41E4-B38A-CECBB7E9BCBA}</author>
    <author>tc={B73E0618-4904-4924-AC1D-0AF2B812984C}</author>
    <author>tc={70814576-71E3-4355-9D2E-0B68A48C1D57}</author>
    <author>tc={285F884F-91AC-411A-B3DA-D617A0CBE6CF}</author>
    <author>tc={B5D48F09-D143-4476-844F-6F8DE3C7BE11}</author>
    <author>tc={39101BE6-9C60-4AAD-8F2C-ACA49AA1D872}</author>
    <author>tc={D535AB02-192D-4E15-9015-52762D6F5DCF}</author>
    <author>tc={E3510953-C425-4123-A249-94F8FDBC2FA4}</author>
    <author>tc={AF818AB8-E6EF-4BDF-8373-8BC0D40B94DB}</author>
    <author>tc={8D69E0E0-6F6B-440B-B783-E5D8A7454C97}</author>
  </authors>
  <commentList>
    <comment ref="X2" authorId="0" shapeId="0" xr:uid="{AEA62B1D-7497-4053-8BC3-AB5DD833184A}">
      <text>
        <t>[Threaded comment]
Your version of Excel allows you to read this threaded comment; however, any edits to it will get removed if the file is opened in a newer version of Excel. Learn more: https://go.microsoft.com/fwlink/?linkid=870924
Comment:
    (Durabilidade_total / 1400) + (auto_heal_buffing / 3,5)</t>
      </text>
    </comment>
    <comment ref="Y2" authorId="1" shapeId="0" xr:uid="{48209E4E-DD4E-4495-83FF-01AD38F380E0}">
      <text>
        <t>[Threaded comment]
Your version of Excel allows you to read this threaded comment; however, any edits to it will get removed if the file is opened in a newer version of Excel. Learn more: https://go.microsoft.com/fwlink/?linkid=870924
Comment:
    0 - Não ataca eu achokkk
1 - distância curta
2 - distância curta/normal
3 - distância normal/curta
4 - distância normal
5 - distância normal/longa
6 - distância longa/normal
7 - distância longa
8 - distância longa/mtlonga
9 - distância mtlonga/longa
10 - distância mtlonga
11...
-1 se o tiro é lento ou -2 se muito lento. Use isso para distinguir alcances aparentemente iguais.</t>
      </text>
    </comment>
    <comment ref="Z2" authorId="2" shapeId="0" xr:uid="{183BD924-6326-4469-B909-83B4FE192A37}">
      <text>
        <t>[Threaded comment]
Your version of Excel allows you to read this threaded comment; however, any edits to it will get removed if the file is opened in a newer version of Excel. Learn more: https://go.microsoft.com/fwlink/?linkid=870924
Comment:
    (frequencia + potência + versatilidade)/3
frequência:
1 - 1 min
2 - 45s
3 - 35s
4 - 30s
5 - 25s
6 - 20s
7 - 15s
8 - 10s
9 - 5s
10 - menos de 5s
11...
potência do uso:
1 - distância curta
2 - distância curta/normal
3 - distância normal/curta
4 - distância normal
5 - distância normal/longa
6 - distância longa/normal
7 - distância longa
8 - distância longa/mtlonga
9 - distância mtlonga/longa
10 - distância mtlonga
11...
versatilidade:
1 - invulnerável, mas parado e vulnerável ao voltar
2 - invulnerável, mas parado ao voltar
3 - afasta inimigos um pouco
4 - afasta medio inimigos
5 - fuga lenta sem escolher direção ou circunstancial
6 - fuga lenta escolhendo direção quase livremente
7 - fuga lenta escolhendo direção livremente
8 - fuga rápida quase sem escolher direção
9 - fuga rápida escolhendo direção quase livremente
10 - fuga rápida escolhendo direção livremente
11...</t>
      </text>
    </comment>
    <comment ref="AA2" authorId="3" shapeId="0" xr:uid="{774F8D20-94EB-4206-9C36-40060FEF4CCC}">
      <text>
        <t>[Threaded comment]
Your version of Excel allows you to read this threaded comment; however, any edits to it will get removed if the file is opened in a newer version of Excel. Learn more: https://go.microsoft.com/fwlink/?linkid=870924
Comment:
    0 - projétil único
1 - projétil único perfurante
2 - linha fina multiplos projéteis
3 - tiro em forma de cone pequeno (25° +ou-)
4 - tiro em forma retangular medio (1 brawler de largura)
5 - tiro em forma de cone médio (50° +ou-)
6 - tiro em forma retangular grande (1-2 brawler de largura)
7 - tiro em forma de cone grande (75° +ou-)
8 - tiro com amplitude maior (até 100° +ou-)
9 - tiro em todas as direções
10 - tiro frequente em todas as direções
11...</t>
      </text>
    </comment>
    <comment ref="AB2" authorId="4" shapeId="0" xr:uid="{287EE80D-468C-4F3F-B812-B46CF7395828}">
      <text>
        <t>[Threaded comment]
Your version of Excel allows you to read this threaded comment; however, any edits to it will get removed if the file is opened in a newer version of Excel. Learn more: https://go.microsoft.com/fwlink/?linkid=870924
Comment:
    0 - mais de 1/30s
1 - 1/30s
2 - 1/20s
3 - 1/15s
4 - 1/10s
5 - 1/5s
6 - ataque básico frequente
7 - ataque básico e super frequente</t>
      </text>
    </comment>
    <comment ref="AC2" authorId="5" shapeId="0" xr:uid="{8C502DD0-E0BD-4D12-88AF-9466DFEE17EB}">
      <text>
        <t>[Threaded comment]
Your version of Excel allows you to read this threaded comment; however, any edits to it will get removed if the file is opened in a newer version of Excel. Learn more: https://go.microsoft.com/fwlink/?linkid=870924
Comment:
    (duração + área + efeito + distância-arremesso)/4
Efeito:
3 - efeito ignorável muitas vezes
6 - efeito ignorável raramente
9 - efeito quase nunca ignoravel
Area:
1 - diâmetro de 1 brawler
2 - diâmetro de 2 brawler
3 - diâmetro de 3 brawler
4 - diâmetro de 4 brawler
5 - diâmetro de 5 brawler
6 - diâmetro de 6 brawler
7 - diâmetro de 7 brawler
8 - diâmetro de 8 brawler9 - diâmetro de 9 brawler
10 - diâmetro de 10 brawler
11...
Duração:
1 - 1s
2 - 2s
3 - 3s
4 - 4s
5 - 5s
6 - 6s
7 - 7s
8 - 8s
9 - 9s
10 - 10s
11...
Distância arremesso
0 - Não ataca eu achokkk
1 - distância curta
2 - distância curta/normal
3 - distância normal/curta
4 - distância normal
5 - distância normal/longa
6 - distância longa/normal
7 - distância longa
8 - distância longa/mtlonga
9 - distância mtlonga/longa
10 - distância mtlonga
11...
-1 se o tiro é lento ou -2 se muito lento. Use isso para distinguir alcances aparentemente iguais.</t>
      </text>
    </comment>
    <comment ref="AD2" authorId="6" shapeId="0" xr:uid="{5C22C392-13A6-4EDA-98F4-9E312E27A3A4}">
      <text>
        <t>[Threaded comment]
Your version of Excel allows you to read this threaded comment; however, any edits to it will get removed if the file is opened in a newer version of Excel. Learn more: https://go.microsoft.com/fwlink/?linkid=870924
Comment:
    0 - o brawler não tem essa capacidade
1 - consegue manipular pouco e apenas de muito perto e não possui formas rápidas de se aproximar
2 - consegue manipular pouco e apenas de perto e não possui formas rápidas de se aproximar
3 - consegue manipular pouco e apenas de medio alcance e não possui formas rápidas de se aproximar
4 - consegue manipular pouco e apenas de perto mas possui formas de se aproximar
5 - o brawler consegue fazer de longas distancias mas manipula pouco
6 - o brawler consegue manipular muito a posição e de médias distâncias
7 - o brawler consegue manipular muito a posição e de longas distâncias
8 - o brawler consegue manipular um pouco a posição mas ignorando muros
9 - o brawler consegue manipular muito a posição e ignorando obstaculos a médio alcance
10 - o brawler consegue manipular muito a posição e ignorando obstáculos e objetos a longo alcance</t>
      </text>
    </comment>
    <comment ref="AE2" authorId="7" shapeId="0" xr:uid="{9881D057-9A21-4C40-BEB4-14226BA1FA69}">
      <text>
        <t>[Threaded comment]
Your version of Excel allows you to read this threaded comment; however, any edits to it will get removed if the file is opened in a newer version of Excel. Learn more: https://go.microsoft.com/fwlink/?linkid=870924
Comment:
    0 - absoluta incompetência
7 - altamente competente</t>
      </text>
    </comment>
    <comment ref="AF2" authorId="8" shapeId="0" xr:uid="{CC61375B-2CBC-4EC4-B5D9-4BCE11C9F63B}">
      <text>
        <t>[Threaded comment]
Your version of Excel allows you to read this threaded comment; however, any edits to it will get removed if the file is opened in a newer version of Excel. Learn more: https://go.microsoft.com/fwlink/?linkid=870924
Comment:
    0 - impossivel causar dano
1 - causa dano irrisório
2 - causa dano circunstancial
3 - causa dano ocasionalmente
4 - causa dano mortal as vezes
5 - causa dano mortal quase normalmente
6 - capaz de atacar o inimigo normalmente
7 - causa dano normalmente + anda na água tmb
8 - causa dano levemente superior
9 - causa dano muito maior a inimigos na água
10 - causa dano absurdamente maior
11...</t>
      </text>
    </comment>
    <comment ref="AG2" authorId="9" shapeId="0" xr:uid="{9D67511D-6D55-4AF9-A07A-9AF64B9E93DD}">
      <text>
        <t>[Threaded comment]
Your version of Excel allows you to read this threaded comment; however, any edits to it will get removed if the file is opened in a newer version of Excel. Learn more: https://go.microsoft.com/fwlink/?linkid=870924
Comment:
    0 - não quebra muros
1 - 1/35min
2 - 1/30s
3 - 1/25s
4 - 1/20s
5 - 1/15s
6 - 1/12s
7 - 1/9s
8 - 1/6s
9 - 1/3s
10 - 1/1s
11...
-1 se a destruição é pouco controlável
-2 se a destruição é quase incontrolável ou se o brawler não deveria gastar os recursos dele focando nessa destruição</t>
      </text>
    </comment>
    <comment ref="AH2" authorId="10" shapeId="0" xr:uid="{83642668-E1BB-454F-81B4-23857600244D}">
      <text>
        <t>[Threaded comment]
Your version of Excel allows you to read this threaded comment; however, any edits to it will get removed if the file is opened in a newer version of Excel. Learn more: https://go.microsoft.com/fwlink/?linkid=870924
Comment:
    0 - não quebra moitas
1 - 1/25min
2 - 1/16s
3 - 1/12s
4 - 1/10s
5 - 1/8s
6 - 1/6s
7 - 1/4s
8 - 1/3s
9 - 1/2s
10 - 1/1s
11...
-1 se a destruição é pouco controlável
-2 se a destruição é quase incontrolável ou se o brawler não deveria gastar os recursos dele focando nessa destruição</t>
      </text>
    </comment>
    <comment ref="AI2" authorId="11" shapeId="0" xr:uid="{C7F146CA-75B3-4667-9B88-2A55D9FA51CE}">
      <text>
        <t>[Threaded comment]
Your version of Excel allows you to read this threaded comment; however, any edits to it will get removed if the file is opened in a newer version of Excel. Learn more: https://go.microsoft.com/fwlink/?linkid=870924
Comment:
    0 - não constroi cover
1 - 1/25min
2 - 1/16s
3 - 1/12s
4 - 1/10s
5 - 1/8s
6 - 1/6s
7 - 1/4s
8 - 1/3s
9 - 1/2s
10 - 1/1s
11...
-1 se a construção é pouco controlável
-2 se a construção é quase incontrolável ou se o brawler não deveria gastar os recursos dele focando nessa construção</t>
      </text>
    </comment>
    <comment ref="AJ2" authorId="12" shapeId="0" xr:uid="{DDEF7830-9FDA-4DA3-9301-7D0C16ABB4E7}">
      <text>
        <t>[Threaded comment]
Your version of Excel allows you to read this threaded comment; however, any edits to it will get removed if the file is opened in a newer version of Excel. Learn more: https://go.microsoft.com/fwlink/?linkid=870924
Comment:
    1 - muito lento
2 - muito lento/lento
3 - lento
4 - lento/normal
5 - normal
6 - normal/rapido
7 - rapido
8 - rapido/muito rapido
9 - muito rapido
10 - suporter de velocidade
11...
-1 se a hitbox do brawler é do modelo maior</t>
      </text>
    </comment>
    <comment ref="AK2" authorId="13" shapeId="0" xr:uid="{21C4BA0D-2C3A-4437-8F7C-44AB7341EE0D}">
      <text>
        <t>[Threaded comment]
Your version of Excel allows you to read this threaded comment; however, any edits to it will get removed if the file is opened in a newer version of Excel. Learn more: https://go.microsoft.com/fwlink/?linkid=870924
Comment:
    1 - ataque lento e ineficaz
2 - ataque ineficaz
3 - ataque poderoso, mas super lento
4 - ataque poderoso, mas lento
5 - ataque poderoso e rápido, mas facilmente contornável sem sequelas
6 - ataque poderoso, mas contornavel/counterável facilmente
7 - ataque poderoso. Contornavel apenas se não estiver vulnerável
8 - mesmo counters tem dificuldade em prever/reagir ao ataque antes de levar um bom dano
9 - mesmo counters recebem muito dano antes de conseguirem reagir
10 - counterar um ataque bem planejado é quase impossível para qualquer brawler
+1 se aplica velocidade após o ataque
-1 se alcance é normal/longo
-2 se o alcance é curto/normal
-3 se o alcance é muito curto/curto</t>
      </text>
    </comment>
    <comment ref="AL2" authorId="14" shapeId="0" xr:uid="{CF0972BD-E9B3-4549-A2A8-7C0DF85C4C48}">
      <text>
        <t>[Threaded comment]
Your version of Excel allows you to read this threaded comment; however, any edits to it will get removed if the file is opened in a newer version of Excel. Learn more: https://go.microsoft.com/fwlink/?linkid=870924
Comment:
    *fórmula pronta, utiliza stun como força adicional</t>
      </text>
    </comment>
    <comment ref="AM2" authorId="15" shapeId="0" xr:uid="{58C85561-7064-4A22-B0E3-30B32222C614}">
      <text>
        <t>[Threaded comment]
Your version of Excel allows you to read this threaded comment; however, any edits to it will get removed if the file is opened in a newer version of Excel. Learn more: https://go.microsoft.com/fwlink/?linkid=870924
Comment:
    1 - 1/1min
2 - 1/50s
3 - 1/40s
4 - 1/30s
5 - 1/22s
6 - 1/15s
7 - 1/10s
8 - 1/7s
9 - 1/5s
10 - 1/3s
11...</t>
      </text>
    </comment>
    <comment ref="AN2" authorId="16" shapeId="0" xr:uid="{0D7C7B35-5DFE-48E7-9C95-557FDA08D843}">
      <text>
        <t>[Threaded comment]
Your version of Excel allows you to read this threaded comment; however, any edits to it will get removed if the file is opened in a newer version of Excel. Learn more: https://go.microsoft.com/fwlink/?linkid=870924
Comment:
    1 - nunca acumula mais de 1
2 - raramente acumula mais de 1
3 - ocasionalmente acumula mais de 1
4 - frequentemente acumula ao menos 2
5 - raramente acumula mais de 2
6 - ocasionalmente acumula mais de 2
7 - frequentemente acumula ao menos 3
8 - ocasionalmente acumula mais de 3
9 - frequentemente acumula mais de 4
10 - frequentemente acumula mais de 5
11...</t>
      </text>
    </comment>
    <comment ref="AO2" authorId="17" shapeId="0" xr:uid="{7601B4EF-E1B5-4D89-8698-00E33AE9A67D}">
      <text>
        <t>[Threaded comment]
Your version of Excel allows you to read this threaded comment; however, any edits to it will get removed if the file is opened in a newer version of Excel. Learn more: https://go.microsoft.com/fwlink/?linkid=870924
Comment:
    0 - A vida do(s) pet(s) não se deteriora sozinha com o tempo
1 - A vida do(s) pet(s) é deteriorável</t>
      </text>
    </comment>
    <comment ref="AP2" authorId="18" shapeId="0" xr:uid="{8280449B-F405-4788-84C1-CEB2C85D3EC3}">
      <text>
        <t>[Threaded comment]
Your version of Excel allows you to read this threaded comment; however, any edits to it will get removed if the file is opened in a newer version of Excel. Learn more: https://go.microsoft.com/fwlink/?linkid=870924
Comment:
    1 - menos de 2000
2 - entre 2000 e 3000
3 - entre 3000 e 4000
4 - entre 4000 e 5000
5 - entre 5000 e 6000
6 - entre 6000 e 7000
7 - entre 7000 e 8000
8 - entre 8000 e 9000
9 - entre 9000 e 10000
10 - entre 10000 e 11000
11...</t>
      </text>
    </comment>
    <comment ref="AQ2" authorId="19" shapeId="0" xr:uid="{20E55591-0011-4BD7-B71C-18DB4536223C}">
      <text>
        <t>[Threaded comment]
Your version of Excel allows you to read this threaded comment; however, any edits to it will get removed if the file is opened in a newer version of Excel. Learn more: https://go.microsoft.com/fwlink/?linkid=870924
Comment:
    0 - dano médio menor de 500
1 - dano médio 500-800
2 - dano médio 800-1100
3 - dano médio 1100-1400
4 - dano médio 1400-1700
5 - dano médio 1700-2000
6 - dano médio 2000-2300
7 - dano médio 2300-2600
8 - dano médio 2900-3200
9 - dano médio 3200-3500
10 - dano médio 3500-3800
11...</t>
      </text>
    </comment>
    <comment ref="AR2" authorId="20" shapeId="0" xr:uid="{6BFBA8F6-B57B-455C-B17A-CB0572DED925}">
      <text>
        <t>[Threaded comment]
Your version of Excel allows you to read this threaded comment; however, any edits to it will get removed if the file is opened in a newer version of Excel. Learn more: https://go.microsoft.com/fwlink/?linkid=870924
Comment:
    1 - distância curta
2 - distância curta/normal
3 - distância normal/curta
4 - distância normal
5 - distância normal/longa
6 - distância longa/normal
7 - distância longa
8 - distância longa/mtlonga
9 - distância mtlonga/longa
10 - distância mtlonga
11...
-1 se o tiro é lento ou -2 se muito lento. Use isso para distinguir alcances aparentemente iguais.</t>
      </text>
    </comment>
    <comment ref="AS2" authorId="21" shapeId="0" xr:uid="{735CEBFE-F407-46BB-BCE6-4DED80CC33A8}">
      <text>
        <t>[Threaded comment]
Your version of Excel allows you to read this threaded comment; however, any edits to it will get removed if the file is opened in a newer version of Excel. Learn more: https://go.microsoft.com/fwlink/?linkid=870924
Comment:
    1 - muito lento
2 - muito lento/lento
3 - lento/normal
4 - lento
5 - lento/normal
6 - normal/lento
7 - normal
8 - normal/rapido
9 - rapido
10 - MUITO rapido
11...</t>
      </text>
    </comment>
    <comment ref="AT2" authorId="22" shapeId="0" xr:uid="{FE62A1B6-6DEE-420F-8DC0-202410C06336}">
      <text>
        <t>[Threaded comment]
Your version of Excel allows you to read this threaded comment; however, any edits to it will get removed if the file is opened in a newer version of Excel. Learn more: https://go.microsoft.com/fwlink/?linkid=870924
Comment:
    0 - O dono não fica próximo ao pet em quase nenhum momento
2,5 - O dono fica próximo ao pet as vezes, mas raramente por muito tempo
5 - O dono fica próximo ao pet com alguma frequência, mas não é regra de usabilidade
7,5 - O dono fica próximo ao pet na maior parte do tempo, sendo grande parte da sua estratégia principal para avançar contra inimigos
10 - O dono fica próximo ao pet em quase todos os momentos. A exceção para esta regra resulta em inutilidade do pet na maior parte das vezes.</t>
      </text>
    </comment>
    <comment ref="AU2" authorId="23" shapeId="0" xr:uid="{866E29FF-ADE6-41EE-AEBD-0B1BDEACB237}">
      <text>
        <t>[Threaded comment]
Your version of Excel allows you to read this threaded comment; however, any edits to it will get removed if the file is opened in a newer version of Excel. Learn more: https://go.microsoft.com/fwlink/?linkid=870924
Comment:
    0 - não é o caso para esse brawler
1 - chance levemente maior de causar dano ao todo
2 - chance relativamente maior de causar dano ao todo
3 - chance muito maior de causar mais dano ao todo
4 - atinge multiplos inimigos com a super
5 - atinge facilmente multiplos inimigos com a super
6 - atinge multiplos inimigos com o ataque principal
7 - atinge facilmente multiplos inimigos com o ataque
8 - causa mais dano por projétil
9 - causa mais do dobro de dano por projétil
10 - causa mais que o triplo do dano por projétil
11...</t>
      </text>
    </comment>
    <comment ref="AV2" authorId="24" shapeId="0" xr:uid="{68B2252B-FCFB-457A-8B5A-F07EEB6115BA}">
      <text>
        <t>[Threaded comment]
Your version of Excel allows you to read this threaded comment; however, any edits to it will get removed if the file is opened in a newer version of Excel. Learn more: https://go.microsoft.com/fwlink/?linkid=870924
Comment:
    (precisão + Área + duração + frequência)/4
Precisão:
3 - perseguição de pets
6 - precisão em posição fixa arremessavel
10 - precisão absoluta
Area:
1 - diâmetro de 1 brawler
2 - diâmetro de 2 brawler
3 - diâmetro de 3 brawler
4 - diâmetro de 4 brawler
5 - diâmetro de 5 brawler
6 - diâmetro de 6 brawler
7 - diâmetro de 7 brawler
8 - diâmetro de 8 brawler9 - diâmetro de 9 brawler
10 - diâmetro de 10 brawler
11...
Duração:
1 - 3s
2 - 6s
3 - 9s
4 - 12s
5 - 15s
6 - 18s
7 - 21s
8 - 24s
9 - 27s
10 - infinito
11...
Frequência:
1 - 1/1min
2 - 1/50s
3 - 1/40s
4 - 1/30s
5 - 1/22s
6 - 1/15s
7 - 1/10s
8 - 1/7s
9 - 1/5s
10 - 1/3s
11...</t>
      </text>
    </comment>
    <comment ref="AW2" authorId="25" shapeId="0" xr:uid="{7B556312-2948-4E41-AE56-0DCC309A1922}">
      <text>
        <t>[Threaded comment]
Your version of Excel allows you to read this threaded comment; however, any edits to it will get removed if the file is opened in a newer version of Excel. Learn more: https://go.microsoft.com/fwlink/?linkid=870924
Comment:
    0 - As informações do brawler/complemento não dependem de nenhuma forma da formação de inimigos ou terreno para que façam sentido
2,5 - As informações do brawler/complemento podem depender um pouco de formas de uso
5 - As informações do brawler/complemento podem depender um pouco de características de terreno, como presença de moitas/agua e/ou de formas de uso
7,5 - as informações dependem bastante de características externas como formas de uso, terreno e inimigos. A verificação humana é essencial para garantir que o brawler realmente seja bom.
10 - As informações dependem demais de fatores externos para funcionarem de forma adequada. Detalhes desses fatores devem ser destacados para o usuário.</t>
      </text>
    </comment>
    <comment ref="AY2" authorId="26" shapeId="0" xr:uid="{955C043B-13B3-4BDF-8B36-D197E25D49D0}">
      <text>
        <t>[Threaded comment]
Your version of Excel allows you to read this threaded comment; however, any edits to it will get removed if the file is opened in a newer version of Excel. Learn more: https://go.microsoft.com/fwlink/?linkid=870924
Comment:
    (frequência + potência + velocidade) / 3
Frequência:
1 - 1/1min
2 - 1/50s
3 - 1/40s
4 - 1/30s
5 - 1/22s
6 - 1/15s
7 - 1/10s
8 - 1/7s
9 - 1/5s
10 - 1/3s
11...
Potência do hp:
1 - 1-500
2 - 500-1000
3 - 1000-1500
4 - 1500 - 2000
5 - 2000 - 2500
6 - 2500 - 3000
7 - 3000 - 3500
8 - 3500 - 4000
9 - 4000 - 4500
10 - 4500 - 5000
Velocidade da cura
3 - Lenta e parcelada
6 - Lenta ou muito circunstancial
9 - Instantânea e pouco circunstancial</t>
      </text>
    </comment>
    <comment ref="AZ2" authorId="27" shapeId="0" xr:uid="{D152C21F-A039-4FDF-B490-3B39F52216C7}">
      <text>
        <t>[Threaded comment]
Your version of Excel allows you to read this threaded comment; however, any edits to it will get removed if the file is opened in a newer version of Excel. Learn more: https://go.microsoft.com/fwlink/?linkid=870924
Comment:
    (duração + potência) / 2 
potência:
1 - até 10%
2 - até 20%
3 - até 30%
4 - até 40%
5 - até 50%
6 - até 60%
7 - até 70%
8 - até 80%
9 - até 90%
10 - até 100%
duração
1 - 1s
2 - 2s
3 - 3s
4 - 4s
5 - 5s
6 - 6s
7 - 7s
8 - 8s
9 - 9s
10 - 10s</t>
      </text>
    </comment>
    <comment ref="BA2" authorId="28" shapeId="0" xr:uid="{E4F48B0A-127D-4752-A0BE-B336A9D14889}">
      <text>
        <t>[Threaded comment]
Your version of Excel allows you to read this threaded comment; however, any edits to it will get removed if the file is opened in a newer version of Excel. Learn more: https://go.microsoft.com/fwlink/?linkid=870924
Comment:
    (frequência + potência) / 2 
Frequência:
1 - 1/1min
2 - 1/50s
3 - 1/40s
4 - 1/30s
5 - 1/22s
6 - 1/15s
7 - 1/10s
8 - 1/7s
9 - 1/5s
10 - 1/3s
11...
Potência do escudo:
1 - 1-500
2 - 500-1000
3 - 1000-1500
4 - 1500 - 2000
5 - 2000 - 2500
6 - 2500 - 3000
7 - 3000 - 3500
8 - 3500 - 4000
9 - 4000 - 4500
10 - 4500 - 5000</t>
      </text>
    </comment>
    <comment ref="BB2" authorId="29" shapeId="0" xr:uid="{CE9CB006-B990-47C3-A966-88DBFFE642BE}">
      <text>
        <t>[Threaded comment]
Your version of Excel allows you to read this threaded comment; however, any edits to it will get removed if the file is opened in a newer version of Excel. Learn more: https://go.microsoft.com/fwlink/?linkid=870924
Comment:
    (frequência + potência + duração)/3
0 - não tem essa capacidade
Frequência:
1 - 1/1min
2 - 1/50s
3 - 1/40s
4 - 1/30s
5 - 1/22s
6 - 1/15s
7 - 1/10s
8 - 1/7s
9 - 1/5s
10 - 1/3s
11...
Potência do aumento de dano:
1 - até 5%
2 - até 10%
3 - até 15%
4 - até 20%
5 - até 25%
6 - até 30%
7 - até 35%
8 - até 40%
9 - até 45%
10 - até 50%
11...
duração
1 - 1s
2 - 2s
3 - 3s
4 - 4s
5 - 5s
6 - 6s
7 - 7s
8 - 8s
9 - 9s
10 - 10s
11...</t>
      </text>
    </comment>
    <comment ref="BC2" authorId="30" shapeId="0" xr:uid="{860C029A-C54B-420F-9B92-E3E9D8304A69}">
      <text>
        <t>[Threaded comment]
Your version of Excel allows you to read this threaded comment; however, any edits to it will get removed if the file is opened in a newer version of Excel. Learn more: https://go.microsoft.com/fwlink/?linkid=870924
Comment:
    (duração + potência) / 2 
potência:
1 - até 8%
2 - até 16%
3 - até 24%
4 - até 32%
5 - até 40%
6 - até 48%
7 - até 56%
8 - até 64%
9 - até 72%
10 - até 80%
11...
duração
1 - 1s
2 - 2s
3 - 3s
4 - 4s
5 - 5s
6 - 6s
7 - 7s
8 - 8s
9 - 9s
10 - 10s</t>
      </text>
    </comment>
    <comment ref="BD2" authorId="31" shapeId="0" xr:uid="{6F4B8CFC-F9BD-41E4-B38A-CECBB7E9BCBA}">
      <text>
        <t>[Threaded comment]
Your version of Excel allows you to read this threaded comment; however, any edits to it will get removed if the file is opened in a newer version of Excel. Learn more: https://go.microsoft.com/fwlink/?linkid=870924
Comment:
    (frequencia + duração) / 2 
Frequência
1 - 1/1min
2 - 1/50s
3 - 1/40s
4 - 1/30s
5 - 1/22s
6 - 1/15s
7 - 1/10s
8 - 1/7s
9 - 1/5s
10 - 1/3s
11...
Duração:
1 - 1s
2 - 2s
3 - 3s
4 - 4s
5 - 5s
6 - 6s
7 - 7s
8 - 8s
9 - 9s
10 - 10s
11...</t>
      </text>
    </comment>
    <comment ref="BE2" authorId="32" shapeId="0" xr:uid="{B73E0618-4904-4924-AC1D-0AF2B812984C}">
      <text>
        <t>[Threaded comment]
Your version of Excel allows you to read this threaded comment; however, any edits to it will get removed if the file is opened in a newer version of Excel. Learn more: https://go.microsoft.com/fwlink/?linkid=870924
Comment:
    (frequência + duração + área) / 3
0 - não tem essa capacidade
Frequência:
1 - 1/1min
2 - 1/50s
3 - 1/40s
4 - 1/30s
5 - 1/22s
6 - 1/15s
7 - 1/10s
8 - 1/7s
9 - 1/5s
10 - 1/3s
11...
duração
1 - 1s
2 - 2s
3 - 3s
4 - 4s
5 - 5s
6 - 6s
7 - 7s
8 - 8s
9 - 9s
10 - 10s
11...
Area:
1 - diâmetro de 1 brawler
2 - diâmetro de 2 brawler
3 - diâmetro de 3 brawler
4 - diâmetro de 4 brawler
5 - diâmetro de 5 brawler
6 - diâmetro de 6 brawler
7 - diâmetro de 7 brawler
8 - diâmetro de 8 brawler9 - diâmetro de 9 brawler
10 - diâmetro de 10 brawler
11...</t>
      </text>
    </comment>
    <comment ref="BG2" authorId="33" shapeId="0" xr:uid="{70814576-71E3-4355-9D2E-0B68A48C1D57}">
      <text>
        <t>[Threaded comment]
Your version of Excel allows you to read this threaded comment; however, any edits to it will get removed if the file is opened in a newer version of Excel. Learn more: https://go.microsoft.com/fwlink/?linkid=870924
Comment:
    0 - não aplica veneno
1 - duração de 1 hit
2 - duração de 2 hit
3 - duração de 3 hit
4 - duração de 4 hit
5 - duração de 5 hit
6 - duração de 6 hit
7 - duração de 7 hit
8 - duração de 8 hit
9 - duração de 9 hit
10 - duração de 10 hit
11...
/1 se proveniente do ataque principal
/2 se proveniente da super
/3 se proveniente de algo ainda mais ocasional</t>
      </text>
    </comment>
    <comment ref="BH2" authorId="34" shapeId="0" xr:uid="{285F884F-91AC-411A-B3DA-D617A0CBE6CF}">
      <text>
        <t>[Threaded comment]
Your version of Excel allows you to read this threaded comment; however, any edits to it will get removed if the file is opened in a newer version of Excel. Learn more: https://go.microsoft.com/fwlink/?linkid=870924
Comment:
    (poder-cancelamento + frequência) / 2
poder cancelamento
1 - até 11%
2 - até 22%
3 - até 33%
4 - até 44%
5 - até 55%
6 - até 66%
7 - até 77%
8 - até 88%
9 - até 99%
10 - limpeza completa
Frequência:
1 - 1/1min
2 - 1/50s
3 - 1/40s
4 - 1/30s
5 - 1/22s
6 - 1/15s
7 - 1/10s
8 - 1/7s
9 - 1/5s
10 - 1/3s
11...</t>
      </text>
    </comment>
    <comment ref="BI2" authorId="35" shapeId="0" xr:uid="{B5D48F09-D143-4476-844F-6F8DE3C7BE11}">
      <text>
        <t>[Threaded comment]
Your version of Excel allows you to read this threaded comment; however, any edits to it will get removed if the file is opened in a newer version of Excel. Learn more: https://go.microsoft.com/fwlink/?linkid=870924
Comment:
    1 - stun até 0.1s
2 - stun até 0.35s
3 - stun até 0.6s
4 - stun até 0.85s
5 - stun até 1.1s
6 - stun até 1.35s
7 - stun até 1.6s
8 - stun até 1.85s
9 - stun até 2.1s
10 - stun até 2.5s
11...</t>
      </text>
    </comment>
    <comment ref="BJ2" authorId="36" shapeId="0" xr:uid="{39101BE6-9C60-4AAD-8F2C-ACA49AA1D872}">
      <text>
        <t>[Threaded comment]
Your version of Excel allows you to read this threaded comment; however, any edits to it will get removed if the file is opened in a newer version of Excel. Learn more: https://go.microsoft.com/fwlink/?linkid=870924
Comment:
    (poder-cancelamento + frequência) / 2
poder cancelamento
1 - até 11%
2 - até 22%
3 - até 33%
4 - até 44%
5 - até 55%
6 - até 66%
7 - até 77%
8 - até 88%
9 - até 99%
10 - limpeza completa
Frequência:
1 - 1/1min
2 - 1/50s
3 - 1/40s
4 - 1/30s
5 - 1/22s
6 - 1/15s
7 - 1/10s
8 - 1/7s
9 - 1/5s
10 - 1/3s
11...</t>
      </text>
    </comment>
    <comment ref="BK2" authorId="37" shapeId="0" xr:uid="{D535AB02-192D-4E15-9015-52762D6F5DCF}">
      <text>
        <t>[Threaded comment]
Your version of Excel allows you to read this threaded comment; however, any edits to it will get removed if the file is opened in a newer version of Excel. Learn more: https://go.microsoft.com/fwlink/?linkid=870924
Comment:
    (frequência + potência + duração)/3
0 - não tem essa capacidade
Frequência:
1 - 1/1min
2 - 1/50s
3 - 1/40s
4 - 1/30s
5 - 1/22s
6 - 1/15s
7 - 1/10s
8 - 1/7s
9 - 1/5s
10 - 1/3s
11...
Potência da lentidão:
1 - até 5%
2 - até 10%
3 - até 15%
4 - até 20%
5 - até 25%
6 - até 30%
7 - até 35%
8 - até 40%
9 - até 45%
10 - até 50%
11...
duração
1 - 0.5s
2 - 1s
3 - 1.5s
4 - 2s
5 - 2.5s
6 - 3s
7 - 3.5s
8 - 4s
9 - 4.5s
10 - 5s
11...</t>
      </text>
    </comment>
    <comment ref="BL2" authorId="38" shapeId="0" xr:uid="{E3510953-C425-4123-A249-94F8FDBC2FA4}">
      <text>
        <t>[Threaded comment]
Your version of Excel allows you to read this threaded comment; however, any edits to it will get removed if the file is opened in a newer version of Excel. Learn more: https://go.microsoft.com/fwlink/?linkid=870924
Comment:
    (poder-cancelamento + frequência) / 2
poder cancelamento
1 - até 11%
2 - até 22%
3 - até 33%
4 - até 44%
5 - até 55%
6 - até 66%
7 - até 77%
8 - até 88%
9 - até 99%
10 - limpeza completa
Frequência:
1 - 1/1min
2 - 1/50s
3 - 1/40s
4 - 1/30s
5 - 1/22s
6 - 1/15s
7 - 1/10s
8 - 1/7s
9 - 1/5s
10 - 1/3s
11...</t>
      </text>
    </comment>
    <comment ref="BM2" authorId="39" shapeId="0" xr:uid="{AF818AB8-E6EF-4BDF-8373-8BC0D40B94DB}">
      <text>
        <t>[Threaded comment]
Your version of Excel allows you to read this threaded comment; however, any edits to it will get removed if the file is opened in a newer version of Excel. Learn more: https://go.microsoft.com/fwlink/?linkid=870924
Comment:
    0 - o brawler não tem essa capacidade
1 - pouco e apenas de muito perto e não possui formas rápidas de se aproximar
2 - pouco e apenas de perto e não possui formas rápidas de se aproximar
3 - pouco e apenas de medio alcance e não possui formas rápidas de se aproximar
4 - pouco e apenas de perto mas possui formas de se aproximar
5 - pouco e apenas de perto mas possui formas de se aproximar rapidamente
6 - de médias/longas distâncias
7 - longas distâncias
8 - ignorando muros
9 - ignorando obstaculos a médio/longo alcance
10 - ignorando obstáculos e objetos a longo alcance
11...</t>
      </text>
    </comment>
    <comment ref="BN2" authorId="40" shapeId="0" xr:uid="{8D69E0E0-6F6B-440B-B783-E5D8A7454C97}">
      <text>
        <t>[Threaded comment]
Your version of Excel allows you to read this threaded comment; however, any edits to it will get removed if the file is opened in a newer version of Excel. Learn more: https://go.microsoft.com/fwlink/?linkid=870924
Comment:
    Se o seu brawler não é especialmente afetado, assinale altamente competente (7). Caso seja (um frank por exemplo é muito afetado), tente medir o quão fácil é para o inimigo cancelar um ataque forte seu e te prejudicar.
6 - afetado levemente por demora até finalização do tiro
5 - afetado levemente numa situação específica
4 - afetado consideravelmente no super
3 - afetado consideravelmente no ataque principal
2 - afetado consideravelmente no super e ataque
-1 se dá mais de 1 segundo de tempo de reação na super
-2 se dá mais de 1 segundo de tempo de reação no ataque principal</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tc={C944CAF9-FF5F-495C-A308-007892E4AAF8}</author>
    <author>tc={E6FC42D2-FD2A-455A-91D7-D4F30C871899}</author>
    <author>tc={BC97BA7E-6F8C-477F-9224-7B3B87B0C662}</author>
    <author>tc={F1E169BE-03ED-47D8-9F9C-4C5BF207761A}</author>
    <author>tc={764EBF18-3141-40E9-87AC-7A91A4E692AB}</author>
    <author>tc={3DB19886-B401-4DAD-8E8E-090A15D56832}</author>
    <author>tc={1BF9E232-90EE-4ACD-A1DE-9A6BC5180718}</author>
    <author>tc={958A17A6-B188-40E4-B9D3-4AAD821C54D4}</author>
    <author>tc={97E2212D-593E-40AB-B5E1-260C71E993D2}</author>
    <author>tc={26737FDB-A916-4BF4-A9A9-7CF6CCFD8068}</author>
    <author>tc={CDB81A4B-4E66-4983-81EF-AA6985855C34}</author>
    <author>tc={CBAACDD2-4100-434A-9CED-A16BFC4392AD}</author>
    <author>tc={BA151CE8-C11F-4E9B-BE92-9A8C03B72140}</author>
    <author>tc={3AA4F353-4653-42B4-AC30-2E21F99420F4}</author>
    <author>tc={D911A897-E4A7-4055-B9D9-E6917E60CFCB}</author>
    <author>tc={60C799CD-F376-48E6-ACF5-25A0CD5A89F7}</author>
    <author>tc={EAD1A554-D345-4E2F-9BD4-01C72E98EEAC}</author>
    <author>tc={C07D3678-AF36-4690-9834-00A8A37AD8CE}</author>
    <author>tc={929C05D1-4546-4AF7-9CBE-18395EA4DBD1}</author>
    <author>tc={7A2BEFB3-497A-45E9-80B7-28E71704F251}</author>
    <author>tc={93338258-4B25-45AE-919A-B9D739346AE4}</author>
    <author>tc={9B8BB204-FE83-40C5-A25F-2F3B1627A8A4}</author>
    <author>tc={67E064FB-BEA3-4956-B351-92BFF39A3083}</author>
    <author>tc={8D09C463-7F6C-479A-8BD5-6602B75D9A2C}</author>
    <author>tc={30F81B1F-29CB-4CEE-BE6C-67DFA94B0851}</author>
    <author>tc={801434C3-7C5F-4FAE-A9D3-6443DA412149}</author>
    <author>tc={D4E71A50-64C1-4567-8789-2C1E288E8B33}</author>
    <author>tc={03ABB2A5-08F3-4896-AEAD-24E00D7A14FE}</author>
    <author>tc={0A72C888-5BC5-4E7B-BD8F-F41F5D9DA4D3}</author>
    <author>tc={2D00D098-998F-4FC6-ADD1-D2EB4DED77DF}</author>
    <author>tc={C4AFD06C-2B21-4658-ADD6-C40F2F98AFF4}</author>
    <author>tc={FFB6021E-908B-4AF0-A5FE-8D831941F692}</author>
    <author>tc={2722AC9D-5AE4-4544-BF1F-4131218A2E78}</author>
    <author>tc={F93D3B84-2D38-4D9F-846D-8AA8E5FF8F59}</author>
    <author>tc={D696D9FB-742D-476E-B67D-72CC16F3C891}</author>
    <author>tc={2218D972-22C3-46DC-8F32-B131A4581A8F}</author>
    <author>tc={737CEDAB-B2CD-4139-9671-5187FD73764B}</author>
    <author>tc={A8BD1EB7-77F4-4507-A61B-65D48811D538}</author>
    <author>tc={F459013C-3D4A-46A9-9DE3-1342510CCC8F}</author>
    <author>tc={1415665B-CF36-4EBE-B8ED-21DF2F447D7A}</author>
    <author>tc={9C705216-6304-4185-94E5-E7B954736E6B}</author>
  </authors>
  <commentList>
    <comment ref="X2" authorId="0" shapeId="0" xr:uid="{C944CAF9-FF5F-495C-A308-007892E4AAF8}">
      <text>
        <t>[Threaded comment]
Your version of Excel allows you to read this threaded comment; however, any edits to it will get removed if the file is opened in a newer version of Excel. Learn more: https://go.microsoft.com/fwlink/?linkid=870924
Comment:
    (Durabilidade_total / 1400) + (auto_heal_buffing / 3,5)</t>
      </text>
    </comment>
    <comment ref="Y2" authorId="1" shapeId="0" xr:uid="{E6FC42D2-FD2A-455A-91D7-D4F30C871899}">
      <text>
        <t>[Threaded comment]
Your version of Excel allows you to read this threaded comment; however, any edits to it will get removed if the file is opened in a newer version of Excel. Learn more: https://go.microsoft.com/fwlink/?linkid=870924
Comment:
    0 - Não ataca eu achokkk
1 - distância curta
2 - distância curta/normal
3 - distância normal/curta
4 - distância normal
5 - distância normal/longa
6 - distância longa/normal
7 - distância longa
8 - distância longa/mtlonga
9 - distância mtlonga/longa
10 - distância mtlonga
11...
-1 se o tiro é lento ou -2 se muito lento. Use isso para distinguir alcances aparentemente iguais.</t>
      </text>
    </comment>
    <comment ref="Z2" authorId="2" shapeId="0" xr:uid="{BC97BA7E-6F8C-477F-9224-7B3B87B0C662}">
      <text>
        <t>[Threaded comment]
Your version of Excel allows you to read this threaded comment; however, any edits to it will get removed if the file is opened in a newer version of Excel. Learn more: https://go.microsoft.com/fwlink/?linkid=870924
Comment:
    (frequencia + potência + versatilidade)/3
frequência:
1 - 1 min
2 - 45s
3 - 35s
4 - 30s
5 - 25s
6 - 20s
7 - 15s
8 - 10s
9 - 5s
10 - menos de 5s
11...
potência do uso:
1 - distância curta
2 - distância curta/normal
3 - distância normal/curta
4 - distância normal
5 - distância normal/longa
6 - distância longa/normal
7 - distância longa
8 - distância longa/mtlonga
9 - distância mtlonga/longa
10 - distância mtlonga
11...
versatilidade:
1 - invulnerável, mas parado e vulnerável ao voltar
2 - invulnerável, mas parado ao voltar
3 - afasta inimigos um pouco
4 - afasta medio inimigos
5 - fuga lenta sem escolher direção ou circunstancial
6 - fuga lenta escolhendo direção quase livremente
7 - fuga lenta escolhendo direção livremente
8 - fuga rápida quase sem escolher direção
9 - fuga rápida escolhendo direção quase livremente
10 - fuga rápida escolhendo direção livremente
11...</t>
      </text>
    </comment>
    <comment ref="AA2" authorId="3" shapeId="0" xr:uid="{F1E169BE-03ED-47D8-9F9C-4C5BF207761A}">
      <text>
        <t>[Threaded comment]
Your version of Excel allows you to read this threaded comment; however, any edits to it will get removed if the file is opened in a newer version of Excel. Learn more: https://go.microsoft.com/fwlink/?linkid=870924
Comment:
    0 - projétil único
1 - projétil único perfurante
2 - linha fina multiplos projéteis
3 - tiro em forma de cone pequeno (25° +ou-)
4 - tiro em forma retangular medio (1 brawler de largura)
5 - tiro em forma de cone médio (50° +ou-)
6 - tiro em forma retangular grande (1-2 brawler de largura)
7 - tiro em forma de cone grande (75° +ou-)
8 - tiro com amplitude maior (até 100° +ou-)
9 - tiro em todas as direções
10 - tiro frequente em todas as direções
11...</t>
      </text>
    </comment>
    <comment ref="AB2" authorId="4" shapeId="0" xr:uid="{764EBF18-3141-40E9-87AC-7A91A4E692AB}">
      <text>
        <t>[Threaded comment]
Your version of Excel allows you to read this threaded comment; however, any edits to it will get removed if the file is opened in a newer version of Excel. Learn more: https://go.microsoft.com/fwlink/?linkid=870924
Comment:
    0 - mais de 1/30s
1 - 1/30s
2 - 1/20s
3 - 1/15s
4 - 1/10s
5 - 1/5s
6 - ataque básico frequente
7 - ataque básico e super frequente</t>
      </text>
    </comment>
    <comment ref="AC2" authorId="5" shapeId="0" xr:uid="{3DB19886-B401-4DAD-8E8E-090A15D56832}">
      <text>
        <t>[Threaded comment]
Your version of Excel allows you to read this threaded comment; however, any edits to it will get removed if the file is opened in a newer version of Excel. Learn more: https://go.microsoft.com/fwlink/?linkid=870924
Comment:
    (duração + área + efeito + distância-arremesso)/4
Efeito:
3 - efeito ignorável muitas vezes
6 - efeito ignorável raramente
9 - efeito quase nunca ignoravel
Area:
1 - diâmetro de 1 brawler
2 - diâmetro de 2 brawler
3 - diâmetro de 3 brawler
4 - diâmetro de 4 brawler
5 - diâmetro de 5 brawler
6 - diâmetro de 6 brawler
7 - diâmetro de 7 brawler
8 - diâmetro de 8 brawler9 - diâmetro de 9 brawler
10 - diâmetro de 10 brawler
11...
Duração:
1 - 1s
2 - 2s
3 - 3s
4 - 4s
5 - 5s
6 - 6s
7 - 7s
8 - 8s
9 - 9s
10 - 10s
11...
Distância arremesso
0 - Não ataca eu achokkk
1 - distância curta
2 - distância curta/normal
3 - distância normal/curta
4 - distância normal
5 - distância normal/longa
6 - distância longa/normal
7 - distância longa
8 - distância longa/mtlonga
9 - distância mtlonga/longa
10 - distância mtlonga
11...
-1 se o tiro é lento ou -2 se muito lento. Use isso para distinguir alcances aparentemente iguais.</t>
      </text>
    </comment>
    <comment ref="AD2" authorId="6" shapeId="0" xr:uid="{1BF9E232-90EE-4ACD-A1DE-9A6BC5180718}">
      <text>
        <t>[Threaded comment]
Your version of Excel allows you to read this threaded comment; however, any edits to it will get removed if the file is opened in a newer version of Excel. Learn more: https://go.microsoft.com/fwlink/?linkid=870924
Comment:
    0 - o brawler não tem essa capacidade
1 - consegue manipular pouco e apenas de muito perto e não possui formas rápidas de se aproximar
2 - consegue manipular pouco e apenas de perto e não possui formas rápidas de se aproximar
3 - consegue manipular pouco e apenas de medio alcance e não possui formas rápidas de se aproximar
4 - consegue manipular pouco e apenas de perto mas possui formas de se aproximar
5 - o brawler consegue fazer de longas distancias mas manipula pouco
6 - o brawler consegue manipular muito a posição e de médias distâncias
7 - o brawler consegue manipular muito a posição e de longas distâncias
8 - o brawler consegue manipular um pouco a posição mas ignorando muros
9 - o brawler consegue manipular muito a posição e ignorando obstaculos a médio alcance
10 - o brawler consegue manipular muito a posição e ignorando obstáculos e objetos a longo alcance</t>
      </text>
    </comment>
    <comment ref="AE2" authorId="7" shapeId="0" xr:uid="{958A17A6-B188-40E4-B9D3-4AAD821C54D4}">
      <text>
        <t>[Threaded comment]
Your version of Excel allows you to read this threaded comment; however, any edits to it will get removed if the file is opened in a newer version of Excel. Learn more: https://go.microsoft.com/fwlink/?linkid=870924
Comment:
    0 - absoluta incompetência
7 - altamente competente</t>
      </text>
    </comment>
    <comment ref="AF2" authorId="8" shapeId="0" xr:uid="{97E2212D-593E-40AB-B5E1-260C71E993D2}">
      <text>
        <t>[Threaded comment]
Your version of Excel allows you to read this threaded comment; however, any edits to it will get removed if the file is opened in a newer version of Excel. Learn more: https://go.microsoft.com/fwlink/?linkid=870924
Comment:
    0 - impossivel causar dano
1 - causa dano irrisório
2 - causa dano circunstancial
3 - causa dano ocasionalmente
4 - causa dano mortal as vezes
5 - causa dano mortal quase normalmente
6 - capaz de atacar o inimigo normalmente
7 - causa dano normalmente + anda na água tmb
8 - causa dano levemente superior
9 - causa dano muito maior a inimigos na água
10 - causa dano absurdamente maior
11...</t>
      </text>
    </comment>
    <comment ref="AG2" authorId="9" shapeId="0" xr:uid="{26737FDB-A916-4BF4-A9A9-7CF6CCFD8068}">
      <text>
        <t>[Threaded comment]
Your version of Excel allows you to read this threaded comment; however, any edits to it will get removed if the file is opened in a newer version of Excel. Learn more: https://go.microsoft.com/fwlink/?linkid=870924
Comment:
    0 - não quebra muros
1 - 1/35min
2 - 1/30s
3 - 1/25s
4 - 1/20s
5 - 1/15s
6 - 1/12s
7 - 1/9s
8 - 1/6s
9 - 1/3s
10 - 1/1s
11...
-1 se a destruição é pouco controlável
-2 se a destruição é quase incontrolável ou se o brawler não deveria gastar os recursos dele focando nessa destruição</t>
      </text>
    </comment>
    <comment ref="AH2" authorId="10" shapeId="0" xr:uid="{CDB81A4B-4E66-4983-81EF-AA6985855C34}">
      <text>
        <t>[Threaded comment]
Your version of Excel allows you to read this threaded comment; however, any edits to it will get removed if the file is opened in a newer version of Excel. Learn more: https://go.microsoft.com/fwlink/?linkid=870924
Comment:
    0 - não quebra moitas
1 - 1/25min
2 - 1/16s
3 - 1/12s
4 - 1/10s
5 - 1/8s
6 - 1/6s
7 - 1/4s
8 - 1/3s
9 - 1/2s
10 - 1/1s
11...
-1 se a destruição é pouco controlável
-2 se a destruição é quase incontrolável ou se o brawler não deveria gastar os recursos dele focando nessa destruição</t>
      </text>
    </comment>
    <comment ref="AI2" authorId="11" shapeId="0" xr:uid="{CBAACDD2-4100-434A-9CED-A16BFC4392AD}">
      <text>
        <t>[Threaded comment]
Your version of Excel allows you to read this threaded comment; however, any edits to it will get removed if the file is opened in a newer version of Excel. Learn more: https://go.microsoft.com/fwlink/?linkid=870924
Comment:
    0 - não constroi cover
1 - 1/25min
2 - 1/16s
3 - 1/12s
4 - 1/10s
5 - 1/8s
6 - 1/6s
7 - 1/4s
8 - 1/3s
9 - 1/2s
10 - 1/1s
11...
-1 se a construção é pouco controlável
-2 se a construção é quase incontrolável ou se o brawler não deveria gastar os recursos dele focando nessa construção</t>
      </text>
    </comment>
    <comment ref="AJ2" authorId="12" shapeId="0" xr:uid="{BA151CE8-C11F-4E9B-BE92-9A8C03B72140}">
      <text>
        <t>[Threaded comment]
Your version of Excel allows you to read this threaded comment; however, any edits to it will get removed if the file is opened in a newer version of Excel. Learn more: https://go.microsoft.com/fwlink/?linkid=870924
Comment:
    1 - muito lento
2 - muito lento/lento
3 - lento
4 - lento/normal
5 - normal
6 - normal/rapido
7 - rapido
8 - rapido/muito rapido
9 - muito rapido
10 - suporter de velocidade
11...
-1 se a hitbox do brawler é do modelo maior</t>
      </text>
    </comment>
    <comment ref="AK2" authorId="13" shapeId="0" xr:uid="{3AA4F353-4653-42B4-AC30-2E21F99420F4}">
      <text>
        <t>[Threaded comment]
Your version of Excel allows you to read this threaded comment; however, any edits to it will get removed if the file is opened in a newer version of Excel. Learn more: https://go.microsoft.com/fwlink/?linkid=870924
Comment:
    1 - ataque lento e ineficaz
2 - ataque ineficaz
3 - ataque poderoso, mas super lento
4 - ataque poderoso, mas lento
5 - ataque poderoso e rápido, mas facilmente contornável sem sequelas
6 - ataque poderoso, mas contornavel/counterável facilmente
7 - ataque poderoso. Contornavel apenas se não estiver vulnerável
8 - mesmo counters tem dificuldade em prever/reagir ao ataque antes de levar um bom dano
9 - mesmo counters recebem muito dano antes de conseguirem reagir
10 - counterar um ataque bem planejado é quase impossível para qualquer brawler
+1 se aplica velocidade após o ataque
-1 se alcance é normal/longo
-2 se o alcance é curto/normal
-3 se o alcance é muito curto/curto</t>
      </text>
    </comment>
    <comment ref="AL2" authorId="14" shapeId="0" xr:uid="{D911A897-E4A7-4055-B9D9-E6917E60CFCB}">
      <text>
        <t>[Threaded comment]
Your version of Excel allows you to read this threaded comment; however, any edits to it will get removed if the file is opened in a newer version of Excel. Learn more: https://go.microsoft.com/fwlink/?linkid=870924
Comment:
    *fórmula pronta, utiliza stun como força adicional</t>
      </text>
    </comment>
    <comment ref="AM2" authorId="15" shapeId="0" xr:uid="{60C799CD-F376-48E6-ACF5-25A0CD5A89F7}">
      <text>
        <t>[Threaded comment]
Your version of Excel allows you to read this threaded comment; however, any edits to it will get removed if the file is opened in a newer version of Excel. Learn more: https://go.microsoft.com/fwlink/?linkid=870924
Comment:
    1 - 1/1min
2 - 1/50s
3 - 1/40s
4 - 1/30s
5 - 1/22s
6 - 1/15s
7 - 1/10s
8 - 1/7s
9 - 1/5s
10 - 1/3s
11...</t>
      </text>
    </comment>
    <comment ref="AN2" authorId="16" shapeId="0" xr:uid="{EAD1A554-D345-4E2F-9BD4-01C72E98EEAC}">
      <text>
        <t>[Threaded comment]
Your version of Excel allows you to read this threaded comment; however, any edits to it will get removed if the file is opened in a newer version of Excel. Learn more: https://go.microsoft.com/fwlink/?linkid=870924
Comment:
    1 - nunca acumula mais de 1
2 - raramente acumula mais de 1
3 - ocasionalmente acumula mais de 1
4 - frequentemente acumula ao menos 2
5 - raramente acumula mais de 2
6 - ocasionalmente acumula mais de 2
7 - frequentemente acumula ao menos 3
8 - ocasionalmente acumula mais de 3
9 - frequentemente acumula mais de 4
10 - frequentemente acumula mais de 5
11...</t>
      </text>
    </comment>
    <comment ref="AO2" authorId="17" shapeId="0" xr:uid="{C07D3678-AF36-4690-9834-00A8A37AD8CE}">
      <text>
        <t>[Threaded comment]
Your version of Excel allows you to read this threaded comment; however, any edits to it will get removed if the file is opened in a newer version of Excel. Learn more: https://go.microsoft.com/fwlink/?linkid=870924
Comment:
    0 - A vida do(s) pet(s) não se deteriora sozinha com o tempo
1 - A vida do(s) pet(s) é deteriorável</t>
      </text>
    </comment>
    <comment ref="AP2" authorId="18" shapeId="0" xr:uid="{929C05D1-4546-4AF7-9CBE-18395EA4DBD1}">
      <text>
        <t>[Threaded comment]
Your version of Excel allows you to read this threaded comment; however, any edits to it will get removed if the file is opened in a newer version of Excel. Learn more: https://go.microsoft.com/fwlink/?linkid=870924
Comment:
    1 - menos de 2000
2 - entre 2000 e 3000
3 - entre 3000 e 4000
4 - entre 4000 e 5000
5 - entre 5000 e 6000
6 - entre 6000 e 7000
7 - entre 7000 e 8000
8 - entre 8000 e 9000
9 - entre 9000 e 10000
10 - entre 10000 e 11000
11...</t>
      </text>
    </comment>
    <comment ref="AQ2" authorId="19" shapeId="0" xr:uid="{7A2BEFB3-497A-45E9-80B7-28E71704F251}">
      <text>
        <t>[Threaded comment]
Your version of Excel allows you to read this threaded comment; however, any edits to it will get removed if the file is opened in a newer version of Excel. Learn more: https://go.microsoft.com/fwlink/?linkid=870924
Comment:
    0 - dano médio menor de 500
1 - dano médio 500-800
2 - dano médio 800-1100
3 - dano médio 1100-1400
4 - dano médio 1400-1700
5 - dano médio 1700-2000
6 - dano médio 2000-2300
7 - dano médio 2300-2600
8 - dano médio 2900-3200
9 - dano médio 3200-3500
10 - dano médio 3500-3800
11...</t>
      </text>
    </comment>
    <comment ref="AR2" authorId="20" shapeId="0" xr:uid="{93338258-4B25-45AE-919A-B9D739346AE4}">
      <text>
        <t>[Threaded comment]
Your version of Excel allows you to read this threaded comment; however, any edits to it will get removed if the file is opened in a newer version of Excel. Learn more: https://go.microsoft.com/fwlink/?linkid=870924
Comment:
    1 - distância curta
2 - distância curta/normal
3 - distância normal/curta
4 - distância normal
5 - distância normal/longa
6 - distância longa/normal
7 - distância longa
8 - distância longa/mtlonga
9 - distância mtlonga/longa
10 - distância mtlonga
11...
-1 se o tiro é lento ou -2 se muito lento. Use isso para distinguir alcances aparentemente iguais.</t>
      </text>
    </comment>
    <comment ref="AS2" authorId="21" shapeId="0" xr:uid="{9B8BB204-FE83-40C5-A25F-2F3B1627A8A4}">
      <text>
        <t>[Threaded comment]
Your version of Excel allows you to read this threaded comment; however, any edits to it will get removed if the file is opened in a newer version of Excel. Learn more: https://go.microsoft.com/fwlink/?linkid=870924
Comment:
    1 - muito lento
2 - muito lento/lento
3 - lento/normal
4 - lento
5 - lento/normal
6 - normal/lento
7 - normal
8 - normal/rapido
9 - rapido
10 - MUITO rapido
11...</t>
      </text>
    </comment>
    <comment ref="AT2" authorId="22" shapeId="0" xr:uid="{67E064FB-BEA3-4956-B351-92BFF39A3083}">
      <text>
        <t>[Threaded comment]
Your version of Excel allows you to read this threaded comment; however, any edits to it will get removed if the file is opened in a newer version of Excel. Learn more: https://go.microsoft.com/fwlink/?linkid=870924
Comment:
    0 - O dono não fica próximo ao pet em quase nenhum momento
2,5 - O dono fica próximo ao pet as vezes, mas raramente por muito tempo
5 - O dono fica próximo ao pet com alguma frequência, mas não é regra de usabilidade
7,5 - O dono fica próximo ao pet na maior parte do tempo, sendo grande parte da sua estratégia principal para avançar contra inimigos
10 - O dono fica próximo ao pet em quase todos os momentos. A exceção para esta regra resulta em inutilidade do pet na maior parte das vezes.</t>
      </text>
    </comment>
    <comment ref="AU2" authorId="23" shapeId="0" xr:uid="{8D09C463-7F6C-479A-8BD5-6602B75D9A2C}">
      <text>
        <t>[Threaded comment]
Your version of Excel allows you to read this threaded comment; however, any edits to it will get removed if the file is opened in a newer version of Excel. Learn more: https://go.microsoft.com/fwlink/?linkid=870924
Comment:
    0 - não é o caso para esse brawler
1 - chance levemente maior de causar dano ao todo
2 - chance relativamente maior de causar dano ao todo
3 - chance muito maior de causar mais dano ao todo
4 - atinge multiplos inimigos com a super
5 - atinge facilmente multiplos inimigos com a super
6 - atinge multiplos inimigos com o ataque principal
7 - atinge facilmente multiplos inimigos com o ataque
8 - causa mais dano por projétil
9 - causa mais do dobro de dano por projétil
10 - causa mais que o triplo do dano por projétil
11...</t>
      </text>
    </comment>
    <comment ref="AV2" authorId="24" shapeId="0" xr:uid="{30F81B1F-29CB-4CEE-BE6C-67DFA94B0851}">
      <text>
        <t>[Threaded comment]
Your version of Excel allows you to read this threaded comment; however, any edits to it will get removed if the file is opened in a newer version of Excel. Learn more: https://go.microsoft.com/fwlink/?linkid=870924
Comment:
    (precisão + Área + duração + frequência)/4
Precisão:
3 - perseguição de pets
6 - precisão em posição fixa arremessavel
10 - precisão absoluta
Area:
1 - diâmetro de 1 brawler
2 - diâmetro de 2 brawler
3 - diâmetro de 3 brawler
4 - diâmetro de 4 brawler
5 - diâmetro de 5 brawler
6 - diâmetro de 6 brawler
7 - diâmetro de 7 brawler
8 - diâmetro de 8 brawler9 - diâmetro de 9 brawler
10 - diâmetro de 10 brawler
11...
Duração:
1 - 3s
2 - 6s
3 - 9s
4 - 12s
5 - 15s
6 - 18s
7 - 21s
8 - 24s
9 - 27s
10 - infinito
11...
Frequência:
1 - 1/1min
2 - 1/50s
3 - 1/40s
4 - 1/30s
5 - 1/22s
6 - 1/15s
7 - 1/10s
8 - 1/7s
9 - 1/5s
10 - 1/3s
11...</t>
      </text>
    </comment>
    <comment ref="AW2" authorId="25" shapeId="0" xr:uid="{801434C3-7C5F-4FAE-A9D3-6443DA412149}">
      <text>
        <t>[Threaded comment]
Your version of Excel allows you to read this threaded comment; however, any edits to it will get removed if the file is opened in a newer version of Excel. Learn more: https://go.microsoft.com/fwlink/?linkid=870924
Comment:
    0 - As informações do brawler/complemento não dependem de nenhuma forma da formação de inimigos ou terreno para que façam sentido
2,5 - As informações do brawler/complemento podem depender um pouco de formas de uso
5 - As informações do brawler/complemento podem depender um pouco de características de terreno, como presença de moitas/agua e/ou de formas de uso
7,5 - as informações dependem bastante de características externas como formas de uso, terreno e inimigos. A verificação humana é essencial para garantir que o brawler realmente seja bom.
10 - As informações dependem demais de fatores externos para funcionarem de forma adequada. Detalhes desses fatores devem ser destacados para o usuário.</t>
      </text>
    </comment>
    <comment ref="AY2" authorId="26" shapeId="0" xr:uid="{D4E71A50-64C1-4567-8789-2C1E288E8B33}">
      <text>
        <t>[Threaded comment]
Your version of Excel allows you to read this threaded comment; however, any edits to it will get removed if the file is opened in a newer version of Excel. Learn more: https://go.microsoft.com/fwlink/?linkid=870924
Comment:
    (frequência + potência + velocidade) / 3
Frequência:
1 - 1/1min
2 - 1/50s
3 - 1/40s
4 - 1/30s
5 - 1/22s
6 - 1/15s
7 - 1/10s
8 - 1/7s
9 - 1/5s
10 - 1/3s
11...
Potência do hp:
1 - 1-500
2 - 500-1000
3 - 1000-1500
4 - 1500 - 2000
5 - 2000 - 2500
6 - 2500 - 3000
7 - 3000 - 3500
8 - 3500 - 4000
9 - 4000 - 4500
10 - 4500 - 5000
Velocidade da cura
3 - Lenta e parcelada
6 - Lenta ou muito circunstancial
9 - Instantânea e pouco circunstancial</t>
      </text>
    </comment>
    <comment ref="AZ2" authorId="27" shapeId="0" xr:uid="{03ABB2A5-08F3-4896-AEAD-24E00D7A14FE}">
      <text>
        <t>[Threaded comment]
Your version of Excel allows you to read this threaded comment; however, any edits to it will get removed if the file is opened in a newer version of Excel. Learn more: https://go.microsoft.com/fwlink/?linkid=870924
Comment:
    (duração + potência) / 2 
potência:
1 - até 10%
2 - até 20%
3 - até 30%
4 - até 40%
5 - até 50%
6 - até 60%
7 - até 70%
8 - até 80%
9 - até 90%
10 - até 100%
duração
1 - 1s
2 - 2s
3 - 3s
4 - 4s
5 - 5s
6 - 6s
7 - 7s
8 - 8s
9 - 9s
10 - 10s</t>
      </text>
    </comment>
    <comment ref="BA2" authorId="28" shapeId="0" xr:uid="{0A72C888-5BC5-4E7B-BD8F-F41F5D9DA4D3}">
      <text>
        <t>[Threaded comment]
Your version of Excel allows you to read this threaded comment; however, any edits to it will get removed if the file is opened in a newer version of Excel. Learn more: https://go.microsoft.com/fwlink/?linkid=870924
Comment:
    (frequência + potência) / 2 
Frequência:
1 - 1/1min
2 - 1/50s
3 - 1/40s
4 - 1/30s
5 - 1/22s
6 - 1/15s
7 - 1/10s
8 - 1/7s
9 - 1/5s
10 - 1/3s
11...
Potência do escudo:
1 - 1-500
2 - 500-1000
3 - 1000-1500
4 - 1500 - 2000
5 - 2000 - 2500
6 - 2500 - 3000
7 - 3000 - 3500
8 - 3500 - 4000
9 - 4000 - 4500
10 - 4500 - 5000</t>
      </text>
    </comment>
    <comment ref="BB2" authorId="29" shapeId="0" xr:uid="{2D00D098-998F-4FC6-ADD1-D2EB4DED77DF}">
      <text>
        <t>[Threaded comment]
Your version of Excel allows you to read this threaded comment; however, any edits to it will get removed if the file is opened in a newer version of Excel. Learn more: https://go.microsoft.com/fwlink/?linkid=870924
Comment:
    (frequência + potência + duração)/3
0 - não tem essa capacidade
Frequência:
1 - 1/1min
2 - 1/50s
3 - 1/40s
4 - 1/30s
5 - 1/22s
6 - 1/15s
7 - 1/10s
8 - 1/7s
9 - 1/5s
10 - 1/3s
11...
Potência do aumento de dano:
1 - até 5%
2 - até 10%
3 - até 15%
4 - até 20%
5 - até 25%
6 - até 30%
7 - até 35%
8 - até 40%
9 - até 45%
10 - até 50%
11...
duração
1 - 1s
2 - 2s
3 - 3s
4 - 4s
5 - 5s
6 - 6s
7 - 7s
8 - 8s
9 - 9s
10 - 10s
11...</t>
      </text>
    </comment>
    <comment ref="BC2" authorId="30" shapeId="0" xr:uid="{C4AFD06C-2B21-4658-ADD6-C40F2F98AFF4}">
      <text>
        <t>[Threaded comment]
Your version of Excel allows you to read this threaded comment; however, any edits to it will get removed if the file is opened in a newer version of Excel. Learn more: https://go.microsoft.com/fwlink/?linkid=870924
Comment:
    (duração + potência) / 2 
potência:
1 - até 8%
2 - até 16%
3 - até 24%
4 - até 32%
5 - até 40%
6 - até 48%
7 - até 56%
8 - até 64%
9 - até 72%
10 - até 80%
11...
duração
1 - 1s
2 - 2s
3 - 3s
4 - 4s
5 - 5s
6 - 6s
7 - 7s
8 - 8s
9 - 9s
10 - 10s</t>
      </text>
    </comment>
    <comment ref="BD2" authorId="31" shapeId="0" xr:uid="{FFB6021E-908B-4AF0-A5FE-8D831941F692}">
      <text>
        <t>[Threaded comment]
Your version of Excel allows you to read this threaded comment; however, any edits to it will get removed if the file is opened in a newer version of Excel. Learn more: https://go.microsoft.com/fwlink/?linkid=870924
Comment:
    (frequencia + duração) / 2 
Frequência
1 - 1/1min
2 - 1/50s
3 - 1/40s
4 - 1/30s
5 - 1/22s
6 - 1/15s
7 - 1/10s
8 - 1/7s
9 - 1/5s
10 - 1/3s
11...
Duração:
1 - 1s
2 - 2s
3 - 3s
4 - 4s
5 - 5s
6 - 6s
7 - 7s
8 - 8s
9 - 9s
10 - 10s
11...</t>
      </text>
    </comment>
    <comment ref="BE2" authorId="32" shapeId="0" xr:uid="{2722AC9D-5AE4-4544-BF1F-4131218A2E78}">
      <text>
        <t>[Threaded comment]
Your version of Excel allows you to read this threaded comment; however, any edits to it will get removed if the file is opened in a newer version of Excel. Learn more: https://go.microsoft.com/fwlink/?linkid=870924
Comment:
    (frequência + duração + área) / 3
0 - não tem essa capacidade
Frequência:
1 - 1/1min
2 - 1/50s
3 - 1/40s
4 - 1/30s
5 - 1/22s
6 - 1/15s
7 - 1/10s
8 - 1/7s
9 - 1/5s
10 - 1/3s
11...
duração
1 - 1s
2 - 2s
3 - 3s
4 - 4s
5 - 5s
6 - 6s
7 - 7s
8 - 8s
9 - 9s
10 - 10s
11...
Area:
1 - diâmetro de 1 brawler
2 - diâmetro de 2 brawler
3 - diâmetro de 3 brawler
4 - diâmetro de 4 brawler
5 - diâmetro de 5 brawler
6 - diâmetro de 6 brawler
7 - diâmetro de 7 brawler
8 - diâmetro de 8 brawler9 - diâmetro de 9 brawler
10 - diâmetro de 10 brawler
11...</t>
      </text>
    </comment>
    <comment ref="BG2" authorId="33" shapeId="0" xr:uid="{F93D3B84-2D38-4D9F-846D-8AA8E5FF8F59}">
      <text>
        <t>[Threaded comment]
Your version of Excel allows you to read this threaded comment; however, any edits to it will get removed if the file is opened in a newer version of Excel. Learn more: https://go.microsoft.com/fwlink/?linkid=870924
Comment:
    0 - não aplica veneno
1 - duração de 1 hit
2 - duração de 2 hit
3 - duração de 3 hit
4 - duração de 4 hit
5 - duração de 5 hit
6 - duração de 6 hit
7 - duração de 7 hit
8 - duração de 8 hit
9 - duração de 9 hit
10 - duração de 10 hit
11...
/1 se proveniente do ataque principal
/2 se proveniente da super
/3 se proveniente de algo ainda mais ocasional</t>
      </text>
    </comment>
    <comment ref="BH2" authorId="34" shapeId="0" xr:uid="{D696D9FB-742D-476E-B67D-72CC16F3C891}">
      <text>
        <t>[Threaded comment]
Your version of Excel allows you to read this threaded comment; however, any edits to it will get removed if the file is opened in a newer version of Excel. Learn more: https://go.microsoft.com/fwlink/?linkid=870924
Comment:
    (poder-cancelamento + frequência) / 2
poder cancelamento
1 - até 11%
2 - até 22%
3 - até 33%
4 - até 44%
5 - até 55%
6 - até 66%
7 - até 77%
8 - até 88%
9 - até 99%
10 - limpeza completa
Frequência:
1 - 1/1min
2 - 1/50s
3 - 1/40s
4 - 1/30s
5 - 1/22s
6 - 1/15s
7 - 1/10s
8 - 1/7s
9 - 1/5s
10 - 1/3s
11...</t>
      </text>
    </comment>
    <comment ref="BI2" authorId="35" shapeId="0" xr:uid="{2218D972-22C3-46DC-8F32-B131A4581A8F}">
      <text>
        <t>[Threaded comment]
Your version of Excel allows you to read this threaded comment; however, any edits to it will get removed if the file is opened in a newer version of Excel. Learn more: https://go.microsoft.com/fwlink/?linkid=870924
Comment:
    1 - stun até 0.1s
2 - stun até 0.35s
3 - stun até 0.6s
4 - stun até 0.85s
5 - stun até 1.1s
6 - stun até 1.35s
7 - stun até 1.6s
8 - stun até 1.85s
9 - stun até 2.1s
10 - stun até 2.5s
11...</t>
      </text>
    </comment>
    <comment ref="BJ2" authorId="36" shapeId="0" xr:uid="{737CEDAB-B2CD-4139-9671-5187FD73764B}">
      <text>
        <t>[Threaded comment]
Your version of Excel allows you to read this threaded comment; however, any edits to it will get removed if the file is opened in a newer version of Excel. Learn more: https://go.microsoft.com/fwlink/?linkid=870924
Comment:
    (poder-cancelamento + frequência) / 2
poder cancelamento
1 - até 11%
2 - até 22%
3 - até 33%
4 - até 44%
5 - até 55%
6 - até 66%
7 - até 77%
8 - até 88%
9 - até 99%
10 - limpeza completa
Frequência:
1 - 1/1min
2 - 1/50s
3 - 1/40s
4 - 1/30s
5 - 1/22s
6 - 1/15s
7 - 1/10s
8 - 1/7s
9 - 1/5s
10 - 1/3s
11...</t>
      </text>
    </comment>
    <comment ref="BK2" authorId="37" shapeId="0" xr:uid="{A8BD1EB7-77F4-4507-A61B-65D48811D538}">
      <text>
        <t>[Threaded comment]
Your version of Excel allows you to read this threaded comment; however, any edits to it will get removed if the file is opened in a newer version of Excel. Learn more: https://go.microsoft.com/fwlink/?linkid=870924
Comment:
    (frequência + potência + duração)/3
0 - não tem essa capacidade
Frequência:
1 - 1/1min
2 - 1/50s
3 - 1/40s
4 - 1/30s
5 - 1/22s
6 - 1/15s
7 - 1/10s
8 - 1/7s
9 - 1/5s
10 - 1/3s
11...
Potência da lentidão:
1 - até 5%
2 - até 10%
3 - até 15%
4 - até 20%
5 - até 25%
6 - até 30%
7 - até 35%
8 - até 40%
9 - até 45%
10 - até 50%
11...
duração
1 - 0.5s
2 - 1s
3 - 1.5s
4 - 2s
5 - 2.5s
6 - 3s
7 - 3.5s
8 - 4s
9 - 4.5s
10 - 5s
11...</t>
      </text>
    </comment>
    <comment ref="BL2" authorId="38" shapeId="0" xr:uid="{F459013C-3D4A-46A9-9DE3-1342510CCC8F}">
      <text>
        <t>[Threaded comment]
Your version of Excel allows you to read this threaded comment; however, any edits to it will get removed if the file is opened in a newer version of Excel. Learn more: https://go.microsoft.com/fwlink/?linkid=870924
Comment:
    (poder-cancelamento + frequência) / 2
poder cancelamento
1 - até 11%
2 - até 22%
3 - até 33%
4 - até 44%
5 - até 55%
6 - até 66%
7 - até 77%
8 - até 88%
9 - até 99%
10 - limpeza completa
Frequência:
1 - 1/1min
2 - 1/50s
3 - 1/40s
4 - 1/30s
5 - 1/22s
6 - 1/15s
7 - 1/10s
8 - 1/7s
9 - 1/5s
10 - 1/3s
11...</t>
      </text>
    </comment>
    <comment ref="BM2" authorId="39" shapeId="0" xr:uid="{1415665B-CF36-4EBE-B8ED-21DF2F447D7A}">
      <text>
        <t>[Threaded comment]
Your version of Excel allows you to read this threaded comment; however, any edits to it will get removed if the file is opened in a newer version of Excel. Learn more: https://go.microsoft.com/fwlink/?linkid=870924
Comment:
    0 - o brawler não tem essa capacidade
1 - pouco e apenas de muito perto e não possui formas rápidas de se aproximar
2 - pouco e apenas de perto e não possui formas rápidas de se aproximar
3 - pouco e apenas de medio alcance e não possui formas rápidas de se aproximar
4 - pouco e apenas de perto mas possui formas de se aproximar
5 - pouco e apenas de perto mas possui formas de se aproximar rapidamente
6 - de médias/longas distâncias
7 - longas distâncias
8 - ignorando muros
9 - ignorando obstaculos a médio/longo alcance
10 - ignorando obstáculos e objetos a longo alcance
11...</t>
      </text>
    </comment>
    <comment ref="BN2" authorId="40" shapeId="0" xr:uid="{9C705216-6304-4185-94E5-E7B954736E6B}">
      <text>
        <t>[Threaded comment]
Your version of Excel allows you to read this threaded comment; however, any edits to it will get removed if the file is opened in a newer version of Excel. Learn more: https://go.microsoft.com/fwlink/?linkid=870924
Comment:
    Se o seu brawler não é especialmente afetado, assinale altamente competente (7). Caso seja (um frank por exemplo é muito afetado), tente medir o quão fácil é para o inimigo cancelar um ataque forte seu e te prejudicar.
6 - afetado levemente por demora até finalização do tiro
5 - afetado levemente numa situação específica
4 - afetado consideravelmente no super
3 - afetado consideravelmente no ataque principal
2 - afetado consideravelmente no super e ataque
-1 se dá mais de 1 segundo de tempo de reação na super
-2 se dá mais de 1 segundo de tempo de reação no ataque principal</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tc={AB2E1642-3A0B-4A20-9C8F-8F78ED56A9F3}</author>
    <author>tc={22FA8EAB-0BF0-4C88-B452-DEB573D78B5F}</author>
    <author>tc={79E19527-57B0-487C-A21E-249B5DBB6E8A}</author>
    <author>tc={45883069-573A-4134-B980-C600E8FADE1C}</author>
    <author>tc={904F2E48-9C89-4E76-8CBB-21E7B90B453F}</author>
    <author>tc={E1963810-71A3-47FD-B892-525AC5EF68DA}</author>
    <author>tc={F6B31E50-32CD-4A00-9E3B-7B149A212FBE}</author>
    <author>tc={B6004CD2-AA61-4F06-8C4E-CD3974403BAD}</author>
    <author>tc={6D49238B-CA81-4C4F-8A45-E48379EE32BC}</author>
    <author>tc={163E51A4-E6AC-4389-BB5F-D719ABD9C0EA}</author>
    <author>tc={27FBB4B4-F0DD-4002-AB14-5A232E48BF99}</author>
    <author>tc={EA90FEFE-F494-491C-A798-D7DB2A95B8ED}</author>
    <author>tc={C0360099-1A78-4D2E-8BC3-F6CBE7B3E44C}</author>
    <author>tc={C9104942-D7C6-4867-9796-2636A7F7E38B}</author>
    <author>tc={3CB3A5D1-A9C2-4290-854C-57657A943496}</author>
    <author>tc={AFED3B60-0087-487E-B9EC-1FD794AEC1B9}</author>
    <author>tc={285443DB-4C79-4ACF-89CE-EE7FBDA7EFD0}</author>
    <author>tc={603975C2-BF30-4A10-A966-9C56490B265C}</author>
    <author>tc={CE024B70-19B2-4B1D-A26B-F7283EE8AA87}</author>
    <author>tc={9CF932BD-C4CC-41A9-A718-831599F5B900}</author>
    <author>tc={9D4EC3BF-A0F8-4D3E-87E6-DE74795E64F8}</author>
    <author>tc={94C41C0B-D8FD-4B06-AD9F-AC9D12922875}</author>
    <author>tc={70B4C29F-E60F-4F49-A58C-A05A15580F7C}</author>
    <author>tc={99D28CCE-AC3A-47D4-979C-FC92549E6E0D}</author>
    <author>tc={19DB9608-BF1F-44E6-B98F-FBDEC7FB9184}</author>
    <author>tc={28139002-EB18-4688-A75F-4E348FBCA122}</author>
    <author>tc={F96B29DC-8074-4CA4-981A-58980A5A2167}</author>
    <author>tc={B79138B2-46A9-42C9-A462-221D7A4323E8}</author>
    <author>tc={D9B76794-382E-4EE2-BB2F-F82CB9EF8191}</author>
    <author>tc={72ED817C-B528-4774-B9B8-950D070DDA6D}</author>
    <author>tc={2BC0CC20-D5E3-4D43-BFD0-752239273FFA}</author>
    <author>tc={542AC181-6E25-4E62-934B-99DD4FC48517}</author>
    <author>tc={E3A6BDE2-8107-4F99-9E85-E5693FEAA65B}</author>
    <author>tc={DD29FD6D-8FD1-489A-96B7-430F19838153}</author>
    <author>tc={8F1D5CBD-0005-474F-BF16-61E14E1CA198}</author>
    <author>tc={5CEE0A1B-D0E5-4642-A980-C54E408DCBC2}</author>
    <author>tc={B9E09B1C-778E-436B-B04D-8CF39E11523C}</author>
    <author>tc={AEC72396-F141-4843-AC8D-DEEEB8E600C4}</author>
    <author>tc={36096CDB-C9E7-4084-80F0-F06FB52F0D06}</author>
    <author>tc={8EA36F2C-0057-47E3-A3AC-B3D3871A7710}</author>
    <author>tc={F172D2BD-11A9-4DFF-BE19-B0DE8E98814C}</author>
  </authors>
  <commentList>
    <comment ref="X2" authorId="0" shapeId="0" xr:uid="{AB2E1642-3A0B-4A20-9C8F-8F78ED56A9F3}">
      <text>
        <t>[Threaded comment]
Your version of Excel allows you to read this threaded comment; however, any edits to it will get removed if the file is opened in a newer version of Excel. Learn more: https://go.microsoft.com/fwlink/?linkid=870924
Comment:
    (Durabilidade_total / 1400) + (auto_heal_buffing / 3,5)</t>
      </text>
    </comment>
    <comment ref="Y2" authorId="1" shapeId="0" xr:uid="{22FA8EAB-0BF0-4C88-B452-DEB573D78B5F}">
      <text>
        <t>[Threaded comment]
Your version of Excel allows you to read this threaded comment; however, any edits to it will get removed if the file is opened in a newer version of Excel. Learn more: https://go.microsoft.com/fwlink/?linkid=870924
Comment:
    0 - Não ataca eu achokkk
1 - distância curta
2 - distância curta/normal
3 - distância normal/curta
4 - distância normal
5 - distância normal/longa
6 - distância longa/normal
7 - distância longa
8 - distância longa/mtlonga
9 - distância mtlonga/longa
10 - distância mtlonga
11...
-1 se o tiro é lento ou -2 se muito lento. Use isso para distinguir alcances aparentemente iguais.</t>
      </text>
    </comment>
    <comment ref="Z2" authorId="2" shapeId="0" xr:uid="{79E19527-57B0-487C-A21E-249B5DBB6E8A}">
      <text>
        <t>[Threaded comment]
Your version of Excel allows you to read this threaded comment; however, any edits to it will get removed if the file is opened in a newer version of Excel. Learn more: https://go.microsoft.com/fwlink/?linkid=870924
Comment:
    (frequencia + potência + versatilidade)/3
frequência:
1 - 1 min
2 - 45s
3 - 35s
4 - 30s
5 - 25s
6 - 20s
7 - 15s
8 - 10s
9 - 5s
10 - menos de 5s
11...
potência do uso:
1 - distância curta
2 - distância curta/normal
3 - distância normal/curta
4 - distância normal
5 - distância normal/longa
6 - distância longa/normal
7 - distância longa
8 - distância longa/mtlonga
9 - distância mtlonga/longa
10 - distância mtlonga
11...
versatilidade:
1 - invulnerável, mas parado e vulnerável ao voltar
2 - invulnerável, mas parado ao voltar
3 - afasta inimigos um pouco
4 - afasta medio inimigos
5 - fuga lenta sem escolher direção ou circunstancial
6 - fuga lenta escolhendo direção quase livremente
7 - fuga lenta escolhendo direção livremente
8 - fuga rápida quase sem escolher direção
9 - fuga rápida escolhendo direção quase livremente
10 - fuga rápida escolhendo direção livremente
11...</t>
      </text>
    </comment>
    <comment ref="AA2" authorId="3" shapeId="0" xr:uid="{45883069-573A-4134-B980-C600E8FADE1C}">
      <text>
        <t>[Threaded comment]
Your version of Excel allows you to read this threaded comment; however, any edits to it will get removed if the file is opened in a newer version of Excel. Learn more: https://go.microsoft.com/fwlink/?linkid=870924
Comment:
    0 - projétil único
1 - projétil único perfurante
2 - linha fina multiplos projéteis
3 - tiro em forma de cone pequeno (25° +ou-)
4 - tiro em forma retangular medio (1 brawler de largura)
5 - tiro em forma de cone médio (50° +ou-)
6 - tiro em forma retangular grande (1-2 brawler de largura)
7 - tiro em forma de cone grande (75° +ou-)
8 - tiro com amplitude maior (até 100° +ou-)
9 - tiro em todas as direções
10 - tiro frequente em todas as direções
11...</t>
      </text>
    </comment>
    <comment ref="AB2" authorId="4" shapeId="0" xr:uid="{904F2E48-9C89-4E76-8CBB-21E7B90B453F}">
      <text>
        <t>[Threaded comment]
Your version of Excel allows you to read this threaded comment; however, any edits to it will get removed if the file is opened in a newer version of Excel. Learn more: https://go.microsoft.com/fwlink/?linkid=870924
Comment:
    0 - mais de 1/30s
1 - 1/30s
2 - 1/20s
3 - 1/15s
4 - 1/10s
5 - 1/5s
6 - ataque básico frequente
7 - ataque básico e super frequente</t>
      </text>
    </comment>
    <comment ref="AC2" authorId="5" shapeId="0" xr:uid="{E1963810-71A3-47FD-B892-525AC5EF68DA}">
      <text>
        <t>[Threaded comment]
Your version of Excel allows you to read this threaded comment; however, any edits to it will get removed if the file is opened in a newer version of Excel. Learn more: https://go.microsoft.com/fwlink/?linkid=870924
Comment:
    (duração + área + efeito + distância-arremesso)/4
Efeito:
3 - efeito ignorável muitas vezes
6 - efeito ignorável raramente
9 - efeito quase nunca ignoravel
Area:
1 - diâmetro de 1 brawler
2 - diâmetro de 2 brawler
3 - diâmetro de 3 brawler
4 - diâmetro de 4 brawler
5 - diâmetro de 5 brawler
6 - diâmetro de 6 brawler
7 - diâmetro de 7 brawler
8 - diâmetro de 8 brawler9 - diâmetro de 9 brawler
10 - diâmetro de 10 brawler
11...
Duração:
1 - 1s
2 - 2s
3 - 3s
4 - 4s
5 - 5s
6 - 6s
7 - 7s
8 - 8s
9 - 9s
10 - 10s
11...
Distância arremesso
0 - Não ataca eu achokkk
1 - distância curta
2 - distância curta/normal
3 - distância normal/curta
4 - distância normal
5 - distância normal/longa
6 - distância longa/normal
7 - distância longa
8 - distância longa/mtlonga
9 - distância mtlonga/longa
10 - distância mtlonga
11...
-1 se o tiro é lento ou -2 se muito lento. Use isso para distinguir alcances aparentemente iguais.</t>
      </text>
    </comment>
    <comment ref="AD2" authorId="6" shapeId="0" xr:uid="{F6B31E50-32CD-4A00-9E3B-7B149A212FBE}">
      <text>
        <t>[Threaded comment]
Your version of Excel allows you to read this threaded comment; however, any edits to it will get removed if the file is opened in a newer version of Excel. Learn more: https://go.microsoft.com/fwlink/?linkid=870924
Comment:
    0 - o brawler não tem essa capacidade
1 - consegue manipular pouco e apenas de muito perto e não possui formas rápidas de se aproximar
2 - consegue manipular pouco e apenas de perto e não possui formas rápidas de se aproximar
3 - consegue manipular pouco e apenas de medio alcance e não possui formas rápidas de se aproximar
4 - consegue manipular pouco e apenas de perto mas possui formas de se aproximar
5 - o brawler consegue fazer de longas distancias mas manipula pouco
6 - o brawler consegue manipular muito a posição e de médias distâncias
7 - o brawler consegue manipular muito a posição e de longas distâncias
8 - o brawler consegue manipular um pouco a posição mas ignorando muros
9 - o brawler consegue manipular muito a posição e ignorando obstaculos a médio alcance
10 - o brawler consegue manipular muito a posição e ignorando obstáculos e objetos a longo alcance</t>
      </text>
    </comment>
    <comment ref="AE2" authorId="7" shapeId="0" xr:uid="{B6004CD2-AA61-4F06-8C4E-CD3974403BAD}">
      <text>
        <t>[Threaded comment]
Your version of Excel allows you to read this threaded comment; however, any edits to it will get removed if the file is opened in a newer version of Excel. Learn more: https://go.microsoft.com/fwlink/?linkid=870924
Comment:
    0 - absoluta incompetência
7 - altamente competente</t>
      </text>
    </comment>
    <comment ref="AF2" authorId="8" shapeId="0" xr:uid="{6D49238B-CA81-4C4F-8A45-E48379EE32BC}">
      <text>
        <t>[Threaded comment]
Your version of Excel allows you to read this threaded comment; however, any edits to it will get removed if the file is opened in a newer version of Excel. Learn more: https://go.microsoft.com/fwlink/?linkid=870924
Comment:
    0 - impossivel causar dano
1 - causa dano irrisório
2 - causa dano circunstancial
3 - causa dano ocasionalmente
4 - causa dano mortal as vezes
5 - causa dano mortal quase normalmente
6 - capaz de atacar o inimigo normalmente
7 - causa dano normalmente + anda na água tmb
8 - causa dano levemente superior
9 - causa dano muito maior a inimigos na água
10 - causa dano absurdamente maior
11...</t>
      </text>
    </comment>
    <comment ref="AG2" authorId="9" shapeId="0" xr:uid="{163E51A4-E6AC-4389-BB5F-D719ABD9C0EA}">
      <text>
        <t>[Threaded comment]
Your version of Excel allows you to read this threaded comment; however, any edits to it will get removed if the file is opened in a newer version of Excel. Learn more: https://go.microsoft.com/fwlink/?linkid=870924
Comment:
    0 - não quebra muros
1 - 1/35min
2 - 1/30s
3 - 1/25s
4 - 1/20s
5 - 1/15s
6 - 1/12s
7 - 1/9s
8 - 1/6s
9 - 1/3s
10 - 1/1s
11...
-1 se a destruição é pouco controlável
-2 se a destruição é quase incontrolável ou se o brawler não deveria gastar os recursos dele focando nessa destruição</t>
      </text>
    </comment>
    <comment ref="AH2" authorId="10" shapeId="0" xr:uid="{27FBB4B4-F0DD-4002-AB14-5A232E48BF99}">
      <text>
        <t>[Threaded comment]
Your version of Excel allows you to read this threaded comment; however, any edits to it will get removed if the file is opened in a newer version of Excel. Learn more: https://go.microsoft.com/fwlink/?linkid=870924
Comment:
    0 - não quebra moitas
1 - 1/25min
2 - 1/16s
3 - 1/12s
4 - 1/10s
5 - 1/8s
6 - 1/6s
7 - 1/4s
8 - 1/3s
9 - 1/2s
10 - 1/1s
11...
-1 se a destruição é pouco controlável
-2 se a destruição é quase incontrolável ou se o brawler não deveria gastar os recursos dele focando nessa destruição</t>
      </text>
    </comment>
    <comment ref="AI2" authorId="11" shapeId="0" xr:uid="{EA90FEFE-F494-491C-A798-D7DB2A95B8ED}">
      <text>
        <t>[Threaded comment]
Your version of Excel allows you to read this threaded comment; however, any edits to it will get removed if the file is opened in a newer version of Excel. Learn more: https://go.microsoft.com/fwlink/?linkid=870924
Comment:
    0 - não constroi cover
1 - 1/25min
2 - 1/16s
3 - 1/12s
4 - 1/10s
5 - 1/8s
6 - 1/6s
7 - 1/4s
8 - 1/3s
9 - 1/2s
10 - 1/1s
11...
-1 se a construção é pouco controlável
-2 se a construção é quase incontrolável ou se o brawler não deveria gastar os recursos dele focando nessa construção</t>
      </text>
    </comment>
    <comment ref="AJ2" authorId="12" shapeId="0" xr:uid="{C0360099-1A78-4D2E-8BC3-F6CBE7B3E44C}">
      <text>
        <t>[Threaded comment]
Your version of Excel allows you to read this threaded comment; however, any edits to it will get removed if the file is opened in a newer version of Excel. Learn more: https://go.microsoft.com/fwlink/?linkid=870924
Comment:
    1 - muito lento
2 - muito lento/lento
3 - lento
4 - lento/normal
5 - normal
6 - normal/rapido
7 - rapido
8 - rapido/muito rapido
9 - muito rapido
10 - suporter de velocidade
11...
-1 se a hitbox do brawler é do modelo maior</t>
      </text>
    </comment>
    <comment ref="AK2" authorId="13" shapeId="0" xr:uid="{C9104942-D7C6-4867-9796-2636A7F7E38B}">
      <text>
        <t>[Threaded comment]
Your version of Excel allows you to read this threaded comment; however, any edits to it will get removed if the file is opened in a newer version of Excel. Learn more: https://go.microsoft.com/fwlink/?linkid=870924
Comment:
    1 - ataque lento e ineficaz
2 - ataque ineficaz
3 - ataque poderoso, mas super lento
4 - ataque poderoso, mas lento
5 - ataque poderoso e rápido, mas facilmente contornável sem sequelas
6 - ataque poderoso, mas contornavel/counterável facilmente
7 - ataque poderoso. Contornavel apenas se não estiver vulnerável
8 - mesmo counters tem dificuldade em prever/reagir ao ataque antes de levar um bom dano
9 - mesmo counters recebem muito dano antes de conseguirem reagir
10 - counterar um ataque bem planejado é quase impossível para qualquer brawler
+1 se aplica velocidade após o ataque
-1 se alcance é normal/longo
-2 se o alcance é curto/normal
-3 se o alcance é muito curto/curto</t>
      </text>
    </comment>
    <comment ref="AL2" authorId="14" shapeId="0" xr:uid="{3CB3A5D1-A9C2-4290-854C-57657A943496}">
      <text>
        <t>[Threaded comment]
Your version of Excel allows you to read this threaded comment; however, any edits to it will get removed if the file is opened in a newer version of Excel. Learn more: https://go.microsoft.com/fwlink/?linkid=870924
Comment:
    *fórmula pronta, utiliza stun como força adicional</t>
      </text>
    </comment>
    <comment ref="AM2" authorId="15" shapeId="0" xr:uid="{AFED3B60-0087-487E-B9EC-1FD794AEC1B9}">
      <text>
        <t>[Threaded comment]
Your version of Excel allows you to read this threaded comment; however, any edits to it will get removed if the file is opened in a newer version of Excel. Learn more: https://go.microsoft.com/fwlink/?linkid=870924
Comment:
    1 - 1/1min
2 - 1/50s
3 - 1/40s
4 - 1/30s
5 - 1/22s
6 - 1/15s
7 - 1/10s
8 - 1/7s
9 - 1/5s
10 - 1/3s
11...</t>
      </text>
    </comment>
    <comment ref="AN2" authorId="16" shapeId="0" xr:uid="{285443DB-4C79-4ACF-89CE-EE7FBDA7EFD0}">
      <text>
        <t>[Threaded comment]
Your version of Excel allows you to read this threaded comment; however, any edits to it will get removed if the file is opened in a newer version of Excel. Learn more: https://go.microsoft.com/fwlink/?linkid=870924
Comment:
    1 - nunca acumula mais de 1
2 - raramente acumula mais de 1
3 - ocasionalmente acumula mais de 1
4 - frequentemente acumula ao menos 2
5 - raramente acumula mais de 2
6 - ocasionalmente acumula mais de 2
7 - frequentemente acumula ao menos 3
8 - ocasionalmente acumula mais de 3
9 - frequentemente acumula mais de 4
10 - frequentemente acumula mais de 5
11...</t>
      </text>
    </comment>
    <comment ref="AO2" authorId="17" shapeId="0" xr:uid="{603975C2-BF30-4A10-A966-9C56490B265C}">
      <text>
        <t>[Threaded comment]
Your version of Excel allows you to read this threaded comment; however, any edits to it will get removed if the file is opened in a newer version of Excel. Learn more: https://go.microsoft.com/fwlink/?linkid=870924
Comment:
    0 - A vida do(s) pet(s) não se deteriora sozinha com o tempo
1 - A vida do(s) pet(s) é deteriorável</t>
      </text>
    </comment>
    <comment ref="AP2" authorId="18" shapeId="0" xr:uid="{CE024B70-19B2-4B1D-A26B-F7283EE8AA87}">
      <text>
        <t>[Threaded comment]
Your version of Excel allows you to read this threaded comment; however, any edits to it will get removed if the file is opened in a newer version of Excel. Learn more: https://go.microsoft.com/fwlink/?linkid=870924
Comment:
    1 - menos de 2000
2 - entre 2000 e 3000
3 - entre 3000 e 4000
4 - entre 4000 e 5000
5 - entre 5000 e 6000
6 - entre 6000 e 7000
7 - entre 7000 e 8000
8 - entre 8000 e 9000
9 - entre 9000 e 10000
10 - entre 10000 e 11000
11...</t>
      </text>
    </comment>
    <comment ref="AQ2" authorId="19" shapeId="0" xr:uid="{9CF932BD-C4CC-41A9-A718-831599F5B900}">
      <text>
        <t>[Threaded comment]
Your version of Excel allows you to read this threaded comment; however, any edits to it will get removed if the file is opened in a newer version of Excel. Learn more: https://go.microsoft.com/fwlink/?linkid=870924
Comment:
    0 - dano médio menor de 500
1 - dano médio 500-800
2 - dano médio 800-1100
3 - dano médio 1100-1400
4 - dano médio 1400-1700
5 - dano médio 1700-2000
6 - dano médio 2000-2300
7 - dano médio 2300-2600
8 - dano médio 2900-3200
9 - dano médio 3200-3500
10 - dano médio 3500-3800
11...</t>
      </text>
    </comment>
    <comment ref="AR2" authorId="20" shapeId="0" xr:uid="{9D4EC3BF-A0F8-4D3E-87E6-DE74795E64F8}">
      <text>
        <t>[Threaded comment]
Your version of Excel allows you to read this threaded comment; however, any edits to it will get removed if the file is opened in a newer version of Excel. Learn more: https://go.microsoft.com/fwlink/?linkid=870924
Comment:
    1 - distância curta
2 - distância curta/normal
3 - distância normal/curta
4 - distância normal
5 - distância normal/longa
6 - distância longa/normal
7 - distância longa
8 - distância longa/mtlonga
9 - distância mtlonga/longa
10 - distância mtlonga
11...
-1 se o tiro é lento ou -2 se muito lento. Use isso para distinguir alcances aparentemente iguais.</t>
      </text>
    </comment>
    <comment ref="AS2" authorId="21" shapeId="0" xr:uid="{94C41C0B-D8FD-4B06-AD9F-AC9D12922875}">
      <text>
        <t>[Threaded comment]
Your version of Excel allows you to read this threaded comment; however, any edits to it will get removed if the file is opened in a newer version of Excel. Learn more: https://go.microsoft.com/fwlink/?linkid=870924
Comment:
    1 - muito lento
2 - muito lento/lento
3 - lento/normal
4 - lento
5 - lento/normal
6 - normal/lento
7 - normal
8 - normal/rapido
9 - rapido
10 - MUITO rapido
11...</t>
      </text>
    </comment>
    <comment ref="AT2" authorId="22" shapeId="0" xr:uid="{70B4C29F-E60F-4F49-A58C-A05A15580F7C}">
      <text>
        <t>[Threaded comment]
Your version of Excel allows you to read this threaded comment; however, any edits to it will get removed if the file is opened in a newer version of Excel. Learn more: https://go.microsoft.com/fwlink/?linkid=870924
Comment:
    0 - O dono não fica próximo ao pet em quase nenhum momento
2,5 - O dono fica próximo ao pet as vezes, mas raramente por muito tempo
5 - O dono fica próximo ao pet com alguma frequência, mas não é regra de usabilidade
7,5 - O dono fica próximo ao pet na maior parte do tempo, sendo grande parte da sua estratégia principal para avançar contra inimigos
10 - O dono fica próximo ao pet em quase todos os momentos. A exceção para esta regra resulta em inutilidade do pet na maior parte das vezes.</t>
      </text>
    </comment>
    <comment ref="AU2" authorId="23" shapeId="0" xr:uid="{99D28CCE-AC3A-47D4-979C-FC92549E6E0D}">
      <text>
        <t>[Threaded comment]
Your version of Excel allows you to read this threaded comment; however, any edits to it will get removed if the file is opened in a newer version of Excel. Learn more: https://go.microsoft.com/fwlink/?linkid=870924
Comment:
    0 - não é o caso para esse brawler
1 - chance levemente maior de causar dano ao todo
2 - chance relativamente maior de causar dano ao todo
3 - chance muito maior de causar mais dano ao todo
4 - atinge multiplos inimigos com a super
5 - atinge facilmente multiplos inimigos com a super
6 - atinge multiplos inimigos com o ataque principal
7 - atinge facilmente multiplos inimigos com o ataque
8 - causa mais dano por projétil
9 - causa mais do dobro de dano por projétil
10 - causa mais que o triplo do dano por projétil
11...</t>
      </text>
    </comment>
    <comment ref="AV2" authorId="24" shapeId="0" xr:uid="{19DB9608-BF1F-44E6-B98F-FBDEC7FB9184}">
      <text>
        <t>[Threaded comment]
Your version of Excel allows you to read this threaded comment; however, any edits to it will get removed if the file is opened in a newer version of Excel. Learn more: https://go.microsoft.com/fwlink/?linkid=870924
Comment:
    (precisão + Área + duração + frequência)/4
Precisão:
3 - perseguição de pets
6 - precisão em posição fixa arremessavel
10 - precisão absoluta
Area:
1 - diâmetro de 1 brawler
2 - diâmetro de 2 brawler
3 - diâmetro de 3 brawler
4 - diâmetro de 4 brawler
5 - diâmetro de 5 brawler
6 - diâmetro de 6 brawler
7 - diâmetro de 7 brawler
8 - diâmetro de 8 brawler9 - diâmetro de 9 brawler
10 - diâmetro de 10 brawler
11...
Duração:
1 - 3s
2 - 6s
3 - 9s
4 - 12s
5 - 15s
6 - 18s
7 - 21s
8 - 24s
9 - 27s
10 - infinito
11...
Frequência:
1 - 1/1min
2 - 1/50s
3 - 1/40s
4 - 1/30s
5 - 1/22s
6 - 1/15s
7 - 1/10s
8 - 1/7s
9 - 1/5s
10 - 1/3s
11...</t>
      </text>
    </comment>
    <comment ref="AW2" authorId="25" shapeId="0" xr:uid="{28139002-EB18-4688-A75F-4E348FBCA122}">
      <text>
        <t>[Threaded comment]
Your version of Excel allows you to read this threaded comment; however, any edits to it will get removed if the file is opened in a newer version of Excel. Learn more: https://go.microsoft.com/fwlink/?linkid=870924
Comment:
    0 - As informações do brawler/complemento não dependem de nenhuma forma da formação de inimigos ou terreno para que façam sentido
2,5 - As informações do brawler/complemento podem depender um pouco de formas de uso
5 - As informações do brawler/complemento podem depender um pouco de características de terreno, como presença de moitas/agua e/ou de formas de uso
7,5 - as informações dependem bastante de características externas como formas de uso, terreno e inimigos. A verificação humana é essencial para garantir que o brawler realmente seja bom.
10 - As informações dependem demais de fatores externos para funcionarem de forma adequada. Detalhes desses fatores devem ser destacados para o usuário.</t>
      </text>
    </comment>
    <comment ref="AY2" authorId="26" shapeId="0" xr:uid="{F96B29DC-8074-4CA4-981A-58980A5A2167}">
      <text>
        <t>[Threaded comment]
Your version of Excel allows you to read this threaded comment; however, any edits to it will get removed if the file is opened in a newer version of Excel. Learn more: https://go.microsoft.com/fwlink/?linkid=870924
Comment:
    (frequência + potência + velocidade) / 3
Frequência:
1 - 1/1min
2 - 1/50s
3 - 1/40s
4 - 1/30s
5 - 1/22s
6 - 1/15s
7 - 1/10s
8 - 1/7s
9 - 1/5s
10 - 1/3s
11...
Potência do hp:
1 - 1-500
2 - 500-1000
3 - 1000-1500
4 - 1500 - 2000
5 - 2000 - 2500
6 - 2500 - 3000
7 - 3000 - 3500
8 - 3500 - 4000
9 - 4000 - 4500
10 - 4500 - 5000
Velocidade da cura
3 - Lenta e parcelada
6 - Lenta ou muito circunstancial
9 - Instantânea e pouco circunstancial</t>
      </text>
    </comment>
    <comment ref="AZ2" authorId="27" shapeId="0" xr:uid="{B79138B2-46A9-42C9-A462-221D7A4323E8}">
      <text>
        <t>[Threaded comment]
Your version of Excel allows you to read this threaded comment; however, any edits to it will get removed if the file is opened in a newer version of Excel. Learn more: https://go.microsoft.com/fwlink/?linkid=870924
Comment:
    (duração + potência) / 2 
potência:
1 - até 10%
2 - até 20%
3 - até 30%
4 - até 40%
5 - até 50%
6 - até 60%
7 - até 70%
8 - até 80%
9 - até 90%
10 - até 100%
duração
1 - 1s
2 - 2s
3 - 3s
4 - 4s
5 - 5s
6 - 6s
7 - 7s
8 - 8s
9 - 9s
10 - 10s</t>
      </text>
    </comment>
    <comment ref="BA2" authorId="28" shapeId="0" xr:uid="{D9B76794-382E-4EE2-BB2F-F82CB9EF8191}">
      <text>
        <t>[Threaded comment]
Your version of Excel allows you to read this threaded comment; however, any edits to it will get removed if the file is opened in a newer version of Excel. Learn more: https://go.microsoft.com/fwlink/?linkid=870924
Comment:
    (frequência + potência) / 2 
Frequência:
1 - 1/1min
2 - 1/50s
3 - 1/40s
4 - 1/30s
5 - 1/22s
6 - 1/15s
7 - 1/10s
8 - 1/7s
9 - 1/5s
10 - 1/3s
11...
Potência do escudo:
1 - 1-500
2 - 500-1000
3 - 1000-1500
4 - 1500 - 2000
5 - 2000 - 2500
6 - 2500 - 3000
7 - 3000 - 3500
8 - 3500 - 4000
9 - 4000 - 4500
10 - 4500 - 5000</t>
      </text>
    </comment>
    <comment ref="BB2" authorId="29" shapeId="0" xr:uid="{72ED817C-B528-4774-B9B8-950D070DDA6D}">
      <text>
        <t>[Threaded comment]
Your version of Excel allows you to read this threaded comment; however, any edits to it will get removed if the file is opened in a newer version of Excel. Learn more: https://go.microsoft.com/fwlink/?linkid=870924
Comment:
    (frequência + potência + duração)/3
0 - não tem essa capacidade
Frequência:
1 - 1/1min
2 - 1/50s
3 - 1/40s
4 - 1/30s
5 - 1/22s
6 - 1/15s
7 - 1/10s
8 - 1/7s
9 - 1/5s
10 - 1/3s
11...
Potência do aumento de dano:
1 - até 5%
2 - até 10%
3 - até 15%
4 - até 20%
5 - até 25%
6 - até 30%
7 - até 35%
8 - até 40%
9 - até 45%
10 - até 50%
11...
duração
1 - 1s
2 - 2s
3 - 3s
4 - 4s
5 - 5s
6 - 6s
7 - 7s
8 - 8s
9 - 9s
10 - 10s
11...</t>
      </text>
    </comment>
    <comment ref="BC2" authorId="30" shapeId="0" xr:uid="{2BC0CC20-D5E3-4D43-BFD0-752239273FFA}">
      <text>
        <t>[Threaded comment]
Your version of Excel allows you to read this threaded comment; however, any edits to it will get removed if the file is opened in a newer version of Excel. Learn more: https://go.microsoft.com/fwlink/?linkid=870924
Comment:
    (duração + potência) / 2 
potência:
1 - até 8%
2 - até 16%
3 - até 24%
4 - até 32%
5 - até 40%
6 - até 48%
7 - até 56%
8 - até 64%
9 - até 72%
10 - até 80%
11...
duração
1 - 1s
2 - 2s
3 - 3s
4 - 4s
5 - 5s
6 - 6s
7 - 7s
8 - 8s
9 - 9s
10 - 10s</t>
      </text>
    </comment>
    <comment ref="BD2" authorId="31" shapeId="0" xr:uid="{542AC181-6E25-4E62-934B-99DD4FC48517}">
      <text>
        <t>[Threaded comment]
Your version of Excel allows you to read this threaded comment; however, any edits to it will get removed if the file is opened in a newer version of Excel. Learn more: https://go.microsoft.com/fwlink/?linkid=870924
Comment:
    (frequencia + duração) / 2 
Frequência
1 - 1/1min
2 - 1/50s
3 - 1/40s
4 - 1/30s
5 - 1/22s
6 - 1/15s
7 - 1/10s
8 - 1/7s
9 - 1/5s
10 - 1/3s
11...
Duração:
1 - 1s
2 - 2s
3 - 3s
4 - 4s
5 - 5s
6 - 6s
7 - 7s
8 - 8s
9 - 9s
10 - 10s
11...</t>
      </text>
    </comment>
    <comment ref="BE2" authorId="32" shapeId="0" xr:uid="{E3A6BDE2-8107-4F99-9E85-E5693FEAA65B}">
      <text>
        <t>[Threaded comment]
Your version of Excel allows you to read this threaded comment; however, any edits to it will get removed if the file is opened in a newer version of Excel. Learn more: https://go.microsoft.com/fwlink/?linkid=870924
Comment:
    (frequência + duração + área) / 3
0 - não tem essa capacidade
Frequência:
1 - 1/1min
2 - 1/50s
3 - 1/40s
4 - 1/30s
5 - 1/22s
6 - 1/15s
7 - 1/10s
8 - 1/7s
9 - 1/5s
10 - 1/3s
11...
duração
1 - 1s
2 - 2s
3 - 3s
4 - 4s
5 - 5s
6 - 6s
7 - 7s
8 - 8s
9 - 9s
10 - 10s
11...
Area:
1 - diâmetro de 1 brawler
2 - diâmetro de 2 brawler
3 - diâmetro de 3 brawler
4 - diâmetro de 4 brawler
5 - diâmetro de 5 brawler
6 - diâmetro de 6 brawler
7 - diâmetro de 7 brawler
8 - diâmetro de 8 brawler9 - diâmetro de 9 brawler
10 - diâmetro de 10 brawler
11...</t>
      </text>
    </comment>
    <comment ref="BG2" authorId="33" shapeId="0" xr:uid="{DD29FD6D-8FD1-489A-96B7-430F19838153}">
      <text>
        <t>[Threaded comment]
Your version of Excel allows you to read this threaded comment; however, any edits to it will get removed if the file is opened in a newer version of Excel. Learn more: https://go.microsoft.com/fwlink/?linkid=870924
Comment:
    0 - não aplica veneno
1 - duração de 1 hit
2 - duração de 2 hit
3 - duração de 3 hit
4 - duração de 4 hit
5 - duração de 5 hit
6 - duração de 6 hit
7 - duração de 7 hit
8 - duração de 8 hit
9 - duração de 9 hit
10 - duração de 10 hit
11...
/1 se proveniente do ataque principal
/2 se proveniente da super
/3 se proveniente de algo ainda mais ocasional</t>
      </text>
    </comment>
    <comment ref="BH2" authorId="34" shapeId="0" xr:uid="{8F1D5CBD-0005-474F-BF16-61E14E1CA198}">
      <text>
        <t>[Threaded comment]
Your version of Excel allows you to read this threaded comment; however, any edits to it will get removed if the file is opened in a newer version of Excel. Learn more: https://go.microsoft.com/fwlink/?linkid=870924
Comment:
    (poder-cancelamento + frequência) / 2
poder cancelamento
1 - até 11%
2 - até 22%
3 - até 33%
4 - até 44%
5 - até 55%
6 - até 66%
7 - até 77%
8 - até 88%
9 - até 99%
10 - limpeza completa
Frequência:
1 - 1/1min
2 - 1/50s
3 - 1/40s
4 - 1/30s
5 - 1/22s
6 - 1/15s
7 - 1/10s
8 - 1/7s
9 - 1/5s
10 - 1/3s
11...</t>
      </text>
    </comment>
    <comment ref="BI2" authorId="35" shapeId="0" xr:uid="{5CEE0A1B-D0E5-4642-A980-C54E408DCBC2}">
      <text>
        <t>[Threaded comment]
Your version of Excel allows you to read this threaded comment; however, any edits to it will get removed if the file is opened in a newer version of Excel. Learn more: https://go.microsoft.com/fwlink/?linkid=870924
Comment:
    1 - stun até 0.1s
2 - stun até 0.35s
3 - stun até 0.6s
4 - stun até 0.85s
5 - stun até 1.1s
6 - stun até 1.35s
7 - stun até 1.6s
8 - stun até 1.85s
9 - stun até 2.1s
10 - stun até 2.5s
11...</t>
      </text>
    </comment>
    <comment ref="BJ2" authorId="36" shapeId="0" xr:uid="{B9E09B1C-778E-436B-B04D-8CF39E11523C}">
      <text>
        <t>[Threaded comment]
Your version of Excel allows you to read this threaded comment; however, any edits to it will get removed if the file is opened in a newer version of Excel. Learn more: https://go.microsoft.com/fwlink/?linkid=870924
Comment:
    (poder-cancelamento + frequência) / 2
poder cancelamento
1 - até 11%
2 - até 22%
3 - até 33%
4 - até 44%
5 - até 55%
6 - até 66%
7 - até 77%
8 - até 88%
9 - até 99%
10 - limpeza completa
Frequência:
1 - 1/1min
2 - 1/50s
3 - 1/40s
4 - 1/30s
5 - 1/22s
6 - 1/15s
7 - 1/10s
8 - 1/7s
9 - 1/5s
10 - 1/3s
11...</t>
      </text>
    </comment>
    <comment ref="BK2" authorId="37" shapeId="0" xr:uid="{AEC72396-F141-4843-AC8D-DEEEB8E600C4}">
      <text>
        <t>[Threaded comment]
Your version of Excel allows you to read this threaded comment; however, any edits to it will get removed if the file is opened in a newer version of Excel. Learn more: https://go.microsoft.com/fwlink/?linkid=870924
Comment:
    (frequência + potência + duração)/3
0 - não tem essa capacidade
Frequência:
1 - 1/1min
2 - 1/50s
3 - 1/40s
4 - 1/30s
5 - 1/22s
6 - 1/15s
7 - 1/10s
8 - 1/7s
9 - 1/5s
10 - 1/3s
11...
Potência da lentidão:
1 - até 5%
2 - até 10%
3 - até 15%
4 - até 20%
5 - até 25%
6 - até 30%
7 - até 35%
8 - até 40%
9 - até 45%
10 - até 50%
11...
duração
1 - 0.5s
2 - 1s
3 - 1.5s
4 - 2s
5 - 2.5s
6 - 3s
7 - 3.5s
8 - 4s
9 - 4.5s
10 - 5s
11...</t>
      </text>
    </comment>
    <comment ref="BL2" authorId="38" shapeId="0" xr:uid="{36096CDB-C9E7-4084-80F0-F06FB52F0D06}">
      <text>
        <t>[Threaded comment]
Your version of Excel allows you to read this threaded comment; however, any edits to it will get removed if the file is opened in a newer version of Excel. Learn more: https://go.microsoft.com/fwlink/?linkid=870924
Comment:
    (poder-cancelamento + frequência) / 2
poder cancelamento
1 - até 11%
2 - até 22%
3 - até 33%
4 - até 44%
5 - até 55%
6 - até 66%
7 - até 77%
8 - até 88%
9 - até 99%
10 - limpeza completa
Frequência:
1 - 1/1min
2 - 1/50s
3 - 1/40s
4 - 1/30s
5 - 1/22s
6 - 1/15s
7 - 1/10s
8 - 1/7s
9 - 1/5s
10 - 1/3s
11...</t>
      </text>
    </comment>
    <comment ref="BM2" authorId="39" shapeId="0" xr:uid="{8EA36F2C-0057-47E3-A3AC-B3D3871A7710}">
      <text>
        <t>[Threaded comment]
Your version of Excel allows you to read this threaded comment; however, any edits to it will get removed if the file is opened in a newer version of Excel. Learn more: https://go.microsoft.com/fwlink/?linkid=870924
Comment:
    0 - o brawler não tem essa capacidade
1 - pouco e apenas de muito perto e não possui formas rápidas de se aproximar
2 - pouco e apenas de perto e não possui formas rápidas de se aproximar
3 - pouco e apenas de medio alcance e não possui formas rápidas de se aproximar
4 - pouco e apenas de perto mas possui formas de se aproximar
5 - pouco e apenas de perto mas possui formas de se aproximar rapidamente
6 - de médias/longas distâncias
7 - longas distâncias
8 - ignorando muros
9 - ignorando obstaculos a médio/longo alcance
10 - ignorando obstáculos e objetos a longo alcance
11...</t>
      </text>
    </comment>
    <comment ref="BN2" authorId="40" shapeId="0" xr:uid="{F172D2BD-11A9-4DFF-BE19-B0DE8E98814C}">
      <text>
        <t>[Threaded comment]
Your version of Excel allows you to read this threaded comment; however, any edits to it will get removed if the file is opened in a newer version of Excel. Learn more: https://go.microsoft.com/fwlink/?linkid=870924
Comment:
    Se o seu brawler não é especialmente afetado, assinale altamente competente (7). Caso seja (um frank por exemplo é muito afetado), tente medir o quão fácil é para o inimigo cancelar um ataque forte seu e te prejudicar.
6 - afetado levemente por demora até finalização do tiro
5 - afetado levemente numa situação específica
4 - afetado consideravelmente no super
3 - afetado consideravelmente no ataque principal
2 - afetado consideravelmente no super e ataque
-1 se dá mais de 1 segundo de tempo de reação na super
-2 se dá mais de 1 segundo de tempo de reação no ataque principal</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tc={674B3F5C-E5C7-4B63-AA46-1B62E367D55A}</author>
    <author>tc={F9BF6594-1646-46B5-A4F2-2DDAD507DF90}</author>
    <author>tc={1011E8A4-5596-4CE5-BAD8-4578D22FCF54}</author>
    <author>tc={C145578B-5512-4AA2-820B-BCA2A0D4545C}</author>
    <author>tc={F836B74D-3E97-41F8-99EB-DE92B9A78848}</author>
    <author>tc={66582112-5DD0-44B1-A89A-91B44C8873F0}</author>
    <author>tc={4BE59F1C-2106-4F34-941B-115D4300FD04}</author>
    <author>tc={7B63A108-32BF-4212-8910-2ECA0572BD5C}</author>
    <author>tc={5DA76403-6ADE-483D-8544-82546738F873}</author>
    <author>tc={A4D7D6D7-A68C-4104-8980-C585BAC357ED}</author>
    <author>tc={4548AA0A-89B4-483D-A7A2-3F6F592D9E01}</author>
    <author>tc={61BA3D98-A8FF-4A55-A708-40DBD2666A90}</author>
    <author>tc={76625504-22D5-414F-A2BA-4379DDD33CF9}</author>
    <author>tc={3710AAAA-293D-45C1-8852-D8D9FD0ED2BD}</author>
    <author>tc={BBEA535B-9252-4600-BDE0-1F0E274F9F3A}</author>
    <author>tc={643ECF7B-FEDA-4492-BD6B-FEC735BED398}</author>
    <author>tc={6D898BC5-F881-4F6A-A144-000F7BBAFD0D}</author>
    <author>tc={A015F4EA-1EAC-4243-9C3E-E714AAF390CE}</author>
    <author>tc={F2536301-EC63-4CB2-B160-02E3BE9CEEF7}</author>
    <author>tc={F42E8347-FBFF-4DE0-8B3F-C955D0045FDE}</author>
    <author>tc={12F5F743-9170-47B2-924F-27A52C4D9E82}</author>
    <author>tc={0FC90FF2-C738-4DF1-B747-4ABDE811467C}</author>
    <author>tc={3B2F8DEA-8476-41F3-BC32-9ACC79D967F9}</author>
    <author>tc={201287DC-A221-4269-B775-EB831475F1F6}</author>
    <author>tc={ECABA7EF-D5C2-485F-946F-66A47C09E158}</author>
    <author>tc={6B6B2882-DBA0-4FFF-A701-DCB542C42CB2}</author>
    <author>tc={8A69B6AF-9FB0-4B04-A433-73A1BC5DFDE7}</author>
    <author>tc={D4E26227-2DC2-4870-BEEE-A89E41A02124}</author>
    <author>tc={55DDC066-256F-40C2-A7BE-E51D47E50174}</author>
    <author>tc={199F4209-F855-4DCD-AECD-3B28E2FE8C9A}</author>
    <author>tc={9F689B5A-AFC5-42B7-87ED-8E35135885B1}</author>
    <author>tc={F9F95B5A-0770-4E64-9084-D80CDABBE688}</author>
    <author>tc={33377813-5443-426B-9115-2EFEC1C866FB}</author>
    <author>tc={839A561C-C6FA-440D-BC30-E684AB6FB836}</author>
    <author>tc={928E070D-0DB3-4D83-85DB-354FB216FAE0}</author>
    <author>tc={F2DD9A7C-F727-4CB5-A79F-466EE60652B8}</author>
    <author>tc={9E6746CF-83AA-4F85-92DB-03259C1D3C9B}</author>
    <author>tc={9E1D11A0-DDB4-446C-8CDF-55B9F87E9F1D}</author>
    <author>tc={C7B7DFB8-8909-4A2F-9649-19B6AAD5C7D6}</author>
    <author>tc={7FE00BD2-15A5-462D-AC23-95DE2E163889}</author>
    <author>tc={012F43A9-89DA-45CE-ABA6-35AAD60F0BB4}</author>
  </authors>
  <commentList>
    <comment ref="X2" authorId="0" shapeId="0" xr:uid="{674B3F5C-E5C7-4B63-AA46-1B62E367D55A}">
      <text>
        <t>[Threaded comment]
Your version of Excel allows you to read this threaded comment; however, any edits to it will get removed if the file is opened in a newer version of Excel. Learn more: https://go.microsoft.com/fwlink/?linkid=870924
Comment:
    (Durabilidade_total / 1400) + (auto_heal_buffing / 3,5)</t>
      </text>
    </comment>
    <comment ref="Y2" authorId="1" shapeId="0" xr:uid="{F9BF6594-1646-46B5-A4F2-2DDAD507DF90}">
      <text>
        <t>[Threaded comment]
Your version of Excel allows you to read this threaded comment; however, any edits to it will get removed if the file is opened in a newer version of Excel. Learn more: https://go.microsoft.com/fwlink/?linkid=870924
Comment:
    0 - Não ataca eu achokkk
1 - distância curta
2 - distância curta/normal
3 - distância normal/curta
4 - distância normal
5 - distância normal/longa
6 - distância longa/normal
7 - distância longa
8 - distância longa/mtlonga
9 - distância mtlonga/longa
10 - distância mtlonga
11...
-1 se o tiro é lento ou -2 se muito lento. Use isso para distinguir alcances aparentemente iguais.</t>
      </text>
    </comment>
    <comment ref="Z2" authorId="2" shapeId="0" xr:uid="{1011E8A4-5596-4CE5-BAD8-4578D22FCF54}">
      <text>
        <t>[Threaded comment]
Your version of Excel allows you to read this threaded comment; however, any edits to it will get removed if the file is opened in a newer version of Excel. Learn more: https://go.microsoft.com/fwlink/?linkid=870924
Comment:
    (frequencia + potência + versatilidade)/3
frequência:
1 - 1 min
2 - 45s
3 - 35s
4 - 30s
5 - 25s
6 - 20s
7 - 15s
8 - 10s
9 - 5s
10 - menos de 5s
11...
potência do uso:
1 - distância curta
2 - distância curta/normal
3 - distância normal/curta
4 - distância normal
5 - distância normal/longa
6 - distância longa/normal
7 - distância longa
8 - distância longa/mtlonga
9 - distância mtlonga/longa
10 - distância mtlonga
11...
versatilidade:
1 - invulnerável, mas parado e vulnerável ao voltar
2 - invulnerável, mas parado ao voltar
3 - afasta inimigos um pouco
4 - afasta medio inimigos
5 - fuga lenta sem escolher direção ou circunstancial
6 - fuga lenta escolhendo direção quase livremente
7 - fuga lenta escolhendo direção livremente
8 - fuga rápida quase sem escolher direção
9 - fuga rápida escolhendo direção quase livremente
10 - fuga rápida escolhendo direção livremente
11...</t>
      </text>
    </comment>
    <comment ref="AA2" authorId="3" shapeId="0" xr:uid="{C145578B-5512-4AA2-820B-BCA2A0D4545C}">
      <text>
        <t>[Threaded comment]
Your version of Excel allows you to read this threaded comment; however, any edits to it will get removed if the file is opened in a newer version of Excel. Learn more: https://go.microsoft.com/fwlink/?linkid=870924
Comment:
    0 - projétil único
1 - projétil único perfurante
2 - linha fina multiplos projéteis
3 - tiro em forma de cone pequeno (25° +ou-)
4 - tiro em forma retangular medio (1 brawler de largura)
5 - tiro em forma de cone médio (50° +ou-)
6 - tiro em forma retangular grande (1-2 brawler de largura)
7 - tiro em forma de cone grande (75° +ou-)
8 - tiro com amplitude maior (até 100° +ou-)
9 - tiro em todas as direções
10 - tiro frequente em todas as direções
11...</t>
      </text>
    </comment>
    <comment ref="AB2" authorId="4" shapeId="0" xr:uid="{F836B74D-3E97-41F8-99EB-DE92B9A78848}">
      <text>
        <t>[Threaded comment]
Your version of Excel allows you to read this threaded comment; however, any edits to it will get removed if the file is opened in a newer version of Excel. Learn more: https://go.microsoft.com/fwlink/?linkid=870924
Comment:
    0 - mais de 1/30s
1 - 1/30s
2 - 1/20s
3 - 1/15s
4 - 1/10s
5 - 1/5s
6 - ataque básico frequente
7 - ataque básico e super frequente</t>
      </text>
    </comment>
    <comment ref="AC2" authorId="5" shapeId="0" xr:uid="{66582112-5DD0-44B1-A89A-91B44C8873F0}">
      <text>
        <t>[Threaded comment]
Your version of Excel allows you to read this threaded comment; however, any edits to it will get removed if the file is opened in a newer version of Excel. Learn more: https://go.microsoft.com/fwlink/?linkid=870924
Comment:
    (duração + área + efeito + distância-arremesso)/4
Efeito:
3 - efeito ignorável muitas vezes
6 - efeito ignorável raramente
9 - efeito quase nunca ignoravel
Area:
1 - diâmetro de 1 brawler
2 - diâmetro de 2 brawler
3 - diâmetro de 3 brawler
4 - diâmetro de 4 brawler
5 - diâmetro de 5 brawler
6 - diâmetro de 6 brawler
7 - diâmetro de 7 brawler
8 - diâmetro de 8 brawler9 - diâmetro de 9 brawler
10 - diâmetro de 10 brawler
11...
Duração:
1 - 1s
2 - 2s
3 - 3s
4 - 4s
5 - 5s
6 - 6s
7 - 7s
8 - 8s
9 - 9s
10 - 10s
11...
Distância arremesso
0 - Não ataca eu achokkk
1 - distância curta
2 - distância curta/normal
3 - distância normal/curta
4 - distância normal
5 - distância normal/longa
6 - distância longa/normal
7 - distância longa
8 - distância longa/mtlonga
9 - distância mtlonga/longa
10 - distância mtlonga
11...
-1 se o tiro é lento ou -2 se muito lento. Use isso para distinguir alcances aparentemente iguais.</t>
      </text>
    </comment>
    <comment ref="AD2" authorId="6" shapeId="0" xr:uid="{4BE59F1C-2106-4F34-941B-115D4300FD04}">
      <text>
        <t>[Threaded comment]
Your version of Excel allows you to read this threaded comment; however, any edits to it will get removed if the file is opened in a newer version of Excel. Learn more: https://go.microsoft.com/fwlink/?linkid=870924
Comment:
    0 - o brawler não tem essa capacidade
1 - consegue manipular pouco e apenas de muito perto e não possui formas rápidas de se aproximar
2 - consegue manipular pouco e apenas de perto e não possui formas rápidas de se aproximar
3 - consegue manipular pouco e apenas de medio alcance e não possui formas rápidas de se aproximar
4 - consegue manipular pouco e apenas de perto mas possui formas de se aproximar
5 - o brawler consegue fazer de longas distancias mas manipula pouco
6 - o brawler consegue manipular muito a posição e de médias distâncias
7 - o brawler consegue manipular muito a posição e de longas distâncias
8 - o brawler consegue manipular um pouco a posição mas ignorando muros
9 - o brawler consegue manipular muito a posição e ignorando obstaculos a médio alcance
10 - o brawler consegue manipular muito a posição e ignorando obstáculos e objetos a longo alcance</t>
      </text>
    </comment>
    <comment ref="AE2" authorId="7" shapeId="0" xr:uid="{7B63A108-32BF-4212-8910-2ECA0572BD5C}">
      <text>
        <t>[Threaded comment]
Your version of Excel allows you to read this threaded comment; however, any edits to it will get removed if the file is opened in a newer version of Excel. Learn more: https://go.microsoft.com/fwlink/?linkid=870924
Comment:
    0 - absoluta incompetência
7 - altamente competente</t>
      </text>
    </comment>
    <comment ref="AF2" authorId="8" shapeId="0" xr:uid="{5DA76403-6ADE-483D-8544-82546738F873}">
      <text>
        <t>[Threaded comment]
Your version of Excel allows you to read this threaded comment; however, any edits to it will get removed if the file is opened in a newer version of Excel. Learn more: https://go.microsoft.com/fwlink/?linkid=870924
Comment:
    0 - impossivel causar dano
1 - causa dano irrisório
2 - causa dano circunstancial
3 - causa dano ocasionalmente
4 - causa dano mortal as vezes
5 - causa dano mortal quase normalmente
6 - capaz de atacar o inimigo normalmente
7 - causa dano normalmente + anda na água tmb
8 - causa dano levemente superior
9 - causa dano muito maior a inimigos na água
10 - causa dano absurdamente maior
11...</t>
      </text>
    </comment>
    <comment ref="AG2" authorId="9" shapeId="0" xr:uid="{A4D7D6D7-A68C-4104-8980-C585BAC357ED}">
      <text>
        <t>[Threaded comment]
Your version of Excel allows you to read this threaded comment; however, any edits to it will get removed if the file is opened in a newer version of Excel. Learn more: https://go.microsoft.com/fwlink/?linkid=870924
Comment:
    0 - não quebra muros
1 - 1/35min
2 - 1/30s
3 - 1/25s
4 - 1/20s
5 - 1/15s
6 - 1/12s
7 - 1/9s
8 - 1/6s
9 - 1/3s
10 - 1/1s
11...
-1 se a destruição é pouco controlável
-2 se a destruição é quase incontrolável ou se o brawler não deveria gastar os recursos dele focando nessa destruição</t>
      </text>
    </comment>
    <comment ref="AH2" authorId="10" shapeId="0" xr:uid="{4548AA0A-89B4-483D-A7A2-3F6F592D9E01}">
      <text>
        <t>[Threaded comment]
Your version of Excel allows you to read this threaded comment; however, any edits to it will get removed if the file is opened in a newer version of Excel. Learn more: https://go.microsoft.com/fwlink/?linkid=870924
Comment:
    0 - não quebra moitas
1 - 1/25min
2 - 1/16s
3 - 1/12s
4 - 1/10s
5 - 1/8s
6 - 1/6s
7 - 1/4s
8 - 1/3s
9 - 1/2s
10 - 1/1s
11...
-1 se a destruição é pouco controlável
-2 se a destruição é quase incontrolável ou se o brawler não deveria gastar os recursos dele focando nessa destruição</t>
      </text>
    </comment>
    <comment ref="AI2" authorId="11" shapeId="0" xr:uid="{61BA3D98-A8FF-4A55-A708-40DBD2666A90}">
      <text>
        <t>[Threaded comment]
Your version of Excel allows you to read this threaded comment; however, any edits to it will get removed if the file is opened in a newer version of Excel. Learn more: https://go.microsoft.com/fwlink/?linkid=870924
Comment:
    0 - não constroi cover
1 - 1/25min
2 - 1/16s
3 - 1/12s
4 - 1/10s
5 - 1/8s
6 - 1/6s
7 - 1/4s
8 - 1/3s
9 - 1/2s
10 - 1/1s
11...
-1 se a construção é pouco controlável
-2 se a construção é quase incontrolável ou se o brawler não deveria gastar os recursos dele focando nessa construção</t>
      </text>
    </comment>
    <comment ref="AJ2" authorId="12" shapeId="0" xr:uid="{76625504-22D5-414F-A2BA-4379DDD33CF9}">
      <text>
        <t>[Threaded comment]
Your version of Excel allows you to read this threaded comment; however, any edits to it will get removed if the file is opened in a newer version of Excel. Learn more: https://go.microsoft.com/fwlink/?linkid=870924
Comment:
    1 - muito lento
2 - muito lento/lento
3 - lento
4 - lento/normal
5 - normal
6 - normal/rapido
7 - rapido
8 - rapido/muito rapido
9 - muito rapido
10 - suporter de velocidade
11...
-1 se a hitbox do brawler é do modelo maior</t>
      </text>
    </comment>
    <comment ref="AK2" authorId="13" shapeId="0" xr:uid="{3710AAAA-293D-45C1-8852-D8D9FD0ED2BD}">
      <text>
        <t>[Threaded comment]
Your version of Excel allows you to read this threaded comment; however, any edits to it will get removed if the file is opened in a newer version of Excel. Learn more: https://go.microsoft.com/fwlink/?linkid=870924
Comment:
    1 - ataque lento e ineficaz
2 - ataque ineficaz
3 - ataque poderoso, mas super lento
4 - ataque poderoso, mas lento
5 - ataque poderoso e rápido, mas facilmente contornável sem sequelas
6 - ataque poderoso, mas contornavel/counterável facilmente
7 - ataque poderoso. Contornavel apenas se não estiver vulnerável
8 - mesmo counters tem dificuldade em prever/reagir ao ataque antes de levar um bom dano
9 - mesmo counters recebem muito dano antes de conseguirem reagir
10 - counterar um ataque bem planejado é quase impossível para qualquer brawler
+1 se aplica velocidade após o ataque
-1 se alcance é normal/longo
-2 se o alcance é curto/normal
-3 se o alcance é muito curto/curto</t>
      </text>
    </comment>
    <comment ref="AL2" authorId="14" shapeId="0" xr:uid="{BBEA535B-9252-4600-BDE0-1F0E274F9F3A}">
      <text>
        <t>[Threaded comment]
Your version of Excel allows you to read this threaded comment; however, any edits to it will get removed if the file is opened in a newer version of Excel. Learn more: https://go.microsoft.com/fwlink/?linkid=870924
Comment:
    *fórmula pronta, utiliza stun como força adicional</t>
      </text>
    </comment>
    <comment ref="AM2" authorId="15" shapeId="0" xr:uid="{643ECF7B-FEDA-4492-BD6B-FEC735BED398}">
      <text>
        <t>[Threaded comment]
Your version of Excel allows you to read this threaded comment; however, any edits to it will get removed if the file is opened in a newer version of Excel. Learn more: https://go.microsoft.com/fwlink/?linkid=870924
Comment:
    1 - 1/1min
2 - 1/50s
3 - 1/40s
4 - 1/30s
5 - 1/22s
6 - 1/15s
7 - 1/10s
8 - 1/7s
9 - 1/5s
10 - 1/3s
11...</t>
      </text>
    </comment>
    <comment ref="AN2" authorId="16" shapeId="0" xr:uid="{6D898BC5-F881-4F6A-A144-000F7BBAFD0D}">
      <text>
        <t>[Threaded comment]
Your version of Excel allows you to read this threaded comment; however, any edits to it will get removed if the file is opened in a newer version of Excel. Learn more: https://go.microsoft.com/fwlink/?linkid=870924
Comment:
    1 - nunca acumula mais de 1
2 - raramente acumula mais de 1
3 - ocasionalmente acumula mais de 1
4 - frequentemente acumula ao menos 2
5 - raramente acumula mais de 2
6 - ocasionalmente acumula mais de 2
7 - frequentemente acumula ao menos 3
8 - ocasionalmente acumula mais de 3
9 - frequentemente acumula mais de 4
10 - frequentemente acumula mais de 5
11...</t>
      </text>
    </comment>
    <comment ref="AO2" authorId="17" shapeId="0" xr:uid="{A015F4EA-1EAC-4243-9C3E-E714AAF390CE}">
      <text>
        <t>[Threaded comment]
Your version of Excel allows you to read this threaded comment; however, any edits to it will get removed if the file is opened in a newer version of Excel. Learn more: https://go.microsoft.com/fwlink/?linkid=870924
Comment:
    0 - A vida do(s) pet(s) não se deteriora sozinha com o tempo
1 - A vida do(s) pet(s) é deteriorável</t>
      </text>
    </comment>
    <comment ref="AP2" authorId="18" shapeId="0" xr:uid="{F2536301-EC63-4CB2-B160-02E3BE9CEEF7}">
      <text>
        <t>[Threaded comment]
Your version of Excel allows you to read this threaded comment; however, any edits to it will get removed if the file is opened in a newer version of Excel. Learn more: https://go.microsoft.com/fwlink/?linkid=870924
Comment:
    1 - menos de 2000
2 - entre 2000 e 3000
3 - entre 3000 e 4000
4 - entre 4000 e 5000
5 - entre 5000 e 6000
6 - entre 6000 e 7000
7 - entre 7000 e 8000
8 - entre 8000 e 9000
9 - entre 9000 e 10000
10 - entre 10000 e 11000
11...</t>
      </text>
    </comment>
    <comment ref="AQ2" authorId="19" shapeId="0" xr:uid="{F42E8347-FBFF-4DE0-8B3F-C955D0045FDE}">
      <text>
        <t>[Threaded comment]
Your version of Excel allows you to read this threaded comment; however, any edits to it will get removed if the file is opened in a newer version of Excel. Learn more: https://go.microsoft.com/fwlink/?linkid=870924
Comment:
    0 - dano médio menor de 500
1 - dano médio 500-800
2 - dano médio 800-1100
3 - dano médio 1100-1400
4 - dano médio 1400-1700
5 - dano médio 1700-2000
6 - dano médio 2000-2300
7 - dano médio 2300-2600
8 - dano médio 2900-3200
9 - dano médio 3200-3500
10 - dano médio 3500-3800
11...</t>
      </text>
    </comment>
    <comment ref="AR2" authorId="20" shapeId="0" xr:uid="{12F5F743-9170-47B2-924F-27A52C4D9E82}">
      <text>
        <t>[Threaded comment]
Your version of Excel allows you to read this threaded comment; however, any edits to it will get removed if the file is opened in a newer version of Excel. Learn more: https://go.microsoft.com/fwlink/?linkid=870924
Comment:
    1 - distância curta
2 - distância curta/normal
3 - distância normal/curta
4 - distância normal
5 - distância normal/longa
6 - distância longa/normal
7 - distância longa
8 - distância longa/mtlonga
9 - distância mtlonga/longa
10 - distância mtlonga
11...
-1 se o tiro é lento ou -2 se muito lento. Use isso para distinguir alcances aparentemente iguais.</t>
      </text>
    </comment>
    <comment ref="AS2" authorId="21" shapeId="0" xr:uid="{0FC90FF2-C738-4DF1-B747-4ABDE811467C}">
      <text>
        <t>[Threaded comment]
Your version of Excel allows you to read this threaded comment; however, any edits to it will get removed if the file is opened in a newer version of Excel. Learn more: https://go.microsoft.com/fwlink/?linkid=870924
Comment:
    1 - muito lento
2 - muito lento/lento
3 - lento/normal
4 - lento
5 - lento/normal
6 - normal/lento
7 - normal
8 - normal/rapido
9 - rapido
10 - MUITO rapido
11...</t>
      </text>
    </comment>
    <comment ref="AT2" authorId="22" shapeId="0" xr:uid="{3B2F8DEA-8476-41F3-BC32-9ACC79D967F9}">
      <text>
        <t>[Threaded comment]
Your version of Excel allows you to read this threaded comment; however, any edits to it will get removed if the file is opened in a newer version of Excel. Learn more: https://go.microsoft.com/fwlink/?linkid=870924
Comment:
    0 - O dono não fica próximo ao pet em quase nenhum momento
2,5 - O dono fica próximo ao pet as vezes, mas raramente por muito tempo
5 - O dono fica próximo ao pet com alguma frequência, mas não é regra de usabilidade
7,5 - O dono fica próximo ao pet na maior parte do tempo, sendo grande parte da sua estratégia principal para avançar contra inimigos
10 - O dono fica próximo ao pet em quase todos os momentos. A exceção para esta regra resulta em inutilidade do pet na maior parte das vezes.</t>
      </text>
    </comment>
    <comment ref="AU2" authorId="23" shapeId="0" xr:uid="{201287DC-A221-4269-B775-EB831475F1F6}">
      <text>
        <t>[Threaded comment]
Your version of Excel allows you to read this threaded comment; however, any edits to it will get removed if the file is opened in a newer version of Excel. Learn more: https://go.microsoft.com/fwlink/?linkid=870924
Comment:
    0 - não é o caso para esse brawler
1 - chance levemente maior de causar dano ao todo
2 - chance relativamente maior de causar dano ao todo
3 - chance muito maior de causar mais dano ao todo
4 - atinge multiplos inimigos com a super
5 - atinge facilmente multiplos inimigos com a super
6 - atinge multiplos inimigos com o ataque principal
7 - atinge facilmente multiplos inimigos com o ataque
8 - causa mais dano por projétil
9 - causa mais do dobro de dano por projétil
10 - causa mais que o triplo do dano por projétil
11...</t>
      </text>
    </comment>
    <comment ref="AV2" authorId="24" shapeId="0" xr:uid="{ECABA7EF-D5C2-485F-946F-66A47C09E158}">
      <text>
        <t>[Threaded comment]
Your version of Excel allows you to read this threaded comment; however, any edits to it will get removed if the file is opened in a newer version of Excel. Learn more: https://go.microsoft.com/fwlink/?linkid=870924
Comment:
    (precisão + Área + duração + frequência)/4
Precisão:
3 - perseguição de pets
6 - precisão em posição fixa arremessavel
10 - precisão absoluta
Area:
1 - diâmetro de 1 brawler
2 - diâmetro de 2 brawler
3 - diâmetro de 3 brawler
4 - diâmetro de 4 brawler
5 - diâmetro de 5 brawler
6 - diâmetro de 6 brawler
7 - diâmetro de 7 brawler
8 - diâmetro de 8 brawler9 - diâmetro de 9 brawler
10 - diâmetro de 10 brawler
11...
Duração:
1 - 3s
2 - 6s
3 - 9s
4 - 12s
5 - 15s
6 - 18s
7 - 21s
8 - 24s
9 - 27s
10 - infinito
11...
Frequência:
1 - 1/1min
2 - 1/50s
3 - 1/40s
4 - 1/30s
5 - 1/22s
6 - 1/15s
7 - 1/10s
8 - 1/7s
9 - 1/5s
10 - 1/3s
11...</t>
      </text>
    </comment>
    <comment ref="AW2" authorId="25" shapeId="0" xr:uid="{6B6B2882-DBA0-4FFF-A701-DCB542C42CB2}">
      <text>
        <t>[Threaded comment]
Your version of Excel allows you to read this threaded comment; however, any edits to it will get removed if the file is opened in a newer version of Excel. Learn more: https://go.microsoft.com/fwlink/?linkid=870924
Comment:
    0 - As informações do brawler/complemento não dependem de nenhuma forma da formação de inimigos ou terreno para que façam sentido
2,5 - As informações do brawler/complemento podem depender um pouco de formas de uso
5 - As informações do brawler/complemento podem depender um pouco de características de terreno, como presença de moitas/agua e/ou de formas de uso
7,5 - as informações dependem bastante de características externas como formas de uso, terreno e inimigos. A verificação humana é essencial para garantir que o brawler realmente seja bom.
10 - As informações dependem demais de fatores externos para funcionarem de forma adequada. Detalhes desses fatores devem ser destacados para o usuário.</t>
      </text>
    </comment>
    <comment ref="AY2" authorId="26" shapeId="0" xr:uid="{8A69B6AF-9FB0-4B04-A433-73A1BC5DFDE7}">
      <text>
        <t>[Threaded comment]
Your version of Excel allows you to read this threaded comment; however, any edits to it will get removed if the file is opened in a newer version of Excel. Learn more: https://go.microsoft.com/fwlink/?linkid=870924
Comment:
    (frequência + potência + velocidade) / 3
Frequência:
1 - 1/1min
2 - 1/50s
3 - 1/40s
4 - 1/30s
5 - 1/22s
6 - 1/15s
7 - 1/10s
8 - 1/7s
9 - 1/5s
10 - 1/3s
11...
Potência do hp:
1 - 1-500
2 - 500-1000
3 - 1000-1500
4 - 1500 - 2000
5 - 2000 - 2500
6 - 2500 - 3000
7 - 3000 - 3500
8 - 3500 - 4000
9 - 4000 - 4500
10 - 4500 - 5000
Velocidade da cura
3 - Lenta e parcelada
6 - Lenta ou muito circunstancial
9 - Instantânea e pouco circunstancial</t>
      </text>
    </comment>
    <comment ref="AZ2" authorId="27" shapeId="0" xr:uid="{D4E26227-2DC2-4870-BEEE-A89E41A02124}">
      <text>
        <t>[Threaded comment]
Your version of Excel allows you to read this threaded comment; however, any edits to it will get removed if the file is opened in a newer version of Excel. Learn more: https://go.microsoft.com/fwlink/?linkid=870924
Comment:
    (duração + potência) / 2 
potência:
1 - até 10%
2 - até 20%
3 - até 30%
4 - até 40%
5 - até 50%
6 - até 60%
7 - até 70%
8 - até 80%
9 - até 90%
10 - até 100%
duração
1 - 1s
2 - 2s
3 - 3s
4 - 4s
5 - 5s
6 - 6s
7 - 7s
8 - 8s
9 - 9s
10 - 10s</t>
      </text>
    </comment>
    <comment ref="BA2" authorId="28" shapeId="0" xr:uid="{55DDC066-256F-40C2-A7BE-E51D47E50174}">
      <text>
        <t>[Threaded comment]
Your version of Excel allows you to read this threaded comment; however, any edits to it will get removed if the file is opened in a newer version of Excel. Learn more: https://go.microsoft.com/fwlink/?linkid=870924
Comment:
    (frequência + potência) / 2 
Frequência:
1 - 1/1min
2 - 1/50s
3 - 1/40s
4 - 1/30s
5 - 1/22s
6 - 1/15s
7 - 1/10s
8 - 1/7s
9 - 1/5s
10 - 1/3s
11...
Potência do escudo:
1 - 1-500
2 - 500-1000
3 - 1000-1500
4 - 1500 - 2000
5 - 2000 - 2500
6 - 2500 - 3000
7 - 3000 - 3500
8 - 3500 - 4000
9 - 4000 - 4500
10 - 4500 - 5000</t>
      </text>
    </comment>
    <comment ref="BB2" authorId="29" shapeId="0" xr:uid="{199F4209-F855-4DCD-AECD-3B28E2FE8C9A}">
      <text>
        <t>[Threaded comment]
Your version of Excel allows you to read this threaded comment; however, any edits to it will get removed if the file is opened in a newer version of Excel. Learn more: https://go.microsoft.com/fwlink/?linkid=870924
Comment:
    (frequência + potência + duração)/3
0 - não tem essa capacidade
Frequência:
1 - 1/1min
2 - 1/50s
3 - 1/40s
4 - 1/30s
5 - 1/22s
6 - 1/15s
7 - 1/10s
8 - 1/7s
9 - 1/5s
10 - 1/3s
11...
Potência do aumento de dano:
1 - até 5%
2 - até 10%
3 - até 15%
4 - até 20%
5 - até 25%
6 - até 30%
7 - até 35%
8 - até 40%
9 - até 45%
10 - até 50%
11...
duração
1 - 1s
2 - 2s
3 - 3s
4 - 4s
5 - 5s
6 - 6s
7 - 7s
8 - 8s
9 - 9s
10 - 10s
11...</t>
      </text>
    </comment>
    <comment ref="BC2" authorId="30" shapeId="0" xr:uid="{9F689B5A-AFC5-42B7-87ED-8E35135885B1}">
      <text>
        <t>[Threaded comment]
Your version of Excel allows you to read this threaded comment; however, any edits to it will get removed if the file is opened in a newer version of Excel. Learn more: https://go.microsoft.com/fwlink/?linkid=870924
Comment:
    (duração + potência) / 2 
potência:
1 - até 8%
2 - até 16%
3 - até 24%
4 - até 32%
5 - até 40%
6 - até 48%
7 - até 56%
8 - até 64%
9 - até 72%
10 - até 80%
11...
duração
1 - 1s
2 - 2s
3 - 3s
4 - 4s
5 - 5s
6 - 6s
7 - 7s
8 - 8s
9 - 9s
10 - 10s</t>
      </text>
    </comment>
    <comment ref="BD2" authorId="31" shapeId="0" xr:uid="{F9F95B5A-0770-4E64-9084-D80CDABBE688}">
      <text>
        <t>[Threaded comment]
Your version of Excel allows you to read this threaded comment; however, any edits to it will get removed if the file is opened in a newer version of Excel. Learn more: https://go.microsoft.com/fwlink/?linkid=870924
Comment:
    (frequencia + duração) / 2 
Frequência
1 - 1/1min
2 - 1/50s
3 - 1/40s
4 - 1/30s
5 - 1/22s
6 - 1/15s
7 - 1/10s
8 - 1/7s
9 - 1/5s
10 - 1/3s
11...
Duração:
1 - 1s
2 - 2s
3 - 3s
4 - 4s
5 - 5s
6 - 6s
7 - 7s
8 - 8s
9 - 9s
10 - 10s
11...</t>
      </text>
    </comment>
    <comment ref="BE2" authorId="32" shapeId="0" xr:uid="{33377813-5443-426B-9115-2EFEC1C866FB}">
      <text>
        <t>[Threaded comment]
Your version of Excel allows you to read this threaded comment; however, any edits to it will get removed if the file is opened in a newer version of Excel. Learn more: https://go.microsoft.com/fwlink/?linkid=870924
Comment:
    (frequência + duração + área) / 3
0 - não tem essa capacidade
Frequência:
1 - 1/1min
2 - 1/50s
3 - 1/40s
4 - 1/30s
5 - 1/22s
6 - 1/15s
7 - 1/10s
8 - 1/7s
9 - 1/5s
10 - 1/3s
11...
duração
1 - 1s
2 - 2s
3 - 3s
4 - 4s
5 - 5s
6 - 6s
7 - 7s
8 - 8s
9 - 9s
10 - 10s
11...
Area:
1 - diâmetro de 1 brawler
2 - diâmetro de 2 brawler
3 - diâmetro de 3 brawler
4 - diâmetro de 4 brawler
5 - diâmetro de 5 brawler
6 - diâmetro de 6 brawler
7 - diâmetro de 7 brawler
8 - diâmetro de 8 brawler9 - diâmetro de 9 brawler
10 - diâmetro de 10 brawler
11...</t>
      </text>
    </comment>
    <comment ref="BG2" authorId="33" shapeId="0" xr:uid="{839A561C-C6FA-440D-BC30-E684AB6FB836}">
      <text>
        <t>[Threaded comment]
Your version of Excel allows you to read this threaded comment; however, any edits to it will get removed if the file is opened in a newer version of Excel. Learn more: https://go.microsoft.com/fwlink/?linkid=870924
Comment:
    0 - não aplica veneno
1 - duração de 1 hit
2 - duração de 2 hit
3 - duração de 3 hit
4 - duração de 4 hit
5 - duração de 5 hit
6 - duração de 6 hit
7 - duração de 7 hit
8 - duração de 8 hit
9 - duração de 9 hit
10 - duração de 10 hit
11...
/1 se proveniente do ataque principal
/2 se proveniente da super
/3 se proveniente de algo ainda mais ocasional</t>
      </text>
    </comment>
    <comment ref="BH2" authorId="34" shapeId="0" xr:uid="{928E070D-0DB3-4D83-85DB-354FB216FAE0}">
      <text>
        <t>[Threaded comment]
Your version of Excel allows you to read this threaded comment; however, any edits to it will get removed if the file is opened in a newer version of Excel. Learn more: https://go.microsoft.com/fwlink/?linkid=870924
Comment:
    (poder-cancelamento + frequência) / 2
poder cancelamento
1 - até 11%
2 - até 22%
3 - até 33%
4 - até 44%
5 - até 55%
6 - até 66%
7 - até 77%
8 - até 88%
9 - até 99%
10 - limpeza completa
Frequência:
1 - 1/1min
2 - 1/50s
3 - 1/40s
4 - 1/30s
5 - 1/22s
6 - 1/15s
7 - 1/10s
8 - 1/7s
9 - 1/5s
10 - 1/3s
11...</t>
      </text>
    </comment>
    <comment ref="BI2" authorId="35" shapeId="0" xr:uid="{F2DD9A7C-F727-4CB5-A79F-466EE60652B8}">
      <text>
        <t>[Threaded comment]
Your version of Excel allows you to read this threaded comment; however, any edits to it will get removed if the file is opened in a newer version of Excel. Learn more: https://go.microsoft.com/fwlink/?linkid=870924
Comment:
    1 - stun até 0.1s
2 - stun até 0.35s
3 - stun até 0.6s
4 - stun até 0.85s
5 - stun até 1.1s
6 - stun até 1.35s
7 - stun até 1.6s
8 - stun até 1.85s
9 - stun até 2.1s
10 - stun até 2.5s
11...</t>
      </text>
    </comment>
    <comment ref="BJ2" authorId="36" shapeId="0" xr:uid="{9E6746CF-83AA-4F85-92DB-03259C1D3C9B}">
      <text>
        <t>[Threaded comment]
Your version of Excel allows you to read this threaded comment; however, any edits to it will get removed if the file is opened in a newer version of Excel. Learn more: https://go.microsoft.com/fwlink/?linkid=870924
Comment:
    (poder-cancelamento + frequência) / 2
poder cancelamento
1 - até 11%
2 - até 22%
3 - até 33%
4 - até 44%
5 - até 55%
6 - até 66%
7 - até 77%
8 - até 88%
9 - até 99%
10 - limpeza completa
Frequência:
1 - 1/1min
2 - 1/50s
3 - 1/40s
4 - 1/30s
5 - 1/22s
6 - 1/15s
7 - 1/10s
8 - 1/7s
9 - 1/5s
10 - 1/3s
11...</t>
      </text>
    </comment>
    <comment ref="BK2" authorId="37" shapeId="0" xr:uid="{9E1D11A0-DDB4-446C-8CDF-55B9F87E9F1D}">
      <text>
        <t>[Threaded comment]
Your version of Excel allows you to read this threaded comment; however, any edits to it will get removed if the file is opened in a newer version of Excel. Learn more: https://go.microsoft.com/fwlink/?linkid=870924
Comment:
    (frequência + potência + duração)/3
0 - não tem essa capacidade
Frequência:
1 - 1/1min
2 - 1/50s
3 - 1/40s
4 - 1/30s
5 - 1/22s
6 - 1/15s
7 - 1/10s
8 - 1/7s
9 - 1/5s
10 - 1/3s
11...
Potência da lentidão:
1 - até 5%
2 - até 10%
3 - até 15%
4 - até 20%
5 - até 25%
6 - até 30%
7 - até 35%
8 - até 40%
9 - até 45%
10 - até 50%
11...
duração
1 - 0.5s
2 - 1s
3 - 1.5s
4 - 2s
5 - 2.5s
6 - 3s
7 - 3.5s
8 - 4s
9 - 4.5s
10 - 5s
11...</t>
      </text>
    </comment>
    <comment ref="BL2" authorId="38" shapeId="0" xr:uid="{C7B7DFB8-8909-4A2F-9649-19B6AAD5C7D6}">
      <text>
        <t>[Threaded comment]
Your version of Excel allows you to read this threaded comment; however, any edits to it will get removed if the file is opened in a newer version of Excel. Learn more: https://go.microsoft.com/fwlink/?linkid=870924
Comment:
    (poder-cancelamento + frequência) / 2
poder cancelamento
1 - até 11%
2 - até 22%
3 - até 33%
4 - até 44%
5 - até 55%
6 - até 66%
7 - até 77%
8 - até 88%
9 - até 99%
10 - limpeza completa
Frequência:
1 - 1/1min
2 - 1/50s
3 - 1/40s
4 - 1/30s
5 - 1/22s
6 - 1/15s
7 - 1/10s
8 - 1/7s
9 - 1/5s
10 - 1/3s
11...</t>
      </text>
    </comment>
    <comment ref="BM2" authorId="39" shapeId="0" xr:uid="{7FE00BD2-15A5-462D-AC23-95DE2E163889}">
      <text>
        <t>[Threaded comment]
Your version of Excel allows you to read this threaded comment; however, any edits to it will get removed if the file is opened in a newer version of Excel. Learn more: https://go.microsoft.com/fwlink/?linkid=870924
Comment:
    0 - o brawler não tem essa capacidade
1 - pouco e apenas de muito perto e não possui formas rápidas de se aproximar
2 - pouco e apenas de perto e não possui formas rápidas de se aproximar
3 - pouco e apenas de medio alcance e não possui formas rápidas de se aproximar
4 - pouco e apenas de perto mas possui formas de se aproximar
5 - pouco e apenas de perto mas possui formas de se aproximar rapidamente
6 - de médias/longas distâncias
7 - longas distâncias
8 - ignorando muros
9 - ignorando obstaculos a médio/longo alcance
10 - ignorando obstáculos e objetos a longo alcance
11...</t>
      </text>
    </comment>
    <comment ref="BN2" authorId="40" shapeId="0" xr:uid="{012F43A9-89DA-45CE-ABA6-35AAD60F0BB4}">
      <text>
        <t>[Threaded comment]
Your version of Excel allows you to read this threaded comment; however, any edits to it will get removed if the file is opened in a newer version of Excel. Learn more: https://go.microsoft.com/fwlink/?linkid=870924
Comment:
    Se o seu brawler não é especialmente afetado, assinale altamente competente (7). Caso seja (um frank por exemplo é muito afetado), tente medir o quão fácil é para o inimigo cancelar um ataque forte seu e te prejudicar.
6 - afetado levemente por demora até finalização do tiro
5 - afetado levemente numa situação específica
4 - afetado consideravelmente no super
3 - afetado consideravelmente no ataque principal
2 - afetado consideravelmente no super e ataque
-1 se dá mais de 1 segundo de tempo de reação na super
-2 se dá mais de 1 segundo de tempo de reação no ataque principal</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tc={1C01040B-C1E2-4C9B-9471-9C92632B2399}</author>
    <author>tc={B71BF662-F81E-4B6F-AEF8-334FEDB4E3D8}</author>
    <author>tc={75E84146-5093-40E3-A9CA-C655E7999A13}</author>
    <author>tc={5010CBE9-6DCB-4C97-B649-10D0F1E5BEC4}</author>
    <author>tc={26F84EFB-735A-4E2E-827B-B60FB8F9E0D2}</author>
    <author>tc={B1A26A6A-6D67-4607-B3A7-7EFF52A0B273}</author>
    <author>tc={B8807D1A-3E71-4EB4-B0F8-71AFCE7F1460}</author>
    <author>tc={B5315BE0-2F85-45B7-B09C-0E003B466912}</author>
    <author>tc={9495D7C6-77B4-4361-BC22-DC81D40D904F}</author>
    <author>tc={877F0BD9-4A91-4F4F-97CB-7E00545ABF77}</author>
    <author>tc={7684DC9F-CFC8-42FD-AFA9-27EE547BF146}</author>
    <author>tc={05DFB8B4-8D2F-40C4-8A32-45AAC71336FE}</author>
    <author>tc={1893A89C-A5C4-4CD4-A95B-BFB4D7F59DA8}</author>
    <author>tc={95A94A9A-CD20-4F51-8C29-D91B04B25934}</author>
    <author>tc={86F620F7-F5B6-41D9-B545-2A5C4401D9A4}</author>
    <author>tc={EA4EB7CB-F690-40F7-875A-AE65CACB2AF2}</author>
    <author>tc={E72DC0A5-CE73-454E-B921-9CB3869A648F}</author>
    <author>tc={AFB1A0E4-2D56-4CEA-AEE6-A4F5B5B34F04}</author>
    <author>tc={4DA208C6-E492-4C9C-BA3D-D8DFF7E30A2D}</author>
    <author>tc={1DA44273-7AB5-497A-9D96-014499B10C6D}</author>
    <author>tc={AE55D4EC-4D8B-4265-A4A3-2F02654CFB7C}</author>
    <author>tc={C4EEE4AF-4445-49D4-B0D7-902DE5FCD2F8}</author>
    <author>tc={A5080B27-3471-4EED-91A5-71B0FA115539}</author>
    <author>tc={C34BA8B9-04D5-4825-8508-A43BD13B9F50}</author>
    <author>tc={97A98E9B-19E3-4AFE-BE9A-78EBB4116F16}</author>
    <author>tc={9757A7C1-1536-4550-8692-E71204F59585}</author>
    <author>tc={BA9408F7-257F-4DFD-9027-01F4C7DB27DA}</author>
    <author>tc={3BA07920-6923-430E-80C5-0C85D4AE2BA0}</author>
    <author>tc={BFC5B272-7AB6-4AB7-B3DD-C0CB3C2D5EE4}</author>
    <author>tc={2F78080D-0BB4-4EDA-BC8B-BBA37D7DB7D8}</author>
    <author>tc={6A70DF2D-7FA9-4898-AF2E-503F0BD9C410}</author>
    <author>tc={E3B5C75E-A63E-4DF1-AB21-96072BE88947}</author>
    <author>tc={2C4F4EC5-6006-4309-8C21-C207444C929A}</author>
    <author>tc={BF3EF9EE-8771-4879-9B67-EA31C54B5816}</author>
    <author>tc={98500EC3-98EB-46A3-9B91-2E318A31BEF2}</author>
    <author>tc={27889731-7270-4229-931F-CFAAA24CB773}</author>
    <author>tc={532C8B5E-D4B0-45D9-A19A-AC90B97A1CE6}</author>
    <author>tc={2FCE083B-8685-4397-ABBD-1FAEA5F3C471}</author>
    <author>tc={4F3C11AD-7618-48A2-8113-98DDD4BAAE2A}</author>
    <author>tc={6B8DA9B2-B31C-47E0-8E90-405EDA0F39F9}</author>
    <author>tc={1AF3A5F1-F54A-45BB-BC53-D25CCAF0DA2C}</author>
  </authors>
  <commentList>
    <comment ref="X2" authorId="0" shapeId="0" xr:uid="{1C01040B-C1E2-4C9B-9471-9C92632B2399}">
      <text>
        <t>[Threaded comment]
Your version of Excel allows you to read this threaded comment; however, any edits to it will get removed if the file is opened in a newer version of Excel. Learn more: https://go.microsoft.com/fwlink/?linkid=870924
Comment:
    (Durabilidade_total / 1400) + (auto_heal_buffing / 3,5)</t>
      </text>
    </comment>
    <comment ref="Y2" authorId="1" shapeId="0" xr:uid="{B71BF662-F81E-4B6F-AEF8-334FEDB4E3D8}">
      <text>
        <t>[Threaded comment]
Your version of Excel allows you to read this threaded comment; however, any edits to it will get removed if the file is opened in a newer version of Excel. Learn more: https://go.microsoft.com/fwlink/?linkid=870924
Comment:
    0 - Não ataca eu achokkk
1 - distância curta
2 - distância curta/normal
3 - distância normal/curta
4 - distância normal
5 - distância normal/longa
6 - distância longa/normal
7 - distância longa
8 - distância longa/mtlonga
9 - distância mtlonga/longa
10 - distância mtlonga
11...
-1 se o tiro é lento ou -2 se muito lento. Use isso para distinguir alcances aparentemente iguais.</t>
      </text>
    </comment>
    <comment ref="Z2" authorId="2" shapeId="0" xr:uid="{75E84146-5093-40E3-A9CA-C655E7999A13}">
      <text>
        <t>[Threaded comment]
Your version of Excel allows you to read this threaded comment; however, any edits to it will get removed if the file is opened in a newer version of Excel. Learn more: https://go.microsoft.com/fwlink/?linkid=870924
Comment:
    (frequencia + potência + versatilidade)/3
frequência:
1 - 1 min
2 - 45s
3 - 35s
4 - 30s
5 - 25s
6 - 20s
7 - 15s
8 - 10s
9 - 5s
10 - menos de 5s
11...
potência do uso:
1 - distância curta
2 - distância curta/normal
3 - distância normal/curta
4 - distância normal
5 - distância normal/longa
6 - distância longa/normal
7 - distância longa
8 - distância longa/mtlonga
9 - distância mtlonga/longa
10 - distância mtlonga
11...
versatilidade:
1 - invulnerável, mas parado e vulnerável ao voltar
2 - invulnerável, mas parado ao voltar
3 - afasta inimigos um pouco
4 - afasta medio inimigos
5 - fuga lenta sem escolher direção ou circunstancial
6 - fuga lenta escolhendo direção quase livremente
7 - fuga lenta escolhendo direção livremente
8 - fuga rápida quase sem escolher direção
9 - fuga rápida escolhendo direção quase livremente
10 - fuga rápida escolhendo direção livremente
11...</t>
      </text>
    </comment>
    <comment ref="AA2" authorId="3" shapeId="0" xr:uid="{5010CBE9-6DCB-4C97-B649-10D0F1E5BEC4}">
      <text>
        <t>[Threaded comment]
Your version of Excel allows you to read this threaded comment; however, any edits to it will get removed if the file is opened in a newer version of Excel. Learn more: https://go.microsoft.com/fwlink/?linkid=870924
Comment:
    0 - projétil único
1 - projétil único perfurante
2 - linha fina multiplos projéteis
3 - tiro em forma de cone pequeno (25° +ou-)
4 - tiro em forma retangular medio (1 brawler de largura)
5 - tiro em forma de cone médio (50° +ou-)
6 - tiro em forma retangular grande (1-2 brawler de largura)
7 - tiro em forma de cone grande (75° +ou-)
8 - tiro com amplitude maior (até 100° +ou-)
9 - tiro em todas as direções
10 - tiro frequente em todas as direções
11...</t>
      </text>
    </comment>
    <comment ref="AB2" authorId="4" shapeId="0" xr:uid="{26F84EFB-735A-4E2E-827B-B60FB8F9E0D2}">
      <text>
        <t>[Threaded comment]
Your version of Excel allows you to read this threaded comment; however, any edits to it will get removed if the file is opened in a newer version of Excel. Learn more: https://go.microsoft.com/fwlink/?linkid=870924
Comment:
    0 - mais de 1/30s
1 - 1/30s
2 - 1/20s
3 - 1/15s
4 - 1/10s
5 - 1/5s
6 - ataque básico frequente
7 - ataque básico e super frequente</t>
      </text>
    </comment>
    <comment ref="AC2" authorId="5" shapeId="0" xr:uid="{B1A26A6A-6D67-4607-B3A7-7EFF52A0B273}">
      <text>
        <t>[Threaded comment]
Your version of Excel allows you to read this threaded comment; however, any edits to it will get removed if the file is opened in a newer version of Excel. Learn more: https://go.microsoft.com/fwlink/?linkid=870924
Comment:
    (duração + área + efeito + distância-arremesso)/4
Efeito:
3 - efeito ignorável muitas vezes
6 - efeito ignorável raramente
9 - efeito quase nunca ignoravel
Area:
1 - diâmetro de 1 brawler
2 - diâmetro de 2 brawler
3 - diâmetro de 3 brawler
4 - diâmetro de 4 brawler
5 - diâmetro de 5 brawler
6 - diâmetro de 6 brawler
7 - diâmetro de 7 brawler
8 - diâmetro de 8 brawler9 - diâmetro de 9 brawler
10 - diâmetro de 10 brawler
11...
Duração:
1 - 1s
2 - 2s
3 - 3s
4 - 4s
5 - 5s
6 - 6s
7 - 7s
8 - 8s
9 - 9s
10 - 10s
11...
Distância arremesso
0 - Não ataca eu achokkk
1 - distância curta
2 - distância curta/normal
3 - distância normal/curta
4 - distância normal
5 - distância normal/longa
6 - distância longa/normal
7 - distância longa
8 - distância longa/mtlonga
9 - distância mtlonga/longa
10 - distância mtlonga
11...
-1 se o tiro é lento ou -2 se muito lento. Use isso para distinguir alcances aparentemente iguais.</t>
      </text>
    </comment>
    <comment ref="AD2" authorId="6" shapeId="0" xr:uid="{B8807D1A-3E71-4EB4-B0F8-71AFCE7F1460}">
      <text>
        <t>[Threaded comment]
Your version of Excel allows you to read this threaded comment; however, any edits to it will get removed if the file is opened in a newer version of Excel. Learn more: https://go.microsoft.com/fwlink/?linkid=870924
Comment:
    0 - o brawler não tem essa capacidade
1 - consegue manipular pouco e apenas de muito perto e não possui formas rápidas de se aproximar
2 - consegue manipular pouco e apenas de perto e não possui formas rápidas de se aproximar
3 - consegue manipular pouco e apenas de medio alcance e não possui formas rápidas de se aproximar
4 - consegue manipular pouco e apenas de perto mas possui formas de se aproximar
5 - o brawler consegue fazer de longas distancias mas manipula pouco
6 - o brawler consegue manipular muito a posição e de médias distâncias
7 - o brawler consegue manipular muito a posição e de longas distâncias
8 - o brawler consegue manipular um pouco a posição mas ignorando muros
9 - o brawler consegue manipular muito a posição e ignorando obstaculos a médio alcance
10 - o brawler consegue manipular muito a posição e ignorando obstáculos e objetos a longo alcance</t>
      </text>
    </comment>
    <comment ref="AE2" authorId="7" shapeId="0" xr:uid="{B5315BE0-2F85-45B7-B09C-0E003B466912}">
      <text>
        <t>[Threaded comment]
Your version of Excel allows you to read this threaded comment; however, any edits to it will get removed if the file is opened in a newer version of Excel. Learn more: https://go.microsoft.com/fwlink/?linkid=870924
Comment:
    0 - absoluta incompetência
7 - altamente competente</t>
      </text>
    </comment>
    <comment ref="AF2" authorId="8" shapeId="0" xr:uid="{9495D7C6-77B4-4361-BC22-DC81D40D904F}">
      <text>
        <t>[Threaded comment]
Your version of Excel allows you to read this threaded comment; however, any edits to it will get removed if the file is opened in a newer version of Excel. Learn more: https://go.microsoft.com/fwlink/?linkid=870924
Comment:
    0 - impossivel causar dano
1 - causa dano irrisório
2 - causa dano circunstancial
3 - causa dano ocasionalmente
4 - causa dano mortal as vezes
5 - causa dano mortal quase normalmente
6 - capaz de atacar o inimigo normalmente
7 - causa dano normalmente + anda na água tmb
8 - causa dano levemente superior
9 - causa dano muito maior a inimigos na água
10 - causa dano absurdamente maior
11...</t>
      </text>
    </comment>
    <comment ref="AG2" authorId="9" shapeId="0" xr:uid="{877F0BD9-4A91-4F4F-97CB-7E00545ABF77}">
      <text>
        <t>[Threaded comment]
Your version of Excel allows you to read this threaded comment; however, any edits to it will get removed if the file is opened in a newer version of Excel. Learn more: https://go.microsoft.com/fwlink/?linkid=870924
Comment:
    0 - não quebra muros
1 - 1/35min
2 - 1/30s
3 - 1/25s
4 - 1/20s
5 - 1/15s
6 - 1/12s
7 - 1/9s
8 - 1/6s
9 - 1/3s
10 - 1/1s
11...
-1 se a destruição é pouco controlável
-2 se a destruição é quase incontrolável ou se o brawler não deveria gastar os recursos dele focando nessa destruição</t>
      </text>
    </comment>
    <comment ref="AH2" authorId="10" shapeId="0" xr:uid="{7684DC9F-CFC8-42FD-AFA9-27EE547BF146}">
      <text>
        <t>[Threaded comment]
Your version of Excel allows you to read this threaded comment; however, any edits to it will get removed if the file is opened in a newer version of Excel. Learn more: https://go.microsoft.com/fwlink/?linkid=870924
Comment:
    0 - não quebra moitas
1 - 1/25min
2 - 1/16s
3 - 1/12s
4 - 1/10s
5 - 1/8s
6 - 1/6s
7 - 1/4s
8 - 1/3s
9 - 1/2s
10 - 1/1s
11...
-1 se a destruição é pouco controlável
-2 se a destruição é quase incontrolável ou se o brawler não deveria gastar os recursos dele focando nessa destruição</t>
      </text>
    </comment>
    <comment ref="AI2" authorId="11" shapeId="0" xr:uid="{05DFB8B4-8D2F-40C4-8A32-45AAC71336FE}">
      <text>
        <t>[Threaded comment]
Your version of Excel allows you to read this threaded comment; however, any edits to it will get removed if the file is opened in a newer version of Excel. Learn more: https://go.microsoft.com/fwlink/?linkid=870924
Comment:
    0 - não constroi cover
1 - 1/25min
2 - 1/16s
3 - 1/12s
4 - 1/10s
5 - 1/8s
6 - 1/6s
7 - 1/4s
8 - 1/3s
9 - 1/2s
10 - 1/1s
11...
-1 se a construção é pouco controlável
-2 se a construção é quase incontrolável ou se o brawler não deveria gastar os recursos dele focando nessa construção</t>
      </text>
    </comment>
    <comment ref="AJ2" authorId="12" shapeId="0" xr:uid="{1893A89C-A5C4-4CD4-A95B-BFB4D7F59DA8}">
      <text>
        <t>[Threaded comment]
Your version of Excel allows you to read this threaded comment; however, any edits to it will get removed if the file is opened in a newer version of Excel. Learn more: https://go.microsoft.com/fwlink/?linkid=870924
Comment:
    1 - muito lento
2 - muito lento/lento
3 - lento
4 - lento/normal
5 - normal
6 - normal/rapido
7 - rapido
8 - rapido/muito rapido
9 - muito rapido
10 - suporter de velocidade
11...
-1 se a hitbox do brawler é do modelo maior</t>
      </text>
    </comment>
    <comment ref="AK2" authorId="13" shapeId="0" xr:uid="{95A94A9A-CD20-4F51-8C29-D91B04B25934}">
      <text>
        <t>[Threaded comment]
Your version of Excel allows you to read this threaded comment; however, any edits to it will get removed if the file is opened in a newer version of Excel. Learn more: https://go.microsoft.com/fwlink/?linkid=870924
Comment:
    1 - ataque lento e ineficaz
2 - ataque ineficaz
3 - ataque poderoso, mas super lento
4 - ataque poderoso, mas lento
5 - ataque poderoso e rápido, mas facilmente contornável sem sequelas
6 - ataque poderoso, mas contornavel/counterável facilmente
7 - ataque poderoso. Contornavel apenas se não estiver vulnerável
8 - mesmo counters tem dificuldade em prever/reagir ao ataque antes de levar um bom dano
9 - mesmo counters recebem muito dano antes de conseguirem reagir
10 - counterar um ataque bem planejado é quase impossível para qualquer brawler
+1 se aplica velocidade após o ataque
-1 se alcance é normal/longo
-2 se o alcance é curto/normal
-3 se o alcance é muito curto/curto</t>
      </text>
    </comment>
    <comment ref="AL2" authorId="14" shapeId="0" xr:uid="{86F620F7-F5B6-41D9-B545-2A5C4401D9A4}">
      <text>
        <t>[Threaded comment]
Your version of Excel allows you to read this threaded comment; however, any edits to it will get removed if the file is opened in a newer version of Excel. Learn more: https://go.microsoft.com/fwlink/?linkid=870924
Comment:
    *fórmula pronta, utiliza stun como força adicional</t>
      </text>
    </comment>
    <comment ref="AM2" authorId="15" shapeId="0" xr:uid="{EA4EB7CB-F690-40F7-875A-AE65CACB2AF2}">
      <text>
        <t>[Threaded comment]
Your version of Excel allows you to read this threaded comment; however, any edits to it will get removed if the file is opened in a newer version of Excel. Learn more: https://go.microsoft.com/fwlink/?linkid=870924
Comment:
    1 - 1/1min
2 - 1/50s
3 - 1/40s
4 - 1/30s
5 - 1/22s
6 - 1/15s
7 - 1/10s
8 - 1/7s
9 - 1/5s
10 - 1/3s
11...</t>
      </text>
    </comment>
    <comment ref="AN2" authorId="16" shapeId="0" xr:uid="{E72DC0A5-CE73-454E-B921-9CB3869A648F}">
      <text>
        <t>[Threaded comment]
Your version of Excel allows you to read this threaded comment; however, any edits to it will get removed if the file is opened in a newer version of Excel. Learn more: https://go.microsoft.com/fwlink/?linkid=870924
Comment:
    1 - nunca acumula mais de 1
2 - raramente acumula mais de 1
3 - ocasionalmente acumula mais de 1
4 - frequentemente acumula ao menos 2
5 - raramente acumula mais de 2
6 - ocasionalmente acumula mais de 2
7 - frequentemente acumula ao menos 3
8 - ocasionalmente acumula mais de 3
9 - frequentemente acumula mais de 4
10 - frequentemente acumula mais de 5
11...</t>
      </text>
    </comment>
    <comment ref="AO2" authorId="17" shapeId="0" xr:uid="{AFB1A0E4-2D56-4CEA-AEE6-A4F5B5B34F04}">
      <text>
        <t>[Threaded comment]
Your version of Excel allows you to read this threaded comment; however, any edits to it will get removed if the file is opened in a newer version of Excel. Learn more: https://go.microsoft.com/fwlink/?linkid=870924
Comment:
    0 - A vida do(s) pet(s) não se deteriora sozinha com o tempo
1 - A vida do(s) pet(s) é deteriorável</t>
      </text>
    </comment>
    <comment ref="AP2" authorId="18" shapeId="0" xr:uid="{4DA208C6-E492-4C9C-BA3D-D8DFF7E30A2D}">
      <text>
        <t>[Threaded comment]
Your version of Excel allows you to read this threaded comment; however, any edits to it will get removed if the file is opened in a newer version of Excel. Learn more: https://go.microsoft.com/fwlink/?linkid=870924
Comment:
    1 - menos de 2000
2 - entre 2000 e 3000
3 - entre 3000 e 4000
4 - entre 4000 e 5000
5 - entre 5000 e 6000
6 - entre 6000 e 7000
7 - entre 7000 e 8000
8 - entre 8000 e 9000
9 - entre 9000 e 10000
10 - entre 10000 e 11000
11...</t>
      </text>
    </comment>
    <comment ref="AQ2" authorId="19" shapeId="0" xr:uid="{1DA44273-7AB5-497A-9D96-014499B10C6D}">
      <text>
        <t>[Threaded comment]
Your version of Excel allows you to read this threaded comment; however, any edits to it will get removed if the file is opened in a newer version of Excel. Learn more: https://go.microsoft.com/fwlink/?linkid=870924
Comment:
    0 - dano médio menor de 500
1 - dano médio 500-800
2 - dano médio 800-1100
3 - dano médio 1100-1400
4 - dano médio 1400-1700
5 - dano médio 1700-2000
6 - dano médio 2000-2300
7 - dano médio 2300-2600
8 - dano médio 2900-3200
9 - dano médio 3200-3500
10 - dano médio 3500-3800
11...</t>
      </text>
    </comment>
    <comment ref="AR2" authorId="20" shapeId="0" xr:uid="{AE55D4EC-4D8B-4265-A4A3-2F02654CFB7C}">
      <text>
        <t>[Threaded comment]
Your version of Excel allows you to read this threaded comment; however, any edits to it will get removed if the file is opened in a newer version of Excel. Learn more: https://go.microsoft.com/fwlink/?linkid=870924
Comment:
    1 - distância curta
2 - distância curta/normal
3 - distância normal/curta
4 - distância normal
5 - distância normal/longa
6 - distância longa/normal
7 - distância longa
8 - distância longa/mtlonga
9 - distância mtlonga/longa
10 - distância mtlonga
11...
-1 se o tiro é lento ou -2 se muito lento. Use isso para distinguir alcances aparentemente iguais.</t>
      </text>
    </comment>
    <comment ref="AS2" authorId="21" shapeId="0" xr:uid="{C4EEE4AF-4445-49D4-B0D7-902DE5FCD2F8}">
      <text>
        <t>[Threaded comment]
Your version of Excel allows you to read this threaded comment; however, any edits to it will get removed if the file is opened in a newer version of Excel. Learn more: https://go.microsoft.com/fwlink/?linkid=870924
Comment:
    1 - muito lento
2 - muito lento/lento
3 - lento/normal
4 - lento
5 - lento/normal
6 - normal/lento
7 - normal
8 - normal/rapido
9 - rapido
10 - MUITO rapido
11...</t>
      </text>
    </comment>
    <comment ref="AT2" authorId="22" shapeId="0" xr:uid="{A5080B27-3471-4EED-91A5-71B0FA115539}">
      <text>
        <t>[Threaded comment]
Your version of Excel allows you to read this threaded comment; however, any edits to it will get removed if the file is opened in a newer version of Excel. Learn more: https://go.microsoft.com/fwlink/?linkid=870924
Comment:
    0 - O dono não fica próximo ao pet em quase nenhum momento
2,5 - O dono fica próximo ao pet as vezes, mas raramente por muito tempo
5 - O dono fica próximo ao pet com alguma frequência, mas não é regra de usabilidade
7,5 - O dono fica próximo ao pet na maior parte do tempo, sendo grande parte da sua estratégia principal para avançar contra inimigos
10 - O dono fica próximo ao pet em quase todos os momentos. A exceção para esta regra resulta em inutilidade do pet na maior parte das vezes.</t>
      </text>
    </comment>
    <comment ref="AU2" authorId="23" shapeId="0" xr:uid="{C34BA8B9-04D5-4825-8508-A43BD13B9F50}">
      <text>
        <t>[Threaded comment]
Your version of Excel allows you to read this threaded comment; however, any edits to it will get removed if the file is opened in a newer version of Excel. Learn more: https://go.microsoft.com/fwlink/?linkid=870924
Comment:
    0 - não é o caso para esse brawler
1 - chance levemente maior de causar dano ao todo
2 - chance relativamente maior de causar dano ao todo
3 - chance muito maior de causar mais dano ao todo
4 - atinge multiplos inimigos com a super
5 - atinge facilmente multiplos inimigos com a super
6 - atinge multiplos inimigos com o ataque principal
7 - atinge facilmente multiplos inimigos com o ataque
8 - causa mais dano por projétil
9 - causa mais do dobro de dano por projétil
10 - causa mais que o triplo do dano por projétil
11...</t>
      </text>
    </comment>
    <comment ref="AV2" authorId="24" shapeId="0" xr:uid="{97A98E9B-19E3-4AFE-BE9A-78EBB4116F16}">
      <text>
        <t>[Threaded comment]
Your version of Excel allows you to read this threaded comment; however, any edits to it will get removed if the file is opened in a newer version of Excel. Learn more: https://go.microsoft.com/fwlink/?linkid=870924
Comment:
    (precisão + Área + duração + frequência)/4
Precisão:
3 - perseguição de pets
6 - precisão em posição fixa arremessavel
10 - precisão absoluta
Area:
1 - diâmetro de 1 brawler
2 - diâmetro de 2 brawler
3 - diâmetro de 3 brawler
4 - diâmetro de 4 brawler
5 - diâmetro de 5 brawler
6 - diâmetro de 6 brawler
7 - diâmetro de 7 brawler
8 - diâmetro de 8 brawler9 - diâmetro de 9 brawler
10 - diâmetro de 10 brawler
11...
Duração:
1 - 3s
2 - 6s
3 - 9s
4 - 12s
5 - 15s
6 - 18s
7 - 21s
8 - 24s
9 - 27s
10 - infinito
11...
Frequência:
1 - 1/1min
2 - 1/50s
3 - 1/40s
4 - 1/30s
5 - 1/22s
6 - 1/15s
7 - 1/10s
8 - 1/7s
9 - 1/5s
10 - 1/3s
11...</t>
      </text>
    </comment>
    <comment ref="AW2" authorId="25" shapeId="0" xr:uid="{9757A7C1-1536-4550-8692-E71204F59585}">
      <text>
        <t>[Threaded comment]
Your version of Excel allows you to read this threaded comment; however, any edits to it will get removed if the file is opened in a newer version of Excel. Learn more: https://go.microsoft.com/fwlink/?linkid=870924
Comment:
    0 - As informações do brawler/complemento não dependem de nenhuma forma da formação de inimigos ou terreno para que façam sentido
2,5 - As informações do brawler/complemento podem depender um pouco de formas de uso
5 - As informações do brawler/complemento podem depender um pouco de características de terreno, como presença de moitas/agua e/ou de formas de uso
7,5 - as informações dependem bastante de características externas como formas de uso, terreno e inimigos. A verificação humana é essencial para garantir que o brawler realmente seja bom.
10 - As informações dependem demais de fatores externos para funcionarem de forma adequada. Detalhes desses fatores devem ser destacados para o usuário.</t>
      </text>
    </comment>
    <comment ref="AY2" authorId="26" shapeId="0" xr:uid="{BA9408F7-257F-4DFD-9027-01F4C7DB27DA}">
      <text>
        <t>[Threaded comment]
Your version of Excel allows you to read this threaded comment; however, any edits to it will get removed if the file is opened in a newer version of Excel. Learn more: https://go.microsoft.com/fwlink/?linkid=870924
Comment:
    (frequência + potência + velocidade) / 3
Frequência:
1 - 1/1min
2 - 1/50s
3 - 1/40s
4 - 1/30s
5 - 1/22s
6 - 1/15s
7 - 1/10s
8 - 1/7s
9 - 1/5s
10 - 1/3s
11...
Potência do hp:
1 - 1-500
2 - 500-1000
3 - 1000-1500
4 - 1500 - 2000
5 - 2000 - 2500
6 - 2500 - 3000
7 - 3000 - 3500
8 - 3500 - 4000
9 - 4000 - 4500
10 - 4500 - 5000
Velocidade da cura
3 - Lenta e parcelada
6 - Lenta ou muito circunstancial
9 - Instantânea e pouco circunstancial</t>
      </text>
    </comment>
    <comment ref="AZ2" authorId="27" shapeId="0" xr:uid="{3BA07920-6923-430E-80C5-0C85D4AE2BA0}">
      <text>
        <t>[Threaded comment]
Your version of Excel allows you to read this threaded comment; however, any edits to it will get removed if the file is opened in a newer version of Excel. Learn more: https://go.microsoft.com/fwlink/?linkid=870924
Comment:
    (duração + potência) / 2 
potência:
1 - até 10%
2 - até 20%
3 - até 30%
4 - até 40%
5 - até 50%
6 - até 60%
7 - até 70%
8 - até 80%
9 - até 90%
10 - até 100%
duração
1 - 1s
2 - 2s
3 - 3s
4 - 4s
5 - 5s
6 - 6s
7 - 7s
8 - 8s
9 - 9s
10 - 10s</t>
      </text>
    </comment>
    <comment ref="BA2" authorId="28" shapeId="0" xr:uid="{BFC5B272-7AB6-4AB7-B3DD-C0CB3C2D5EE4}">
      <text>
        <t>[Threaded comment]
Your version of Excel allows you to read this threaded comment; however, any edits to it will get removed if the file is opened in a newer version of Excel. Learn more: https://go.microsoft.com/fwlink/?linkid=870924
Comment:
    (frequência + potência) / 2 
Frequência:
1 - 1/1min
2 - 1/50s
3 - 1/40s
4 - 1/30s
5 - 1/22s
6 - 1/15s
7 - 1/10s
8 - 1/7s
9 - 1/5s
10 - 1/3s
11...
Potência do escudo:
1 - 1-500
2 - 500-1000
3 - 1000-1500
4 - 1500 - 2000
5 - 2000 - 2500
6 - 2500 - 3000
7 - 3000 - 3500
8 - 3500 - 4000
9 - 4000 - 4500
10 - 4500 - 5000</t>
      </text>
    </comment>
    <comment ref="BB2" authorId="29" shapeId="0" xr:uid="{2F78080D-0BB4-4EDA-BC8B-BBA37D7DB7D8}">
      <text>
        <t>[Threaded comment]
Your version of Excel allows you to read this threaded comment; however, any edits to it will get removed if the file is opened in a newer version of Excel. Learn more: https://go.microsoft.com/fwlink/?linkid=870924
Comment:
    (frequência + potência + duração)/3
0 - não tem essa capacidade
Frequência:
1 - 1/1min
2 - 1/50s
3 - 1/40s
4 - 1/30s
5 - 1/22s
6 - 1/15s
7 - 1/10s
8 - 1/7s
9 - 1/5s
10 - 1/3s
11...
Potência do aumento de dano:
1 - até 5%
2 - até 10%
3 - até 15%
4 - até 20%
5 - até 25%
6 - até 30%
7 - até 35%
8 - até 40%
9 - até 45%
10 - até 50%
11...
duração
1 - 1s
2 - 2s
3 - 3s
4 - 4s
5 - 5s
6 - 6s
7 - 7s
8 - 8s
9 - 9s
10 - 10s
11...</t>
      </text>
    </comment>
    <comment ref="BC2" authorId="30" shapeId="0" xr:uid="{6A70DF2D-7FA9-4898-AF2E-503F0BD9C410}">
      <text>
        <t>[Threaded comment]
Your version of Excel allows you to read this threaded comment; however, any edits to it will get removed if the file is opened in a newer version of Excel. Learn more: https://go.microsoft.com/fwlink/?linkid=870924
Comment:
    (duração + potência) / 2 
potência:
1 - até 8%
2 - até 16%
3 - até 24%
4 - até 32%
5 - até 40%
6 - até 48%
7 - até 56%
8 - até 64%
9 - até 72%
10 - até 80%
11...
duração
1 - 1s
2 - 2s
3 - 3s
4 - 4s
5 - 5s
6 - 6s
7 - 7s
8 - 8s
9 - 9s
10 - 10s</t>
      </text>
    </comment>
    <comment ref="BD2" authorId="31" shapeId="0" xr:uid="{E3B5C75E-A63E-4DF1-AB21-96072BE88947}">
      <text>
        <t>[Threaded comment]
Your version of Excel allows you to read this threaded comment; however, any edits to it will get removed if the file is opened in a newer version of Excel. Learn more: https://go.microsoft.com/fwlink/?linkid=870924
Comment:
    (frequencia + duração) / 2 
Frequência
1 - 1/1min
2 - 1/50s
3 - 1/40s
4 - 1/30s
5 - 1/22s
6 - 1/15s
7 - 1/10s
8 - 1/7s
9 - 1/5s
10 - 1/3s
11...
Duração:
1 - 1s
2 - 2s
3 - 3s
4 - 4s
5 - 5s
6 - 6s
7 - 7s
8 - 8s
9 - 9s
10 - 10s
11...</t>
      </text>
    </comment>
    <comment ref="BE2" authorId="32" shapeId="0" xr:uid="{2C4F4EC5-6006-4309-8C21-C207444C929A}">
      <text>
        <t>[Threaded comment]
Your version of Excel allows you to read this threaded comment; however, any edits to it will get removed if the file is opened in a newer version of Excel. Learn more: https://go.microsoft.com/fwlink/?linkid=870924
Comment:
    (frequência + duração + área) / 3
0 - não tem essa capacidade
Frequência:
1 - 1/1min
2 - 1/50s
3 - 1/40s
4 - 1/30s
5 - 1/22s
6 - 1/15s
7 - 1/10s
8 - 1/7s
9 - 1/5s
10 - 1/3s
11...
duração
1 - 1s
2 - 2s
3 - 3s
4 - 4s
5 - 5s
6 - 6s
7 - 7s
8 - 8s
9 - 9s
10 - 10s
11...
Area:
1 - diâmetro de 1 brawler
2 - diâmetro de 2 brawler
3 - diâmetro de 3 brawler
4 - diâmetro de 4 brawler
5 - diâmetro de 5 brawler
6 - diâmetro de 6 brawler
7 - diâmetro de 7 brawler
8 - diâmetro de 8 brawler9 - diâmetro de 9 brawler
10 - diâmetro de 10 brawler
11...</t>
      </text>
    </comment>
    <comment ref="BG2" authorId="33" shapeId="0" xr:uid="{BF3EF9EE-8771-4879-9B67-EA31C54B5816}">
      <text>
        <t>[Threaded comment]
Your version of Excel allows you to read this threaded comment; however, any edits to it will get removed if the file is opened in a newer version of Excel. Learn more: https://go.microsoft.com/fwlink/?linkid=870924
Comment:
    0 - não aplica veneno
1 - duração de 1 hit
2 - duração de 2 hit
3 - duração de 3 hit
4 - duração de 4 hit
5 - duração de 5 hit
6 - duração de 6 hit
7 - duração de 7 hit
8 - duração de 8 hit
9 - duração de 9 hit
10 - duração de 10 hit
11...
/1 se proveniente do ataque principal
/2 se proveniente da super
/3 se proveniente de algo ainda mais ocasional</t>
      </text>
    </comment>
    <comment ref="BH2" authorId="34" shapeId="0" xr:uid="{98500EC3-98EB-46A3-9B91-2E318A31BEF2}">
      <text>
        <t>[Threaded comment]
Your version of Excel allows you to read this threaded comment; however, any edits to it will get removed if the file is opened in a newer version of Excel. Learn more: https://go.microsoft.com/fwlink/?linkid=870924
Comment:
    (poder-cancelamento + frequência) / 2
poder cancelamento
1 - até 11%
2 - até 22%
3 - até 33%
4 - até 44%
5 - até 55%
6 - até 66%
7 - até 77%
8 - até 88%
9 - até 99%
10 - limpeza completa
Frequência:
1 - 1/1min
2 - 1/50s
3 - 1/40s
4 - 1/30s
5 - 1/22s
6 - 1/15s
7 - 1/10s
8 - 1/7s
9 - 1/5s
10 - 1/3s
11...</t>
      </text>
    </comment>
    <comment ref="BI2" authorId="35" shapeId="0" xr:uid="{27889731-7270-4229-931F-CFAAA24CB773}">
      <text>
        <t>[Threaded comment]
Your version of Excel allows you to read this threaded comment; however, any edits to it will get removed if the file is opened in a newer version of Excel. Learn more: https://go.microsoft.com/fwlink/?linkid=870924
Comment:
    1 - stun até 0.1s
2 - stun até 0.35s
3 - stun até 0.6s
4 - stun até 0.85s
5 - stun até 1.1s
6 - stun até 1.35s
7 - stun até 1.6s
8 - stun até 1.85s
9 - stun até 2.1s
10 - stun até 2.5s
11...</t>
      </text>
    </comment>
    <comment ref="BJ2" authorId="36" shapeId="0" xr:uid="{532C8B5E-D4B0-45D9-A19A-AC90B97A1CE6}">
      <text>
        <t>[Threaded comment]
Your version of Excel allows you to read this threaded comment; however, any edits to it will get removed if the file is opened in a newer version of Excel. Learn more: https://go.microsoft.com/fwlink/?linkid=870924
Comment:
    (poder-cancelamento + frequência) / 2
poder cancelamento
1 - até 11%
2 - até 22%
3 - até 33%
4 - até 44%
5 - até 55%
6 - até 66%
7 - até 77%
8 - até 88%
9 - até 99%
10 - limpeza completa
Frequência:
1 - 1/1min
2 - 1/50s
3 - 1/40s
4 - 1/30s
5 - 1/22s
6 - 1/15s
7 - 1/10s
8 - 1/7s
9 - 1/5s
10 - 1/3s
11...</t>
      </text>
    </comment>
    <comment ref="BK2" authorId="37" shapeId="0" xr:uid="{2FCE083B-8685-4397-ABBD-1FAEA5F3C471}">
      <text>
        <t>[Threaded comment]
Your version of Excel allows you to read this threaded comment; however, any edits to it will get removed if the file is opened in a newer version of Excel. Learn more: https://go.microsoft.com/fwlink/?linkid=870924
Comment:
    (frequência + potência + duração)/3
0 - não tem essa capacidade
Frequência:
1 - 1/1min
2 - 1/50s
3 - 1/40s
4 - 1/30s
5 - 1/22s
6 - 1/15s
7 - 1/10s
8 - 1/7s
9 - 1/5s
10 - 1/3s
11...
Potência da lentidão:
1 - até 5%
2 - até 10%
3 - até 15%
4 - até 20%
5 - até 25%
6 - até 30%
7 - até 35%
8 - até 40%
9 - até 45%
10 - até 50%
11...
duração
1 - 0.5s
2 - 1s
3 - 1.5s
4 - 2s
5 - 2.5s
6 - 3s
7 - 3.5s
8 - 4s
9 - 4.5s
10 - 5s
11...</t>
      </text>
    </comment>
    <comment ref="BL2" authorId="38" shapeId="0" xr:uid="{4F3C11AD-7618-48A2-8113-98DDD4BAAE2A}">
      <text>
        <t>[Threaded comment]
Your version of Excel allows you to read this threaded comment; however, any edits to it will get removed if the file is opened in a newer version of Excel. Learn more: https://go.microsoft.com/fwlink/?linkid=870924
Comment:
    (poder-cancelamento + frequência) / 2
poder cancelamento
1 - até 11%
2 - até 22%
3 - até 33%
4 - até 44%
5 - até 55%
6 - até 66%
7 - até 77%
8 - até 88%
9 - até 99%
10 - limpeza completa
Frequência:
1 - 1/1min
2 - 1/50s
3 - 1/40s
4 - 1/30s
5 - 1/22s
6 - 1/15s
7 - 1/10s
8 - 1/7s
9 - 1/5s
10 - 1/3s
11...</t>
      </text>
    </comment>
    <comment ref="BM2" authorId="39" shapeId="0" xr:uid="{6B8DA9B2-B31C-47E0-8E90-405EDA0F39F9}">
      <text>
        <t>[Threaded comment]
Your version of Excel allows you to read this threaded comment; however, any edits to it will get removed if the file is opened in a newer version of Excel. Learn more: https://go.microsoft.com/fwlink/?linkid=870924
Comment:
    0 - o brawler não tem essa capacidade
1 - pouco e apenas de muito perto e não possui formas rápidas de se aproximar
2 - pouco e apenas de perto e não possui formas rápidas de se aproximar
3 - pouco e apenas de medio alcance e não possui formas rápidas de se aproximar
4 - pouco e apenas de perto mas possui formas de se aproximar
5 - pouco e apenas de perto mas possui formas de se aproximar rapidamente
6 - de médias/longas distâncias
7 - longas distâncias
8 - ignorando muros
9 - ignorando obstaculos a médio/longo alcance
10 - ignorando obstáculos e objetos a longo alcance
11...</t>
      </text>
    </comment>
    <comment ref="BN2" authorId="40" shapeId="0" xr:uid="{1AF3A5F1-F54A-45BB-BC53-D25CCAF0DA2C}">
      <text>
        <t>[Threaded comment]
Your version of Excel allows you to read this threaded comment; however, any edits to it will get removed if the file is opened in a newer version of Excel. Learn more: https://go.microsoft.com/fwlink/?linkid=870924
Comment:
    Se o seu brawler não é especialmente afetado, assinale altamente competente (7). Caso seja (um frank por exemplo é muito afetado), tente medir o quão fácil é para o inimigo cancelar um ataque forte seu e te prejudicar.
6 - afetado levemente por demora até finalização do tiro
5 - afetado levemente numa situação específica
4 - afetado consideravelmente no super
3 - afetado consideravelmente no ataque principal
2 - afetado consideravelmente no super e ataque
-1 se dá mais de 1 segundo de tempo de reação na super
-2 se dá mais de 1 segundo de tempo de reação no ataque principal</t>
      </text>
    </comment>
  </commentList>
</comments>
</file>

<file path=xl/sharedStrings.xml><?xml version="1.0" encoding="utf-8"?>
<sst xmlns="http://schemas.openxmlformats.org/spreadsheetml/2006/main" count="2363" uniqueCount="508">
  <si>
    <t>Nome Brawler</t>
  </si>
  <si>
    <t>Soma de Durability</t>
  </si>
  <si>
    <t>Soma de Distância-Ataque</t>
  </si>
  <si>
    <t>Soma de C Durability</t>
  </si>
  <si>
    <t>Soma de Ataque-Surpresa</t>
  </si>
  <si>
    <t>Soma de Aproximação-Fácil</t>
  </si>
  <si>
    <t>Soma de C Distância-ataque</t>
  </si>
  <si>
    <t>8-BIT</t>
  </si>
  <si>
    <t>ALLI</t>
  </si>
  <si>
    <t>AMBER</t>
  </si>
  <si>
    <t>ANGELO</t>
  </si>
  <si>
    <t>ASH</t>
  </si>
  <si>
    <t>BARLEY</t>
  </si>
  <si>
    <t>BEA</t>
  </si>
  <si>
    <t>BELLE</t>
  </si>
  <si>
    <t>BERRY</t>
  </si>
  <si>
    <t>BIBI</t>
  </si>
  <si>
    <t>BO</t>
  </si>
  <si>
    <t>BONNIE</t>
  </si>
  <si>
    <t>BROCK</t>
  </si>
  <si>
    <t>BULL</t>
  </si>
  <si>
    <t>BUSTER</t>
  </si>
  <si>
    <t>BUZZ</t>
  </si>
  <si>
    <t>BYRON</t>
  </si>
  <si>
    <t>CARL</t>
  </si>
  <si>
    <t>CHARLIE</t>
  </si>
  <si>
    <t>CHESTER</t>
  </si>
  <si>
    <t>CHUCK</t>
  </si>
  <si>
    <t>CLANCY</t>
  </si>
  <si>
    <t>COLLETE</t>
  </si>
  <si>
    <t>COLT</t>
  </si>
  <si>
    <t>CORDELIUS</t>
  </si>
  <si>
    <t>CROW</t>
  </si>
  <si>
    <t>DARRYL</t>
  </si>
  <si>
    <t>DOUG</t>
  </si>
  <si>
    <t>DRACO</t>
  </si>
  <si>
    <t>DYNAMIKE</t>
  </si>
  <si>
    <t>EDGAR</t>
  </si>
  <si>
    <t>EL PRIMO</t>
  </si>
  <si>
    <t>EMZ</t>
  </si>
  <si>
    <t>EVE</t>
  </si>
  <si>
    <t>FANG</t>
  </si>
  <si>
    <t>FINX</t>
  </si>
  <si>
    <t>FRANK</t>
  </si>
  <si>
    <t>GALE</t>
  </si>
  <si>
    <t>GENE</t>
  </si>
  <si>
    <t>GIGI</t>
  </si>
  <si>
    <t>GLOWBERT</t>
  </si>
  <si>
    <t>GRAY</t>
  </si>
  <si>
    <t>GRIFF</t>
  </si>
  <si>
    <t>GROM</t>
  </si>
  <si>
    <t>GUS</t>
  </si>
  <si>
    <t>HANK</t>
  </si>
  <si>
    <t>JACKY</t>
  </si>
  <si>
    <t>JAE-YONG</t>
  </si>
  <si>
    <t>JANET</t>
  </si>
  <si>
    <t>JESSIE</t>
  </si>
  <si>
    <t>JUJU</t>
  </si>
  <si>
    <t>KAZE</t>
  </si>
  <si>
    <t>KENJI</t>
  </si>
  <si>
    <t>KIT</t>
  </si>
  <si>
    <t>LARRIE E LAWRIE</t>
  </si>
  <si>
    <t>LEON</t>
  </si>
  <si>
    <t>LILY</t>
  </si>
  <si>
    <t>LOLA</t>
  </si>
  <si>
    <t>LOU</t>
  </si>
  <si>
    <t>LUMI</t>
  </si>
  <si>
    <t>MAISIE</t>
  </si>
  <si>
    <t>MANDY</t>
  </si>
  <si>
    <t>MAX</t>
  </si>
  <si>
    <t>MEEPLE</t>
  </si>
  <si>
    <t>MEG</t>
  </si>
  <si>
    <t>MELLODIE</t>
  </si>
  <si>
    <t>MICO</t>
  </si>
  <si>
    <t>MINA</t>
  </si>
  <si>
    <t>MISTER P</t>
  </si>
  <si>
    <t>MOE</t>
  </si>
  <si>
    <t>MORTIS</t>
  </si>
  <si>
    <t>NANI</t>
  </si>
  <si>
    <t>NITA</t>
  </si>
  <si>
    <t>OLLIE</t>
  </si>
  <si>
    <t>OTIS</t>
  </si>
  <si>
    <t>PAM</t>
  </si>
  <si>
    <t>PEARL</t>
  </si>
  <si>
    <t>PENNY</t>
  </si>
  <si>
    <t>PIERCE</t>
  </si>
  <si>
    <t>PIPER</t>
  </si>
  <si>
    <t>POCO</t>
  </si>
  <si>
    <t>RICO</t>
  </si>
  <si>
    <t>ROSA</t>
  </si>
  <si>
    <t>R-T</t>
  </si>
  <si>
    <t>RUFUS</t>
  </si>
  <si>
    <t>SAM</t>
  </si>
  <si>
    <t>SANDY</t>
  </si>
  <si>
    <t>SHADE</t>
  </si>
  <si>
    <t>SHELLY</t>
  </si>
  <si>
    <t>SPIKE</t>
  </si>
  <si>
    <t>SPROUT</t>
  </si>
  <si>
    <t>SQUEAK</t>
  </si>
  <si>
    <t>STU</t>
  </si>
  <si>
    <t>TARA</t>
  </si>
  <si>
    <t>TICK</t>
  </si>
  <si>
    <t>TRUNK</t>
  </si>
  <si>
    <t>WATTSON</t>
  </si>
  <si>
    <t>WILLOW</t>
  </si>
  <si>
    <t>ZIGGY</t>
  </si>
  <si>
    <t>Total Geral</t>
  </si>
  <si>
    <t>durabilidade, (suporte-cura, suporte-escudo)</t>
  </si>
  <si>
    <t>ataque-surpresa, (durabilidade, velocidade-movimento)</t>
  </si>
  <si>
    <t>distancia-ataque, (durabilidade, aproximação-facil, counter-durabilidade)</t>
  </si>
  <si>
    <t>durabilidade (C-durabilidade, potencial-dano-curto-alcance)</t>
  </si>
  <si>
    <t>ID</t>
  </si>
  <si>
    <t>POT-DAN-CUR-ALC</t>
  </si>
  <si>
    <t>PODER-DE-STUN</t>
  </si>
  <si>
    <t>DANO-PETS</t>
  </si>
  <si>
    <t>Durability</t>
  </si>
  <si>
    <t>Distância-Ataque</t>
  </si>
  <si>
    <t>C Durability</t>
  </si>
  <si>
    <t>Ataque-Surpresa</t>
  </si>
  <si>
    <t>Aproximação-Fácil</t>
  </si>
  <si>
    <t>C Distância-ataque</t>
  </si>
  <si>
    <t>Botão-de-Fuga</t>
  </si>
  <si>
    <t>SIRIUS</t>
  </si>
  <si>
    <t xml:space="preserve">  </t>
  </si>
  <si>
    <t>PROJETEIS-PARA-SUPER</t>
  </si>
  <si>
    <t>DANO-PROJETIL</t>
  </si>
  <si>
    <t>TIROS-DADOS-EM-5-SEGUNDOS</t>
  </si>
  <si>
    <t>MÉDIA-PROJETEIS-POR-TIRO</t>
  </si>
  <si>
    <t>CURTO-ALCANCE-QUANT-PROJETIL-MEDIO</t>
  </si>
  <si>
    <t>MEDIO-ALCANCE-QUANT-PROJETIL-MEDIO</t>
  </si>
  <si>
    <t>LONGO-ALCANCE-QUANT-PROJETIL-MEDIO</t>
  </si>
  <si>
    <t>MTLONGO-ALCANCE-QUANT-PROJETIL-MEDIO</t>
  </si>
  <si>
    <t>CARREGAMENTO-SUPER-AO-ACERTAR-EM-PROJETEIS</t>
  </si>
  <si>
    <t>CURTO-ALCANCE-DANO-SUPER-MEDIO</t>
  </si>
  <si>
    <t>MEDIO-ALCANCE-DANO-SUPER-MEDIO</t>
  </si>
  <si>
    <t>LONGO-ALCANCE-DANO-SUPER-MEDIO</t>
  </si>
  <si>
    <t>MT-LONGO-ALCANCE-DANO-SUPER-MEDIO</t>
  </si>
  <si>
    <t>MÉDIA-DANO-POR-SUPER</t>
  </si>
  <si>
    <t>Ataque-amplo</t>
  </si>
  <si>
    <t>FREQUENCIA-DANO-INDIRETO</t>
  </si>
  <si>
    <t>NEGACAO-DE-AREA</t>
  </si>
  <si>
    <t>MANIPULACAO-DA-POSICAO-DE-INIMIGOS</t>
  </si>
  <si>
    <t>ANDA-SOBRE-AGUA</t>
  </si>
  <si>
    <t>COMBATER-INIMIGOS-SOBRE-AGUA</t>
  </si>
  <si>
    <t>POTENCIAL-DESTRUIÇÃO-DE-MUROS</t>
  </si>
  <si>
    <t>POTENCIAL-DESTRUIÇÃO-DE-MOITAS</t>
  </si>
  <si>
    <t>VELOCIDADE-MOVIMENTO</t>
  </si>
  <si>
    <t>FORÇA-ATK-SURP</t>
  </si>
  <si>
    <t>FREQUÊNCIA-GERAÇÃO-DE-PETS</t>
  </si>
  <si>
    <t>ACÚMULO-PETS</t>
  </si>
  <si>
    <t>VIDA-DETERIORÁVEL-PETS</t>
  </si>
  <si>
    <t>RESISTÊNCIA-PETS</t>
  </si>
  <si>
    <t>ALCANCE-PETS</t>
  </si>
  <si>
    <t>VELOCIDADE-PETS</t>
  </si>
  <si>
    <t>PROXIMIDADE-PETS</t>
  </si>
  <si>
    <t>DANO-AUMENTADO-QUANDO-AGRUPADO</t>
  </si>
  <si>
    <t>HP-SUPORTE</t>
  </si>
  <si>
    <t>HP-ENFRAQUECIMENTO</t>
  </si>
  <si>
    <t>DANO-SUPORTE</t>
  </si>
  <si>
    <t>DANO-ENFRAQUECIMENTO</t>
  </si>
  <si>
    <t>SPEED-SUPORTE</t>
  </si>
  <si>
    <t>INVISIBILIDADE-SUPORTE</t>
  </si>
  <si>
    <t>ESCUDO-SUPORTE</t>
  </si>
  <si>
    <t>POSICIONAMENTO-SUPORTE</t>
  </si>
  <si>
    <t>VENENO-DEBUFF</t>
  </si>
  <si>
    <t>COUNTER-VENENO-DEBUFF</t>
  </si>
  <si>
    <t>LENTIDAO-DEBUFF</t>
  </si>
  <si>
    <t>COUNTER-LENTIDAO-DEBUFF</t>
  </si>
  <si>
    <t>STUN-DEBUFF</t>
  </si>
  <si>
    <t>COUNTER-STUN-DEBUFF</t>
  </si>
  <si>
    <t>CANCELAMENTO-ATAQUES</t>
  </si>
  <si>
    <t>COUNTER-CANCELAMENTO-ATAQUES</t>
  </si>
  <si>
    <t>BLOQUEIO-DE-INIMIGOS</t>
  </si>
  <si>
    <t>CURTO-ALCANCE-5-SEC-DANO-TOTAL-1-SUPER</t>
  </si>
  <si>
    <t>MEDIO-ALCANCE-5-SEC-DANO-TOTAL-1-SUPER</t>
  </si>
  <si>
    <t>LONGO-ALCANCE-5-SEC-DANO-TOTAL-1-SUPER</t>
  </si>
  <si>
    <t>MT-LONGO-ALCANCE-5-SEC-DANO-TOTAL-1-SUPER</t>
  </si>
  <si>
    <t>CURTO-ALCANCE-5-SEC-DANO-MEDIO</t>
  </si>
  <si>
    <t>MEDIO-ALCANCE-5-SEC-DANO-MEDIO</t>
  </si>
  <si>
    <t>LONGO-ALCANCE-5-SEC-DANO-MEDIO</t>
  </si>
  <si>
    <t>MT-LONGO-ALCANCE-5-SEC-DANO-MEDIO</t>
  </si>
  <si>
    <t>ESPAÇO</t>
  </si>
  <si>
    <t>CURTO-ALCANCE-DANO-RESISTENCIA</t>
  </si>
  <si>
    <t>MEDIO-ALCANCE-DANO-RESISTENCIA</t>
  </si>
  <si>
    <t>LONGO-ALCANCE-DANO-RESISTENCIA</t>
  </si>
  <si>
    <t>MT-LONGO-ALCANCE-DANO-RESISTENCIA</t>
  </si>
  <si>
    <t>CURTO-ALCANCE-ATK-SURPRESA</t>
  </si>
  <si>
    <t>MEDIO-ALCANCE-ATK-SURPRESA</t>
  </si>
  <si>
    <t>LONGO-ALCANCE-ATK-SURPRESA</t>
  </si>
  <si>
    <t>MT-LONGO-ALCANCE-ATK-SURPRESA</t>
  </si>
  <si>
    <t>Controle-ativo-de-Área</t>
  </si>
  <si>
    <t>CONTROLE DE AREA</t>
  </si>
  <si>
    <t>DANO INDIRETO</t>
  </si>
  <si>
    <t>Geração multiplos pets</t>
  </si>
  <si>
    <t>Geração resistentes pets</t>
  </si>
  <si>
    <t>Punição-Agrupamento</t>
  </si>
  <si>
    <t>VELOCIDADES RECARGA</t>
  </si>
  <si>
    <t>MT-RAPIDO</t>
  </si>
  <si>
    <t>0.66t p/s</t>
  </si>
  <si>
    <t>RAPIDO</t>
  </si>
  <si>
    <t>0.57t p/s</t>
  </si>
  <si>
    <t>NORMAL</t>
  </si>
  <si>
    <t>0.50t p/s</t>
  </si>
  <si>
    <t>LENTO</t>
  </si>
  <si>
    <t>0.43t p/s</t>
  </si>
  <si>
    <t>MT-LENTO</t>
  </si>
  <si>
    <t>0.33t p/s</t>
  </si>
  <si>
    <t>(Tudo)</t>
  </si>
  <si>
    <t>NOME ACESSÓRIO</t>
  </si>
  <si>
    <t>NOME PODER DE ESTRELA</t>
  </si>
  <si>
    <t>NOME HIPERCARGA</t>
  </si>
  <si>
    <t>Valores</t>
  </si>
  <si>
    <t>TICK Total</t>
  </si>
  <si>
    <t>Soma de PROJETEIS-PARA-SUPER</t>
  </si>
  <si>
    <t>MINE MANIA</t>
  </si>
  <si>
    <t>LAST HURRAH</t>
  </si>
  <si>
    <t>WELL OILED</t>
  </si>
  <si>
    <t>AUTOMA-TICK RELOAD</t>
  </si>
  <si>
    <t>HEADSTRONG</t>
  </si>
  <si>
    <t>Soma de SUPERS-PARA-HIPERCARGA</t>
  </si>
  <si>
    <t>Soma de DANO-PROJETIL</t>
  </si>
  <si>
    <t>Soma de TIROS-DADOS-EM-5-SEGUNDOS</t>
  </si>
  <si>
    <t>Soma de MÉDIA-PROJETEIS-POR-TIRO</t>
  </si>
  <si>
    <t>Soma de CURTO-ALCANCE-QUANT-PROJETIL-MEDIO</t>
  </si>
  <si>
    <t>Soma de MEDIO-ALCANCE-QUANT-PROJETIL-MEDIO</t>
  </si>
  <si>
    <t>Soma de LONGO-ALCANCE-QUANT-PROJETIL-MEDIO</t>
  </si>
  <si>
    <t>Soma de MTLONGO-ALCANCE-QUANT-PROJETIL-MEDIO</t>
  </si>
  <si>
    <t>Soma de CARREGAMENTO-SUPER-AO-ACERTAR-EM-PROJETEIS</t>
  </si>
  <si>
    <t>Soma de CURTO-ALCANCE-DANO-SUPER-MEDIO</t>
  </si>
  <si>
    <t>Soma de MEDIO-ALCANCE-DANO-SUPER-MEDIO</t>
  </si>
  <si>
    <t>Soma de LONGO-ALCANCE-DANO-SUPER-MEDIO</t>
  </si>
  <si>
    <t>Soma de MT-LONGO-ALCANCE-DANO-SUPER-MEDIO</t>
  </si>
  <si>
    <t>Soma de MÉDIA-DANO-POR-SUPER</t>
  </si>
  <si>
    <t>Soma de DANO-OCASIONAL</t>
  </si>
  <si>
    <t>Soma de Botão-de-Fuga</t>
  </si>
  <si>
    <t>Soma de Ataque-amplo</t>
  </si>
  <si>
    <t>Soma de FREQUENCIA-DANO-INDIRETO</t>
  </si>
  <si>
    <t>Soma de NEGACAO-DE-AREA</t>
  </si>
  <si>
    <t>Soma de MANIPULACAO-DA-POSICAO-DE-INIMIGOS</t>
  </si>
  <si>
    <t>Soma de ANDA-SOBRE-AGUA</t>
  </si>
  <si>
    <t>Soma de COMBATER-INIMIGOS-SOBRE-AGUA</t>
  </si>
  <si>
    <t>Soma de POTENCIAL-DESTRUIÇÃO-DE-MUROS</t>
  </si>
  <si>
    <t>Soma de POTENCIAL-DESTRUIÇÃO-DE-MOITAS</t>
  </si>
  <si>
    <t>Soma de POTENCIAL-DE-CRIACAO-DE-COVER</t>
  </si>
  <si>
    <t>Soma de VELOCIDADE-MOVIMENTO</t>
  </si>
  <si>
    <t>Soma de FORÇA-ATK-SURP</t>
  </si>
  <si>
    <t>Soma de FREQUÊNCIA-GERAÇÃO-DE-PETS</t>
  </si>
  <si>
    <t>Soma de ACÚMULO-PETS</t>
  </si>
  <si>
    <t>Soma de VIDA-DETERIORÁVEL-PETS</t>
  </si>
  <si>
    <t>Soma de RESISTÊNCIA-PETS</t>
  </si>
  <si>
    <t>Soma de DANO-PETS</t>
  </si>
  <si>
    <t>Soma de ALCANCE-PETS</t>
  </si>
  <si>
    <t>Soma de VELOCIDADE-PETS</t>
  </si>
  <si>
    <t>Soma de PROXIMIDADE-PETS</t>
  </si>
  <si>
    <t>Soma de DANO-AUMENTADO-QUANDO-AGRUPADO</t>
  </si>
  <si>
    <t>Soma de CISCUNSTANCIABILIDADE</t>
  </si>
  <si>
    <t>Soma de HP-SUPORTE</t>
  </si>
  <si>
    <t>Soma de CIRCUNSTANCIABILIDADE</t>
  </si>
  <si>
    <t>Soma de CIRCUSNTANCIABILIDADE</t>
  </si>
  <si>
    <t>Soma de HP-ENFRAQUECIMENTO</t>
  </si>
  <si>
    <t>Soma de ESCUDO-SUPORTE</t>
  </si>
  <si>
    <t>Soma de DANO-SUPORTE</t>
  </si>
  <si>
    <t>Soma de DANO-ENFRAQUECIMENTO</t>
  </si>
  <si>
    <t>Soma de SPEED-SUPORTE</t>
  </si>
  <si>
    <t>Soma de INVISIBILIDADE-SUPORTE</t>
  </si>
  <si>
    <t>Soma de POSICIONAMENTO-SUPORTE</t>
  </si>
  <si>
    <t>Soma de VENENO-DEBUFF</t>
  </si>
  <si>
    <t>Soma de COUNTER-VENENO-DEBUFF</t>
  </si>
  <si>
    <t>Soma de STUN-DEBUFF</t>
  </si>
  <si>
    <t>Soma de COUNTER-STUN-DEBUFF</t>
  </si>
  <si>
    <t>Soma de LENTIDAO-DEBUFF</t>
  </si>
  <si>
    <t>Soma de COUNTER-LENTIDAO-DEBUFF</t>
  </si>
  <si>
    <t>Soma de BLOQUEIO-DE-INIMIGOS</t>
  </si>
  <si>
    <t>Soma de CANCELAMENTO-ATAQUES</t>
  </si>
  <si>
    <t>Soma de COUNTER-CANCELAMENTO-ATAQUES</t>
  </si>
  <si>
    <t>Contagem de ESPAÇO</t>
  </si>
  <si>
    <t>Contagem de ESPAÇO2</t>
  </si>
  <si>
    <t>Contagem de ESPAÇO3</t>
  </si>
  <si>
    <t>Contagem de ESPAÇO4</t>
  </si>
  <si>
    <t>Soma de CURTO-ALCANCE-5-SEC-DANO-TOTAL-1-SUPER</t>
  </si>
  <si>
    <t>Soma de MEDIO-ALCANCE-5-SEC-DANO-TOTAL-1-SUPER</t>
  </si>
  <si>
    <t>Soma de LONGO-ALCANCE-5-SEC-DANO-TOTAL-1-SUPER</t>
  </si>
  <si>
    <t>Soma de MT-LONGO-ALCANCE-5-SEC-DANO-TOTAL-1-SUPER</t>
  </si>
  <si>
    <t>Soma de CURTO-ALCANCE-5-SEC-DANO-MEDIO</t>
  </si>
  <si>
    <t>Soma de MEDIO-ALCANCE-5-SEC-DANO-MEDIO</t>
  </si>
  <si>
    <t>Soma de LONGO-ALCANCE-5-SEC-DANO-MEDIO</t>
  </si>
  <si>
    <t>Soma de MT-LONGO-ALCANCE-5-SEC-DANO-MEDIO</t>
  </si>
  <si>
    <t>Soma de CURTO-ALCANCE-DANO-RESISTENCIA</t>
  </si>
  <si>
    <t>Soma de MEDIO-ALCANCE-DANO-RESISTENCIA</t>
  </si>
  <si>
    <t>Soma de LONGO-ALCANCE-DANO-RESISTENCIA</t>
  </si>
  <si>
    <t>Soma de MT-LONGO-ALCANCE-DANO-RESISTENCIA</t>
  </si>
  <si>
    <t>Soma de CURTO-ALCANCE-ATK-SURPRESA</t>
  </si>
  <si>
    <t>Soma de MEDIO-ALCANCE-ATK-SURPRESA</t>
  </si>
  <si>
    <t>Soma de LONGO-ALCANCE-ATK-SURPRESA</t>
  </si>
  <si>
    <t>Soma de MT-LONGO-ALCANCE-ATK-SURPRESA</t>
  </si>
  <si>
    <t>Soma de Controle-ativo-de-Área</t>
  </si>
  <si>
    <t>Soma de CONTROLE DE AREA</t>
  </si>
  <si>
    <t>Soma de DANO INDIRETO</t>
  </si>
  <si>
    <t>Soma de Geração multiplos pets</t>
  </si>
  <si>
    <t>Soma de Geração resistentes pets</t>
  </si>
  <si>
    <t>Soma de Punição-Agrupamento</t>
  </si>
  <si>
    <t>APROX</t>
  </si>
  <si>
    <t>name</t>
  </si>
  <si>
    <t>main_specific_weakness</t>
  </si>
  <si>
    <t>specific_weakness</t>
  </si>
  <si>
    <t>_necessary_projectiles_to_charge_super</t>
  </si>
  <si>
    <t>_necessary_supers_to_charge_hipercharge</t>
  </si>
  <si>
    <t>_projectile_damage</t>
  </si>
  <si>
    <t>_shots_per_five_seconds</t>
  </si>
  <si>
    <t>_average_projectiles_per_shot</t>
  </si>
  <si>
    <t>_projectiles_per_shot_in_short_range</t>
  </si>
  <si>
    <t>_projectiles_per_shot_in_medium_range</t>
  </si>
  <si>
    <t>_projectiles_per_shot_in_long_range</t>
  </si>
  <si>
    <t>_projectiles_per_shot_in_very_long_range</t>
  </si>
  <si>
    <t>_shotting_time</t>
  </si>
  <si>
    <t>_auto_charge_super</t>
  </si>
  <si>
    <t>super_damage_in_short_range</t>
  </si>
  <si>
    <t>super_damage_in_medium_range</t>
  </si>
  <si>
    <t>super_damage_in_long_range</t>
  </si>
  <si>
    <t>super_damage_in_very_long_range</t>
  </si>
  <si>
    <t>average_super_damage</t>
  </si>
  <si>
    <t>_super_time</t>
  </si>
  <si>
    <t>ocasional_damage</t>
  </si>
  <si>
    <t>_durability</t>
  </si>
  <si>
    <t>_attack_distance</t>
  </si>
  <si>
    <t>retreat_button</t>
  </si>
  <si>
    <t>wide_attack</t>
  </si>
  <si>
    <t>_indirect_damage_efficiency</t>
  </si>
  <si>
    <t>area_denial</t>
  </si>
  <si>
    <t>enemy_position_manipulation</t>
  </si>
  <si>
    <t>water_walking</t>
  </si>
  <si>
    <t>counter_water_walking</t>
  </si>
  <si>
    <t>wall_break_efficiency</t>
  </si>
  <si>
    <t>grass_break_efficiency</t>
  </si>
  <si>
    <t>cover_creation_efficiency</t>
  </si>
  <si>
    <t>_movement_speed</t>
  </si>
  <si>
    <t>_surprise_attack_power</t>
  </si>
  <si>
    <t>_surprise_attack</t>
  </si>
  <si>
    <t>_frequency_of_pets_generation</t>
  </si>
  <si>
    <t>_accumulation_of_pets</t>
  </si>
  <si>
    <t>_deteriorability_of_pets</t>
  </si>
  <si>
    <t>_pets_resistence</t>
  </si>
  <si>
    <t>_pets_damage</t>
  </si>
  <si>
    <t>_pets_range</t>
  </si>
  <si>
    <t>_pets_speed</t>
  </si>
  <si>
    <t>_pets_proximity</t>
  </si>
  <si>
    <t>_increased_damage_when_grouped</t>
  </si>
  <si>
    <t>grass_vision</t>
  </si>
  <si>
    <t>circumstantiality_of_overall_proficiency</t>
  </si>
  <si>
    <t>explanation_for_circumstantiality</t>
  </si>
  <si>
    <t>heal_buffing</t>
  </si>
  <si>
    <t>counter_heal_buffing</t>
  </si>
  <si>
    <t>shield_buffing</t>
  </si>
  <si>
    <t>damage_buffing</t>
  </si>
  <si>
    <t>counter_damage_buffing</t>
  </si>
  <si>
    <t>speed_buffing</t>
  </si>
  <si>
    <t>invisibility_buffing</t>
  </si>
  <si>
    <t>positioning_buffing</t>
  </si>
  <si>
    <t>poison_debuffing</t>
  </si>
  <si>
    <t>counter_poison_debuffing</t>
  </si>
  <si>
    <t>stun_debuffing</t>
  </si>
  <si>
    <t>counter_stun_debuffing</t>
  </si>
  <si>
    <t>slowness_debuffing</t>
  </si>
  <si>
    <t>counter_slowness_debuffing</t>
  </si>
  <si>
    <t>attacks_canceling</t>
  </si>
  <si>
    <t>counter_attacks_canceling</t>
  </si>
  <si>
    <t>block_enemies</t>
  </si>
  <si>
    <t>object_burst_damage_in_short_range</t>
  </si>
  <si>
    <t>object_burst_damage_in_medium_range</t>
  </si>
  <si>
    <t>object_burst_damage_in_long_range</t>
  </si>
  <si>
    <t>object_burst_damage_in_very_long_range</t>
  </si>
  <si>
    <t>usual_burst_damage_in_short_range</t>
  </si>
  <si>
    <t>usual_burst_damage_in_medium_range</t>
  </si>
  <si>
    <t>usual_burst_damage_in_long_range</t>
  </si>
  <si>
    <t>usual_burst_damage_in_very_long_range</t>
  </si>
  <si>
    <t>balance_between_damage_and_durability_in_short_range</t>
  </si>
  <si>
    <t>balance_between_damage_and_durability_in_medium_range</t>
  </si>
  <si>
    <t>balance_between_damage_and_durability_in_long_range</t>
  </si>
  <si>
    <t>balance_between_damage_and_durability_in_very_long_range</t>
  </si>
  <si>
    <t>surprise_attack_power_in_short_range</t>
  </si>
  <si>
    <t>surprise_attack_power_in_medium_range</t>
  </si>
  <si>
    <t>surprise_attack_power_in_long_range</t>
  </si>
  <si>
    <t>surprise_attack_power_in_very_long_range</t>
  </si>
  <si>
    <t>easy_approach</t>
  </si>
  <si>
    <t>pressure</t>
  </si>
  <si>
    <t>area_control</t>
  </si>
  <si>
    <t>indirect_damage</t>
  </si>
  <si>
    <t>multiple_pets_generation</t>
  </si>
  <si>
    <t>durable_pets_generation</t>
  </si>
  <si>
    <t>groupment_punishment</t>
  </si>
  <si>
    <t>none</t>
  </si>
  <si>
    <t>Some of this brawler's abilities are only available on maps with water.</t>
  </si>
  <si>
    <t>Some of this brawler's abilities are only available on maps with water and grass.</t>
  </si>
  <si>
    <t>-</t>
  </si>
  <si>
    <t>FRACO SE INIMIGOS POSSUEM OU SE INIMIGOS NÃO POSSUEM</t>
  </si>
  <si>
    <t>SINERGIAS</t>
  </si>
  <si>
    <t>QUANT MENÇÕES</t>
  </si>
  <si>
    <t>freq-based</t>
  </si>
  <si>
    <t>additional_power_name</t>
  </si>
  <si>
    <t>RECARGA-DO-ACESSÓRIO</t>
  </si>
  <si>
    <t>WARPIN' TIME</t>
  </si>
  <si>
    <t>STINGING FLIGHT</t>
  </si>
  <si>
    <t>MULTIBALL LAUNCHER</t>
  </si>
  <si>
    <t>POPPING PINCUSHION</t>
  </si>
  <si>
    <t>CLONE PROJECTOR</t>
  </si>
  <si>
    <t>SPRING EJECTOR</t>
  </si>
  <si>
    <t>FAST FORWARD</t>
  </si>
  <si>
    <t>TUNING FORK</t>
  </si>
  <si>
    <t>FRIENDSHIP IS GREAT</t>
  </si>
  <si>
    <t>ACTIVE NOISE CANCELING</t>
  </si>
  <si>
    <t>This gadget improves the brawler's survivability by intercepting shots. However, it doesn't work with all types of projectiles.</t>
  </si>
  <si>
    <t>SLEEP STIMULATOR</t>
  </si>
  <si>
    <t>This gadget improves the brawler's survivability by restoring their HP after a certain amount of time. However, this ability becomes quite ineffective if their enemies have a lot of burst damage or abilities that cancel the cooldown.</t>
  </si>
  <si>
    <t>PNEUMATIC BOOSTER</t>
  </si>
  <si>
    <t>SALTY BARREL</t>
  </si>
  <si>
    <t>COMBO SPINNER</t>
  </si>
  <si>
    <t>VOODOO CHILE</t>
  </si>
  <si>
    <t>GOTTA GO</t>
  </si>
  <si>
    <t>PHASE SHIFTER</t>
  </si>
  <si>
    <t>FREQUENCIA:</t>
  </si>
  <si>
    <t>: 1p/5s</t>
  </si>
  <si>
    <t>RETURN TO SENDER</t>
  </si>
  <si>
    <t>This gadget improves the brawler's overall survivability and damage output. However, this ability becomes much less efficient, almost useless, if many enemies deal damage in multiple projectiles, just as it becomes more efficient if many enemies deal massive damage with single projectiles.</t>
  </si>
  <si>
    <t>MASTER FLETCHER</t>
  </si>
  <si>
    <t>BOUNCY CASTLE</t>
  </si>
  <si>
    <t>This gadget improves the brawler's survivability. However, it relies on walls and strategic use to maximize its healing potential.</t>
  </si>
  <si>
    <t>LIFE PLANT</t>
  </si>
  <si>
    <t>LOLLIPOP DROP</t>
  </si>
  <si>
    <t>TWISTER</t>
  </si>
  <si>
    <t>CLAY PIGEONS</t>
  </si>
  <si>
    <t>PROTECTIVE TUNES</t>
  </si>
  <si>
    <t>HEALTHY ADDITIVES</t>
  </si>
  <si>
    <t>IRRESISTIBLE ATRACTION</t>
  </si>
  <si>
    <t>SWEET DREAMS</t>
  </si>
  <si>
    <t>REBUILD</t>
  </si>
  <si>
    <t>This gadget improves the brawler's ability to create cover. However, it only works under specific circumstances (proximity to destroyed walls/bushes).</t>
  </si>
  <si>
    <t>TRUSTY SPYGLASS</t>
  </si>
  <si>
    <t>CREATURE OF THE NIGHT</t>
  </si>
  <si>
    <t>ELEMENTALIST</t>
  </si>
  <si>
    <t>This gadget can be used in a variety of ways. However, you need to choose between multiple uses for it and never have all benefits of it in a single use</t>
  </si>
  <si>
    <t>MOTHERLY LOVE</t>
  </si>
  <si>
    <t>This gadget improves the brawler's survivability. However, that depends a lot on the context and needs long preparation.</t>
  </si>
  <si>
    <t>SNEAKY SNEAKERS</t>
  </si>
  <si>
    <t>This gadget improves the brawler's survivability. However, some brawlers with high mobility, long ranges and debuffers can take advantage of your totem, what would make the gadget a lot more limited.</t>
  </si>
  <si>
    <t>PESO DIVISOR</t>
  </si>
  <si>
    <t>AUTOFOCUS</t>
  </si>
  <si>
    <t>EMPOWER</t>
  </si>
  <si>
    <t>SUPER BOUNCY</t>
  </si>
  <si>
    <t>FERTILIZE</t>
  </si>
  <si>
    <t>This star-power improves the brawler's survivability. However, that depends a lot on the context and needs long preparation.</t>
  </si>
  <si>
    <t>SMOKE TRAILS</t>
  </si>
  <si>
    <t>BLUSTERY BLOW</t>
  </si>
  <si>
    <t>SHELL SHOCK</t>
  </si>
  <si>
    <t>DA CAPO</t>
  </si>
  <si>
    <t>FLOOR IS FINE</t>
  </si>
  <si>
    <t>POWER GRAB</t>
  </si>
  <si>
    <t>This star-power improves the brawler's survivability and damage. However, that only happens for a few moments after defeating an enemy.</t>
  </si>
  <si>
    <t>RUDE SANDS</t>
  </si>
  <si>
    <t>COUNTER CRUSH</t>
  </si>
  <si>
    <t>HEAVY COFFERS</t>
  </si>
  <si>
    <t>CREEPY HARVEST</t>
  </si>
  <si>
    <t>This star-power improves the brawler's survivability. However, that only happens after defeating an enemy, and also works better in matches where it's easier for Mortis to defeat enemies and harder for enemies to kill him.</t>
  </si>
  <si>
    <t>GUARDED GRIS-GRIS</t>
  </si>
  <si>
    <t>UNNATURAL ORDER</t>
  </si>
  <si>
    <t>SUPER CHARGED</t>
  </si>
  <si>
    <t>PASSIVA/TIRO PADRÃO:</t>
  </si>
  <si>
    <t>peso 1</t>
  </si>
  <si>
    <t>RELACIONADA À SUPER:</t>
  </si>
  <si>
    <t>projeteis p/super / média projeteis</t>
  </si>
  <si>
    <t>TEMPERED STEEL</t>
  </si>
  <si>
    <t>FLOW</t>
  </si>
  <si>
    <t>This star-power improves the brawler's mobility. However, it becomes absolutely useless in maps without centralized water.</t>
  </si>
  <si>
    <t>ROBO RETREAT</t>
  </si>
  <si>
    <t>This star-power improves the brawler's mobility. However, it only happens when the brawler's hp is low, becoming less useful against brawlers with wide attacks or long ranges.</t>
  </si>
  <si>
    <t>CURVEBALL</t>
  </si>
  <si>
    <t>INVISIHEAL</t>
  </si>
  <si>
    <t>FREEZING SNOW</t>
  </si>
  <si>
    <t>BAND-AID</t>
  </si>
  <si>
    <t>SCREECHING SOLO</t>
  </si>
  <si>
    <t>MAKING A MESS</t>
  </si>
  <si>
    <t>This star-power improves the brawler's damage. However, it requires a very specific context and use.</t>
  </si>
  <si>
    <t>SPONGE</t>
  </si>
  <si>
    <t>HEALING WINDS</t>
  </si>
  <si>
    <t>HARDY HARD HAT</t>
  </si>
  <si>
    <t>MASTER BLASTER</t>
  </si>
  <si>
    <t>COILED SNAKE</t>
  </si>
  <si>
    <t>NUMBING NEEDLES</t>
  </si>
  <si>
    <t>HAPPY SURPRISE</t>
  </si>
  <si>
    <t>RUN N GUN</t>
  </si>
  <si>
    <t>BIG PEEP</t>
  </si>
  <si>
    <t>IN MY ELEMENT</t>
  </si>
  <si>
    <t>TRICK SHOT KING</t>
  </si>
  <si>
    <t>BLOOMING SEASON</t>
  </si>
  <si>
    <t>LIMBO</t>
  </si>
  <si>
    <t>BLIZZARD</t>
  </si>
  <si>
    <t>DOUBLE BARREL</t>
  </si>
  <si>
    <t>MEDIC'S MELODY</t>
  </si>
  <si>
    <t>DOUBLE SCOOPS</t>
  </si>
  <si>
    <t>SEISMIC SMASH</t>
  </si>
  <si>
    <t>SWIFT WINDS</t>
  </si>
  <si>
    <t>SEISMIC EVENT</t>
  </si>
  <si>
    <t>NEW LOBBER</t>
  </si>
  <si>
    <t>BLOOD BOOMERANG</t>
  </si>
  <si>
    <t>BOKOR</t>
  </si>
  <si>
    <t>GENERATIONS</t>
  </si>
  <si>
    <t>UNLIMITED ENERGY</t>
  </si>
  <si>
    <t>This hipercharge, when used with a super, can charge allies's supers, what is not accounted in this software by now.</t>
  </si>
  <si>
    <t>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</si>
</sst>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1"/>
      <color theme="1"/>
      <name val="Aptos Narrow"/>
      <family val="2"/>
      <scheme val="minor"/>
    </font>
    <font>
      <u/>
      <sz val="11"/>
      <color theme="1"/>
      <name val="Aptos Narrow"/>
      <family val="2"/>
      <scheme val="minor"/>
    </font>
    <font>
      <sz val="11"/>
      <color theme="0"/>
      <name val="Aptos Narrow"/>
      <family val="2"/>
      <scheme val="minor"/>
    </font>
    <font>
      <sz val="11"/>
      <color theme="1"/>
      <name val="Consolas"/>
      <charset val="1"/>
    </font>
    <font>
      <sz val="11"/>
      <color theme="1"/>
      <name val="Consolas"/>
    </font>
    <font>
      <sz val="8"/>
      <color theme="1"/>
      <name val="Aptos Narrow"/>
      <family val="2"/>
      <scheme val="minor"/>
    </font>
    <font>
      <sz val="11"/>
      <color rgb="FF000000"/>
      <name val="Aptos Narrow"/>
      <family val="2"/>
      <scheme val="minor"/>
    </font>
    <font>
      <sz val="11"/>
      <color rgb="FF000000"/>
      <name val="Aptos Narrow"/>
      <scheme val="minor"/>
    </font>
    <font>
      <sz val="11"/>
      <color rgb="FF000000"/>
      <name val="Consolas"/>
      <charset val="1"/>
    </font>
    <font>
      <u val="double"/>
      <sz val="12"/>
      <color theme="1"/>
      <name val="Comic Sans MS"/>
    </font>
    <font>
      <sz val="10"/>
      <color theme="0"/>
      <name val="Aptos Narrow"/>
      <family val="2"/>
      <scheme val="minor"/>
    </font>
  </fonts>
  <fills count="24">
    <fill>
      <patternFill patternType="none"/>
    </fill>
    <fill>
      <patternFill patternType="gray125"/>
    </fill>
    <fill>
      <patternFill patternType="solid">
        <fgColor rgb="FF92D050"/>
        <bgColor indexed="64"/>
      </patternFill>
    </fill>
    <fill>
      <patternFill patternType="solid">
        <fgColor theme="4" tint="0.59999389629810485"/>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8" tint="-0.249977111117893"/>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2" tint="-0.749992370372631"/>
        <bgColor indexed="64"/>
      </patternFill>
    </fill>
    <fill>
      <patternFill patternType="solid">
        <fgColor theme="2" tint="-0.249977111117893"/>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rgb="FFFF0000"/>
        <bgColor indexed="64"/>
      </patternFill>
    </fill>
    <fill>
      <patternFill patternType="solid">
        <fgColor rgb="FFC00000"/>
        <bgColor indexed="64"/>
      </patternFill>
    </fill>
    <fill>
      <patternFill patternType="solid">
        <fgColor rgb="FF00B309"/>
        <bgColor indexed="64"/>
      </patternFill>
    </fill>
    <fill>
      <patternFill patternType="solid">
        <fgColor rgb="FF006105"/>
        <bgColor indexed="64"/>
      </patternFill>
    </fill>
    <fill>
      <patternFill patternType="solid">
        <fgColor theme="2" tint="-0.499984740745262"/>
        <bgColor indexed="64"/>
      </patternFill>
    </fill>
    <fill>
      <patternFill patternType="solid">
        <fgColor theme="3" tint="9.9978637043366805E-2"/>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s>
  <cellStyleXfs count="1">
    <xf numFmtId="0" fontId="0" fillId="0" borderId="0"/>
  </cellStyleXfs>
  <cellXfs count="142">
    <xf numFmtId="0" fontId="0" fillId="0" borderId="0" xfId="0"/>
    <xf numFmtId="0" fontId="1" fillId="0" borderId="0" xfId="0" applyFont="1"/>
    <xf numFmtId="0" fontId="2" fillId="4" borderId="1" xfId="0" applyFont="1" applyFill="1" applyBorder="1"/>
    <xf numFmtId="0" fontId="0" fillId="0" borderId="0" xfId="0" applyFont="1"/>
    <xf numFmtId="0" fontId="0" fillId="2" borderId="1" xfId="0" applyFont="1" applyFill="1" applyBorder="1"/>
    <xf numFmtId="0" fontId="4" fillId="0" borderId="0" xfId="0" applyFont="1"/>
    <xf numFmtId="0" fontId="3" fillId="0" borderId="0" xfId="0" applyFont="1"/>
    <xf numFmtId="0" fontId="2" fillId="5" borderId="2" xfId="0" applyFont="1" applyFill="1" applyBorder="1"/>
    <xf numFmtId="0" fontId="2" fillId="6" borderId="1" xfId="0" applyFont="1" applyFill="1" applyBorder="1"/>
    <xf numFmtId="0" fontId="0" fillId="7" borderId="1" xfId="0" applyFont="1" applyFill="1" applyBorder="1"/>
    <xf numFmtId="0" fontId="3" fillId="3" borderId="2" xfId="0" applyFont="1" applyFill="1" applyBorder="1"/>
    <xf numFmtId="0" fontId="0" fillId="3" borderId="2" xfId="0" applyFont="1" applyFill="1" applyBorder="1"/>
    <xf numFmtId="2" fontId="0" fillId="0" borderId="0" xfId="0" applyNumberFormat="1" applyFont="1"/>
    <xf numFmtId="2" fontId="2" fillId="6" borderId="1" xfId="0" applyNumberFormat="1" applyFont="1" applyFill="1" applyBorder="1"/>
    <xf numFmtId="2" fontId="0" fillId="7" borderId="1" xfId="0" applyNumberFormat="1" applyFont="1" applyFill="1" applyBorder="1"/>
    <xf numFmtId="2" fontId="5" fillId="0" borderId="0" xfId="0" applyNumberFormat="1" applyFont="1" applyAlignment="1">
      <alignment vertical="center" wrapText="1"/>
    </xf>
    <xf numFmtId="0" fontId="0" fillId="0" borderId="0" xfId="0" pivotButton="1"/>
    <xf numFmtId="2" fontId="0" fillId="0" borderId="0" xfId="0" applyNumberFormat="1"/>
    <xf numFmtId="0" fontId="0" fillId="0" borderId="0" xfId="0" applyNumberFormat="1"/>
    <xf numFmtId="0" fontId="5" fillId="0" borderId="0" xfId="0" applyFont="1" applyAlignment="1">
      <alignment vertical="center" wrapText="1"/>
    </xf>
    <xf numFmtId="0" fontId="2" fillId="8" borderId="2" xfId="0" applyFont="1" applyFill="1" applyBorder="1"/>
    <xf numFmtId="0" fontId="0" fillId="9" borderId="2" xfId="0" applyFont="1" applyFill="1" applyBorder="1"/>
    <xf numFmtId="0" fontId="3" fillId="9" borderId="2" xfId="0" applyFont="1" applyFill="1" applyBorder="1"/>
    <xf numFmtId="1" fontId="0" fillId="7" borderId="1" xfId="0" applyNumberFormat="1" applyFont="1" applyFill="1" applyBorder="1"/>
    <xf numFmtId="0" fontId="0" fillId="0" borderId="0" xfId="0" applyAlignment="1"/>
    <xf numFmtId="0" fontId="2" fillId="6" borderId="2" xfId="0" applyFont="1" applyFill="1" applyBorder="1"/>
    <xf numFmtId="0" fontId="2" fillId="8" borderId="1" xfId="0" applyFont="1" applyFill="1" applyBorder="1"/>
    <xf numFmtId="0" fontId="0" fillId="9" borderId="1" xfId="0" applyFont="1" applyFill="1" applyBorder="1"/>
    <xf numFmtId="0" fontId="2" fillId="0" borderId="0" xfId="0" applyFont="1"/>
    <xf numFmtId="1" fontId="6" fillId="2" borderId="1" xfId="0" applyNumberFormat="1" applyFont="1" applyFill="1" applyBorder="1"/>
    <xf numFmtId="164" fontId="6" fillId="3" borderId="2" xfId="0" applyNumberFormat="1" applyFont="1" applyFill="1" applyBorder="1"/>
    <xf numFmtId="0" fontId="6" fillId="9" borderId="2" xfId="0" applyFont="1" applyFill="1" applyBorder="1"/>
    <xf numFmtId="164" fontId="6" fillId="9" borderId="1" xfId="0" applyNumberFormat="1" applyFont="1" applyFill="1" applyBorder="1"/>
    <xf numFmtId="0" fontId="6" fillId="9" borderId="1" xfId="0" applyFont="1" applyFill="1" applyBorder="1"/>
    <xf numFmtId="1" fontId="6" fillId="9" borderId="1" xfId="0" applyNumberFormat="1" applyFont="1" applyFill="1" applyBorder="1"/>
    <xf numFmtId="0" fontId="6" fillId="0" borderId="0" xfId="0" applyFont="1"/>
    <xf numFmtId="1" fontId="7" fillId="7" borderId="2" xfId="0" applyNumberFormat="1" applyFont="1" applyFill="1" applyBorder="1"/>
    <xf numFmtId="164" fontId="8" fillId="3" borderId="2" xfId="0" applyNumberFormat="1" applyFont="1" applyFill="1" applyBorder="1"/>
    <xf numFmtId="0" fontId="8" fillId="9" borderId="2" xfId="0" applyFont="1" applyFill="1" applyBorder="1"/>
    <xf numFmtId="0" fontId="6" fillId="10" borderId="1" xfId="0" applyFont="1" applyFill="1" applyBorder="1"/>
    <xf numFmtId="0" fontId="2" fillId="6" borderId="3" xfId="0" applyFont="1" applyFill="1" applyBorder="1"/>
    <xf numFmtId="2" fontId="0" fillId="7" borderId="3" xfId="0" applyNumberFormat="1" applyFont="1" applyFill="1" applyBorder="1"/>
    <xf numFmtId="2" fontId="0" fillId="7" borderId="2" xfId="0" applyNumberFormat="1" applyFont="1" applyFill="1" applyBorder="1"/>
    <xf numFmtId="0" fontId="2" fillId="5" borderId="1" xfId="0" applyFont="1" applyFill="1" applyBorder="1"/>
    <xf numFmtId="0" fontId="6" fillId="11" borderId="1" xfId="0" applyFont="1" applyFill="1" applyBorder="1"/>
    <xf numFmtId="0" fontId="2" fillId="6" borderId="4" xfId="0" applyFont="1" applyFill="1" applyBorder="1"/>
    <xf numFmtId="1" fontId="7" fillId="7" borderId="4" xfId="0" applyNumberFormat="1" applyFont="1" applyFill="1" applyBorder="1"/>
    <xf numFmtId="2" fontId="6" fillId="7" borderId="1" xfId="0" applyNumberFormat="1" applyFont="1" applyFill="1" applyBorder="1"/>
    <xf numFmtId="2" fontId="6" fillId="7" borderId="3" xfId="0" applyNumberFormat="1" applyFont="1" applyFill="1" applyBorder="1"/>
    <xf numFmtId="0" fontId="2" fillId="5" borderId="4" xfId="0" applyFont="1" applyFill="1" applyBorder="1"/>
    <xf numFmtId="0" fontId="6" fillId="11" borderId="4" xfId="0" applyFont="1" applyFill="1" applyBorder="1"/>
    <xf numFmtId="0" fontId="6" fillId="11" borderId="2" xfId="0" applyFont="1" applyFill="1" applyBorder="1"/>
    <xf numFmtId="0" fontId="8" fillId="11" borderId="2" xfId="0" applyFont="1" applyFill="1" applyBorder="1"/>
    <xf numFmtId="0" fontId="2" fillId="12" borderId="2" xfId="0" applyFont="1" applyFill="1" applyBorder="1"/>
    <xf numFmtId="0" fontId="7" fillId="13" borderId="2" xfId="0" applyNumberFormat="1" applyFont="1" applyFill="1" applyBorder="1"/>
    <xf numFmtId="0" fontId="6" fillId="13" borderId="2" xfId="0" applyFont="1" applyFill="1" applyBorder="1"/>
    <xf numFmtId="0" fontId="8" fillId="13" borderId="2" xfId="0" applyFont="1" applyFill="1" applyBorder="1"/>
    <xf numFmtId="0" fontId="0" fillId="0" borderId="0" xfId="0" applyAlignment="1">
      <alignment wrapText="1"/>
    </xf>
    <xf numFmtId="164" fontId="7" fillId="7" borderId="2" xfId="0" applyNumberFormat="1" applyFont="1" applyFill="1" applyBorder="1"/>
    <xf numFmtId="164" fontId="7" fillId="13" borderId="2" xfId="0" applyNumberFormat="1" applyFont="1" applyFill="1" applyBorder="1"/>
    <xf numFmtId="164" fontId="6" fillId="13" borderId="2" xfId="0" applyNumberFormat="1" applyFont="1" applyFill="1" applyBorder="1"/>
    <xf numFmtId="164" fontId="6" fillId="9" borderId="2" xfId="0" applyNumberFormat="1" applyFont="1" applyFill="1" applyBorder="1"/>
    <xf numFmtId="164" fontId="0" fillId="9" borderId="1" xfId="0" applyNumberFormat="1" applyFont="1" applyFill="1" applyBorder="1"/>
    <xf numFmtId="164" fontId="6" fillId="11" borderId="1" xfId="0" applyNumberFormat="1" applyFont="1" applyFill="1" applyBorder="1"/>
    <xf numFmtId="164" fontId="6" fillId="11" borderId="2" xfId="0" applyNumberFormat="1" applyFont="1" applyFill="1" applyBorder="1"/>
    <xf numFmtId="164" fontId="6" fillId="11" borderId="4" xfId="0" applyNumberFormat="1" applyFont="1" applyFill="1" applyBorder="1"/>
    <xf numFmtId="164" fontId="7" fillId="7" borderId="4" xfId="0" applyNumberFormat="1" applyFont="1" applyFill="1" applyBorder="1"/>
    <xf numFmtId="164" fontId="6" fillId="10" borderId="1" xfId="0" applyNumberFormat="1" applyFont="1" applyFill="1" applyBorder="1"/>
    <xf numFmtId="164" fontId="0" fillId="7" borderId="1" xfId="0" applyNumberFormat="1" applyFont="1" applyFill="1" applyBorder="1"/>
    <xf numFmtId="164" fontId="0" fillId="7" borderId="2" xfId="0" applyNumberFormat="1" applyFont="1" applyFill="1" applyBorder="1"/>
    <xf numFmtId="164" fontId="6" fillId="7" borderId="1" xfId="0" applyNumberFormat="1" applyFont="1" applyFill="1" applyBorder="1"/>
    <xf numFmtId="164" fontId="6" fillId="7" borderId="3" xfId="0" applyNumberFormat="1" applyFont="1" applyFill="1" applyBorder="1"/>
    <xf numFmtId="164" fontId="0" fillId="7" borderId="3" xfId="0" applyNumberFormat="1" applyFont="1" applyFill="1" applyBorder="1"/>
    <xf numFmtId="164" fontId="8" fillId="9" borderId="2" xfId="0" applyNumberFormat="1" applyFont="1" applyFill="1" applyBorder="1"/>
    <xf numFmtId="164" fontId="8" fillId="11" borderId="2" xfId="0" applyNumberFormat="1" applyFont="1" applyFill="1" applyBorder="1"/>
    <xf numFmtId="164" fontId="8" fillId="13" borderId="2" xfId="0" applyNumberFormat="1" applyFont="1" applyFill="1" applyBorder="1"/>
    <xf numFmtId="0" fontId="0" fillId="4" borderId="0" xfId="0" applyFill="1"/>
    <xf numFmtId="0" fontId="6" fillId="10" borderId="1" xfId="0" applyNumberFormat="1" applyFont="1" applyFill="1" applyBorder="1"/>
    <xf numFmtId="0" fontId="0" fillId="10" borderId="1" xfId="0" applyNumberFormat="1" applyFont="1" applyFill="1" applyBorder="1"/>
    <xf numFmtId="164" fontId="7" fillId="14" borderId="1" xfId="0" applyNumberFormat="1" applyFont="1" applyFill="1" applyBorder="1"/>
    <xf numFmtId="164" fontId="7" fillId="10" borderId="1" xfId="0" applyNumberFormat="1" applyFont="1" applyFill="1" applyBorder="1"/>
    <xf numFmtId="164" fontId="8" fillId="10" borderId="1" xfId="0" applyNumberFormat="1" applyFont="1" applyFill="1" applyBorder="1"/>
    <xf numFmtId="0" fontId="0" fillId="10" borderId="1" xfId="0" applyFont="1" applyFill="1" applyBorder="1"/>
    <xf numFmtId="0" fontId="0" fillId="10" borderId="0" xfId="0" applyFill="1" applyAlignment="1">
      <alignment horizontal="center" wrapText="1"/>
    </xf>
    <xf numFmtId="0" fontId="0" fillId="10" borderId="0" xfId="0" applyFill="1"/>
    <xf numFmtId="0" fontId="0" fillId="8" borderId="0" xfId="0" applyFill="1"/>
    <xf numFmtId="0" fontId="6" fillId="15" borderId="1" xfId="0" applyNumberFormat="1" applyFont="1" applyFill="1" applyBorder="1"/>
    <xf numFmtId="164" fontId="6" fillId="15" borderId="1" xfId="0" applyNumberFormat="1" applyFont="1" applyFill="1" applyBorder="1"/>
    <xf numFmtId="164" fontId="8" fillId="15" borderId="1" xfId="0" applyNumberFormat="1" applyFont="1" applyFill="1" applyBorder="1"/>
    <xf numFmtId="0" fontId="0" fillId="15" borderId="1" xfId="0" applyNumberFormat="1" applyFont="1" applyFill="1" applyBorder="1"/>
    <xf numFmtId="0" fontId="0" fillId="15" borderId="1" xfId="0" applyFont="1" applyFill="1" applyBorder="1"/>
    <xf numFmtId="164" fontId="7" fillId="9" borderId="1" xfId="0" applyNumberFormat="1" applyFont="1" applyFill="1" applyBorder="1"/>
    <xf numFmtId="164" fontId="7" fillId="15" borderId="1" xfId="0" applyNumberFormat="1" applyFont="1" applyFill="1" applyBorder="1"/>
    <xf numFmtId="0" fontId="0" fillId="6" borderId="0" xfId="0" applyFill="1" applyAlignment="1">
      <alignment horizontal="center" wrapText="1"/>
    </xf>
    <xf numFmtId="0" fontId="0" fillId="6" borderId="0" xfId="0" applyFill="1"/>
    <xf numFmtId="0" fontId="2" fillId="16" borderId="1" xfId="0" applyFont="1" applyFill="1" applyBorder="1"/>
    <xf numFmtId="0" fontId="0" fillId="16" borderId="0" xfId="0" applyFill="1"/>
    <xf numFmtId="0" fontId="6" fillId="7" borderId="1" xfId="0" applyNumberFormat="1" applyFont="1" applyFill="1" applyBorder="1"/>
    <xf numFmtId="164" fontId="8" fillId="7" borderId="1" xfId="0" applyNumberFormat="1" applyFont="1" applyFill="1" applyBorder="1"/>
    <xf numFmtId="0" fontId="0" fillId="7" borderId="1" xfId="0" applyNumberFormat="1" applyFont="1" applyFill="1" applyBorder="1"/>
    <xf numFmtId="164" fontId="7" fillId="17" borderId="1" xfId="0" applyNumberFormat="1" applyFont="1" applyFill="1" applyBorder="1"/>
    <xf numFmtId="164" fontId="7" fillId="7" borderId="1" xfId="0" applyNumberFormat="1" applyFont="1" applyFill="1" applyBorder="1"/>
    <xf numFmtId="2" fontId="7" fillId="15" borderId="1" xfId="0" applyNumberFormat="1" applyFont="1" applyFill="1" applyBorder="1"/>
    <xf numFmtId="2" fontId="7" fillId="7" borderId="1" xfId="0" applyNumberFormat="1" applyFont="1" applyFill="1" applyBorder="1"/>
    <xf numFmtId="164" fontId="9" fillId="0" borderId="0" xfId="0" applyNumberFormat="1" applyFont="1" applyAlignment="1">
      <alignment vertical="center"/>
    </xf>
    <xf numFmtId="164" fontId="9" fillId="0" borderId="0" xfId="0" pivotButton="1" applyNumberFormat="1" applyFont="1" applyAlignment="1">
      <alignment vertical="center"/>
    </xf>
    <xf numFmtId="164" fontId="9" fillId="0" borderId="0" xfId="0" applyNumberFormat="1" applyFont="1" applyBorder="1" applyAlignment="1">
      <alignment horizontal="right" vertical="center"/>
    </xf>
    <xf numFmtId="0" fontId="2" fillId="18" borderId="1" xfId="0" applyFont="1" applyFill="1" applyBorder="1"/>
    <xf numFmtId="2" fontId="2" fillId="18" borderId="1" xfId="0" applyNumberFormat="1" applyFont="1" applyFill="1" applyBorder="1"/>
    <xf numFmtId="0" fontId="2" fillId="20" borderId="1" xfId="0" applyFont="1" applyFill="1" applyBorder="1"/>
    <xf numFmtId="164" fontId="2" fillId="20" borderId="1" xfId="0" applyNumberFormat="1" applyFont="1" applyFill="1" applyBorder="1"/>
    <xf numFmtId="2" fontId="2" fillId="20" borderId="1" xfId="0" applyNumberFormat="1" applyFont="1" applyFill="1" applyBorder="1"/>
    <xf numFmtId="0" fontId="2" fillId="22" borderId="1" xfId="0" applyFont="1" applyFill="1" applyBorder="1"/>
    <xf numFmtId="2" fontId="2" fillId="22" borderId="1" xfId="0" applyNumberFormat="1" applyFont="1" applyFill="1" applyBorder="1"/>
    <xf numFmtId="0" fontId="2" fillId="22" borderId="3" xfId="0" applyFont="1" applyFill="1" applyBorder="1"/>
    <xf numFmtId="164" fontId="2" fillId="22" borderId="3" xfId="0" applyNumberFormat="1" applyFont="1" applyFill="1" applyBorder="1"/>
    <xf numFmtId="0" fontId="2" fillId="4" borderId="2" xfId="0" applyFont="1" applyFill="1" applyBorder="1"/>
    <xf numFmtId="0" fontId="2" fillId="4" borderId="4" xfId="0" applyFont="1" applyFill="1" applyBorder="1"/>
    <xf numFmtId="0" fontId="2" fillId="16" borderId="2" xfId="0" applyFont="1" applyFill="1" applyBorder="1"/>
    <xf numFmtId="0" fontId="2" fillId="16" borderId="4" xfId="0" applyFont="1" applyFill="1" applyBorder="1"/>
    <xf numFmtId="0" fontId="2" fillId="8" borderId="4" xfId="0" applyFont="1" applyFill="1" applyBorder="1"/>
    <xf numFmtId="2" fontId="7" fillId="10" borderId="1" xfId="0" applyNumberFormat="1" applyFont="1" applyFill="1" applyBorder="1"/>
    <xf numFmtId="0" fontId="2" fillId="4" borderId="0" xfId="0" applyFont="1" applyFill="1"/>
    <xf numFmtId="0" fontId="2" fillId="4" borderId="0" xfId="0" applyFont="1" applyFill="1" applyAlignment="1">
      <alignment horizontal="center" wrapText="1"/>
    </xf>
    <xf numFmtId="0" fontId="2" fillId="16" borderId="0" xfId="0" applyFont="1" applyFill="1" applyAlignment="1">
      <alignment horizontal="center" wrapText="1"/>
    </xf>
    <xf numFmtId="0" fontId="2" fillId="16" borderId="0" xfId="0" applyFont="1" applyFill="1"/>
    <xf numFmtId="0" fontId="2" fillId="8" borderId="0" xfId="0" applyFont="1" applyFill="1" applyAlignment="1">
      <alignment horizontal="center" wrapText="1"/>
    </xf>
    <xf numFmtId="0" fontId="2" fillId="8" borderId="0" xfId="0" applyFont="1" applyFill="1"/>
    <xf numFmtId="164" fontId="6" fillId="7" borderId="2" xfId="0" applyNumberFormat="1" applyFont="1" applyFill="1" applyBorder="1"/>
    <xf numFmtId="164" fontId="8" fillId="7" borderId="2" xfId="0" applyNumberFormat="1" applyFont="1" applyFill="1" applyBorder="1"/>
    <xf numFmtId="0" fontId="0" fillId="7" borderId="2" xfId="0" applyFont="1" applyFill="1" applyBorder="1"/>
    <xf numFmtId="164" fontId="6" fillId="10" borderId="2" xfId="0" applyNumberFormat="1" applyFont="1" applyFill="1" applyBorder="1"/>
    <xf numFmtId="164" fontId="8" fillId="10" borderId="2" xfId="0" applyNumberFormat="1" applyFont="1" applyFill="1" applyBorder="1"/>
    <xf numFmtId="0" fontId="0" fillId="10" borderId="2" xfId="0" applyFont="1" applyFill="1" applyBorder="1"/>
    <xf numFmtId="164" fontId="6" fillId="17" borderId="2" xfId="0" applyNumberFormat="1" applyFont="1" applyFill="1" applyBorder="1"/>
    <xf numFmtId="164" fontId="8" fillId="17" borderId="2" xfId="0" applyNumberFormat="1" applyFont="1" applyFill="1" applyBorder="1"/>
    <xf numFmtId="0" fontId="0" fillId="17" borderId="2" xfId="0" applyFont="1" applyFill="1" applyBorder="1"/>
    <xf numFmtId="0" fontId="0" fillId="0" borderId="0" xfId="0" applyAlignment="1">
      <alignment horizontal="center"/>
    </xf>
    <xf numFmtId="0" fontId="10" fillId="19" borderId="1" xfId="0" applyFont="1" applyFill="1" applyBorder="1" applyAlignment="1">
      <alignment horizontal="center" vertical="center" wrapText="1"/>
    </xf>
    <xf numFmtId="0" fontId="10" fillId="21" borderId="1" xfId="0" applyFont="1" applyFill="1" applyBorder="1" applyAlignment="1">
      <alignment horizontal="center" vertical="center"/>
    </xf>
    <xf numFmtId="0" fontId="10" fillId="23" borderId="5" xfId="0" applyFont="1" applyFill="1" applyBorder="1" applyAlignment="1">
      <alignment horizontal="center" wrapText="1"/>
    </xf>
    <xf numFmtId="0" fontId="10" fillId="23" borderId="0" xfId="0" applyFont="1" applyFill="1" applyBorder="1" applyAlignment="1">
      <alignment horizontal="center" wrapText="1"/>
    </xf>
  </cellXfs>
  <cellStyles count="1">
    <cellStyle name="Normal" xfId="0" builtinId="0"/>
  </cellStyles>
  <dxfs count="518">
    <dxf>
      <font>
        <color theme="0"/>
      </font>
      <fill>
        <patternFill patternType="solid">
          <bgColor theme="5" tint="-0.499984740745262"/>
        </patternFill>
      </fill>
    </dxf>
    <dxf>
      <font>
        <color theme="0"/>
      </font>
      <fill>
        <patternFill patternType="solid">
          <bgColor theme="5" tint="-0.499984740745262"/>
        </patternFill>
      </fill>
    </dxf>
    <dxf>
      <font>
        <color theme="0"/>
      </font>
      <fill>
        <patternFill patternType="solid">
          <bgColor theme="8" tint="-0.249977111117893"/>
        </patternFill>
      </fill>
    </dxf>
    <dxf>
      <font>
        <color theme="0"/>
      </font>
      <fill>
        <patternFill patternType="solid">
          <bgColor theme="8" tint="-0.249977111117893"/>
        </patternFill>
      </fill>
    </dxf>
    <dxf>
      <font>
        <color theme="0"/>
      </font>
      <fill>
        <patternFill patternType="solid">
          <bgColor theme="8" tint="-0.249977111117893"/>
        </patternFill>
      </fill>
    </dxf>
    <dxf>
      <font>
        <color theme="0"/>
      </font>
      <fill>
        <patternFill patternType="solid">
          <bgColor theme="8" tint="-0.249977111117893"/>
        </patternFill>
      </fill>
    </dxf>
    <dxf>
      <font>
        <color theme="0"/>
      </font>
      <fill>
        <patternFill patternType="solid">
          <bgColor theme="8"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0"/>
      </font>
      <fill>
        <patternFill patternType="solid">
          <bgColor theme="4" tint="-0.249977111117893"/>
        </patternFill>
      </fill>
    </dxf>
    <dxf>
      <font>
        <color theme="2" tint="-0.249977111117893"/>
      </font>
      <fill>
        <patternFill patternType="solid">
          <bgColor theme="0"/>
        </patternFill>
      </fill>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font>
        <name val="Comic Sans MS"/>
      </font>
    </dxf>
    <dxf>
      <font>
        <name val="Comic Sans MS"/>
      </font>
    </dxf>
    <dxf>
      <font>
        <name val="Comic Sans MS"/>
      </font>
    </dxf>
    <dxf>
      <font>
        <name val="Comic Sans MS"/>
      </font>
    </dxf>
    <dxf>
      <font>
        <name val="Comic Sans MS"/>
      </font>
    </dxf>
    <dxf>
      <font>
        <name val="Comic Sans MS"/>
      </font>
    </dxf>
    <dxf>
      <font>
        <name val="Comic Sans MS"/>
      </font>
    </dxf>
    <dxf>
      <font>
        <name val="Comic Sans MS"/>
      </font>
    </dxf>
    <dxf>
      <font>
        <u val="double"/>
      </font>
    </dxf>
    <dxf>
      <font>
        <u val="double"/>
      </font>
    </dxf>
    <dxf>
      <font>
        <u val="double"/>
      </font>
    </dxf>
    <dxf>
      <font>
        <u val="double"/>
      </font>
    </dxf>
    <dxf>
      <font>
        <u val="double"/>
      </font>
    </dxf>
    <dxf>
      <font>
        <u val="double"/>
      </font>
    </dxf>
    <dxf>
      <font>
        <u val="double"/>
      </font>
    </dxf>
    <dxf>
      <font>
        <u val="double"/>
      </font>
    </dxf>
    <dxf>
      <font>
        <sz val="12"/>
      </font>
    </dxf>
    <dxf>
      <font>
        <sz val="12"/>
      </font>
    </dxf>
    <dxf>
      <font>
        <sz val="12"/>
      </font>
    </dxf>
    <dxf>
      <font>
        <sz val="12"/>
      </font>
    </dxf>
    <dxf>
      <font>
        <sz val="12"/>
      </font>
    </dxf>
    <dxf>
      <font>
        <sz val="12"/>
      </font>
    </dxf>
    <dxf>
      <font>
        <sz val="12"/>
      </font>
    </dxf>
    <dxf>
      <font>
        <sz val="12"/>
      </font>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font>
        <name val="Comic Sans MS"/>
      </font>
    </dxf>
    <dxf>
      <font>
        <name val="Comic Sans MS"/>
      </font>
    </dxf>
    <dxf>
      <font>
        <name val="Comic Sans MS"/>
      </font>
    </dxf>
    <dxf>
      <font>
        <name val="Comic Sans MS"/>
      </font>
    </dxf>
    <dxf>
      <font>
        <name val="Comic Sans MS"/>
      </font>
    </dxf>
    <dxf>
      <font>
        <name val="Comic Sans MS"/>
      </font>
    </dxf>
    <dxf>
      <font>
        <name val="Comic Sans MS"/>
      </font>
    </dxf>
    <dxf>
      <font>
        <name val="Comic Sans MS"/>
      </font>
    </dxf>
    <dxf>
      <font>
        <u val="double"/>
      </font>
    </dxf>
    <dxf>
      <font>
        <u val="double"/>
      </font>
    </dxf>
    <dxf>
      <font>
        <u val="double"/>
      </font>
    </dxf>
    <dxf>
      <font>
        <u val="double"/>
      </font>
    </dxf>
    <dxf>
      <font>
        <u val="double"/>
      </font>
    </dxf>
    <dxf>
      <font>
        <u val="double"/>
      </font>
    </dxf>
    <dxf>
      <font>
        <u val="double"/>
      </font>
    </dxf>
    <dxf>
      <font>
        <u val="double"/>
      </font>
    </dxf>
    <dxf>
      <font>
        <sz val="12"/>
      </font>
    </dxf>
    <dxf>
      <font>
        <sz val="12"/>
      </font>
    </dxf>
    <dxf>
      <font>
        <sz val="12"/>
      </font>
    </dxf>
    <dxf>
      <font>
        <sz val="12"/>
      </font>
    </dxf>
    <dxf>
      <font>
        <sz val="12"/>
      </font>
    </dxf>
    <dxf>
      <font>
        <sz val="12"/>
      </font>
    </dxf>
    <dxf>
      <font>
        <sz val="12"/>
      </font>
    </dxf>
    <dxf>
      <font>
        <sz val="12"/>
      </font>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font>
        <name val="Comic Sans MS"/>
      </font>
    </dxf>
    <dxf>
      <font>
        <name val="Comic Sans MS"/>
      </font>
    </dxf>
    <dxf>
      <font>
        <name val="Comic Sans MS"/>
      </font>
    </dxf>
    <dxf>
      <font>
        <name val="Comic Sans MS"/>
      </font>
    </dxf>
    <dxf>
      <font>
        <name val="Comic Sans MS"/>
      </font>
    </dxf>
    <dxf>
      <font>
        <name val="Comic Sans MS"/>
      </font>
    </dxf>
    <dxf>
      <font>
        <name val="Comic Sans MS"/>
      </font>
    </dxf>
    <dxf>
      <font>
        <name val="Comic Sans MS"/>
      </font>
    </dxf>
    <dxf>
      <font>
        <u val="double"/>
      </font>
    </dxf>
    <dxf>
      <font>
        <u val="double"/>
      </font>
    </dxf>
    <dxf>
      <font>
        <u val="double"/>
      </font>
    </dxf>
    <dxf>
      <font>
        <u val="double"/>
      </font>
    </dxf>
    <dxf>
      <font>
        <u val="double"/>
      </font>
    </dxf>
    <dxf>
      <font>
        <u val="double"/>
      </font>
    </dxf>
    <dxf>
      <font>
        <u val="double"/>
      </font>
    </dxf>
    <dxf>
      <font>
        <u val="double"/>
      </font>
    </dxf>
    <dxf>
      <font>
        <sz val="12"/>
      </font>
    </dxf>
    <dxf>
      <font>
        <sz val="12"/>
      </font>
    </dxf>
    <dxf>
      <font>
        <sz val="12"/>
      </font>
    </dxf>
    <dxf>
      <font>
        <sz val="12"/>
      </font>
    </dxf>
    <dxf>
      <font>
        <sz val="12"/>
      </font>
    </dxf>
    <dxf>
      <font>
        <sz val="12"/>
      </font>
    </dxf>
    <dxf>
      <font>
        <sz val="12"/>
      </font>
    </dxf>
    <dxf>
      <font>
        <sz val="12"/>
      </font>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font>
        <name val="Comic Sans MS"/>
      </font>
    </dxf>
    <dxf>
      <font>
        <name val="Comic Sans MS"/>
      </font>
    </dxf>
    <dxf>
      <font>
        <name val="Comic Sans MS"/>
      </font>
    </dxf>
    <dxf>
      <font>
        <name val="Comic Sans MS"/>
      </font>
    </dxf>
    <dxf>
      <font>
        <name val="Comic Sans MS"/>
      </font>
    </dxf>
    <dxf>
      <font>
        <name val="Comic Sans MS"/>
      </font>
    </dxf>
    <dxf>
      <font>
        <name val="Comic Sans MS"/>
      </font>
    </dxf>
    <dxf>
      <font>
        <name val="Comic Sans MS"/>
      </font>
    </dxf>
    <dxf>
      <font>
        <u val="double"/>
      </font>
    </dxf>
    <dxf>
      <font>
        <u val="double"/>
      </font>
    </dxf>
    <dxf>
      <font>
        <u val="double"/>
      </font>
    </dxf>
    <dxf>
      <font>
        <u val="double"/>
      </font>
    </dxf>
    <dxf>
      <font>
        <u val="double"/>
      </font>
    </dxf>
    <dxf>
      <font>
        <u val="double"/>
      </font>
    </dxf>
    <dxf>
      <font>
        <u val="double"/>
      </font>
    </dxf>
    <dxf>
      <font>
        <u val="double"/>
      </font>
    </dxf>
    <dxf>
      <font>
        <sz val="12"/>
      </font>
    </dxf>
    <dxf>
      <font>
        <sz val="12"/>
      </font>
    </dxf>
    <dxf>
      <font>
        <sz val="12"/>
      </font>
    </dxf>
    <dxf>
      <font>
        <sz val="12"/>
      </font>
    </dxf>
    <dxf>
      <font>
        <sz val="12"/>
      </font>
    </dxf>
    <dxf>
      <font>
        <sz val="12"/>
      </font>
    </dxf>
    <dxf>
      <font>
        <sz val="12"/>
      </font>
    </dxf>
    <dxf>
      <font>
        <sz val="12"/>
      </font>
    </dxf>
    <dxf>
      <numFmt numFmtId="164" formatCode="0.0"/>
    </dxf>
    <dxf>
      <alignment horizontal="right"/>
    </dxf>
    <dxf>
      <alignment relativeIndent="1"/>
    </dxf>
    <dxf>
      <alignment vertical="center"/>
    </dxf>
    <dxf>
      <font>
        <u val="double"/>
      </font>
    </dxf>
    <dxf>
      <border outline="0">
        <left/>
        <right/>
        <top/>
        <bottom/>
      </border>
    </dxf>
    <dxf>
      <font>
        <name val="Comic Sans MS"/>
      </font>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horizontal="general"/>
    </dxf>
    <dxf>
      <alignment horizontal="general"/>
    </dxf>
    <dxf>
      <alignment horizontal="general"/>
    </dxf>
    <dxf>
      <alignment horizontal="general"/>
    </dxf>
    <dxf>
      <alignment horizontal="general"/>
    </dxf>
    <dxf>
      <alignment horizontal="general"/>
    </dxf>
    <dxf>
      <font>
        <name val="Comic Sans MS"/>
      </font>
    </dxf>
    <dxf>
      <font>
        <name val="Comic Sans MS"/>
      </font>
    </dxf>
    <dxf>
      <font>
        <name val="Comic Sans MS"/>
      </font>
    </dxf>
    <dxf>
      <font>
        <name val="Comic Sans MS"/>
      </font>
    </dxf>
    <dxf>
      <font>
        <name val="Comic Sans MS"/>
      </font>
    </dxf>
    <dxf>
      <font>
        <name val="Comic Sans MS"/>
      </font>
    </dxf>
    <dxf>
      <font>
        <u val="double"/>
      </font>
    </dxf>
    <dxf>
      <font>
        <u val="double"/>
      </font>
    </dxf>
    <dxf>
      <font>
        <u val="double"/>
      </font>
    </dxf>
    <dxf>
      <font>
        <u val="double"/>
      </font>
    </dxf>
    <dxf>
      <font>
        <u val="double"/>
      </font>
    </dxf>
    <dxf>
      <font>
        <u val="double"/>
      </font>
    </dxf>
    <dxf>
      <alignment horizontal="left" relativeIndent="-1"/>
    </dxf>
    <dxf>
      <alignment horizontal="right"/>
    </dxf>
    <dxf>
      <font>
        <sz val="12"/>
      </font>
    </dxf>
    <dxf>
      <font>
        <sz val="12"/>
      </font>
    </dxf>
    <dxf>
      <font>
        <sz val="12"/>
      </font>
    </dxf>
    <dxf>
      <font>
        <sz val="12"/>
      </font>
    </dxf>
    <dxf>
      <font>
        <sz val="12"/>
      </font>
    </dxf>
    <dxf>
      <font>
        <sz val="12"/>
      </font>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font>
        <name val="Comic Sans MS"/>
      </font>
    </dxf>
    <dxf>
      <font>
        <name val="Comic Sans MS"/>
      </font>
    </dxf>
    <dxf>
      <font>
        <name val="Comic Sans MS"/>
      </font>
    </dxf>
    <dxf>
      <font>
        <name val="Comic Sans MS"/>
      </font>
    </dxf>
    <dxf>
      <font>
        <name val="Comic Sans MS"/>
      </font>
    </dxf>
    <dxf>
      <font>
        <name val="Comic Sans MS"/>
      </font>
    </dxf>
    <dxf>
      <font>
        <name val="Comic Sans MS"/>
      </font>
    </dxf>
    <dxf>
      <font>
        <name val="Comic Sans MS"/>
      </font>
    </dxf>
    <dxf>
      <font>
        <u val="double"/>
      </font>
    </dxf>
    <dxf>
      <font>
        <u val="double"/>
      </font>
    </dxf>
    <dxf>
      <font>
        <u val="double"/>
      </font>
    </dxf>
    <dxf>
      <font>
        <u val="double"/>
      </font>
    </dxf>
    <dxf>
      <font>
        <u val="double"/>
      </font>
    </dxf>
    <dxf>
      <font>
        <u val="double"/>
      </font>
    </dxf>
    <dxf>
      <font>
        <u val="double"/>
      </font>
    </dxf>
    <dxf>
      <font>
        <u val="double"/>
      </font>
    </dxf>
    <dxf>
      <font>
        <sz val="12"/>
      </font>
    </dxf>
    <dxf>
      <font>
        <sz val="12"/>
      </font>
    </dxf>
    <dxf>
      <font>
        <sz val="12"/>
      </font>
    </dxf>
    <dxf>
      <font>
        <sz val="12"/>
      </font>
    </dxf>
    <dxf>
      <font>
        <sz val="12"/>
      </font>
    </dxf>
    <dxf>
      <font>
        <sz val="12"/>
      </font>
    </dxf>
    <dxf>
      <font>
        <sz val="12"/>
      </font>
    </dxf>
    <dxf>
      <font>
        <sz val="12"/>
      </font>
    </dxf>
  </dxfs>
  <tableStyles count="0" defaultTableStyle="TableStyleMedium2" defaultPivotStyle="PivotStyleMedium9"/>
  <colors>
    <mruColors>
      <color rgb="FF00B309"/>
      <color rgb="FF006105"/>
      <color rgb="FF009608"/>
      <color rgb="FF00ED0C"/>
      <color rgb="FF04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Henrique Ferreira Moreira" id="{B6012F0E-E5C6-4745-8A5E-4C6462E9C718}" userId="7046356e832b627c"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44.81609270833" createdVersion="8" refreshedVersion="8" minRefreshableVersion="3" recordCount="18" xr:uid="{E4CE2CAC-815F-4F54-B6BF-0A45B2032A8B}">
  <cacheSource type="worksheet">
    <worksheetSource ref="B2:BO20" sheet="HIPERCARGA"/>
  </cacheSource>
  <cacheFields count="60">
    <cacheField name="NOME HIPERCARGA" numFmtId="0">
      <sharedItems count="18">
        <s v="BIG PEEP"/>
        <s v="IN MY ELEMENT"/>
        <s v="TRICK SHOT KING"/>
        <s v="BLOOMING SEASON"/>
        <s v="LIMBO"/>
        <s v="BLIZZARD"/>
        <s v="DOUBLE BARREL"/>
        <s v="MEDIC'S MELODY"/>
        <s v="DOUBLE SCOOPS"/>
        <s v="SEISMIC SMASH"/>
        <s v="SWIFT WINDS"/>
        <s v="SEISMIC EVENT"/>
        <s v="NEW LOBBER"/>
        <s v="BLOOD BOOMERANG"/>
        <s v="HEADSTRONG"/>
        <s v="BOKOR"/>
        <s v="GENERATIONS"/>
        <s v="UNLIMITED ENERGY"/>
      </sharedItems>
    </cacheField>
    <cacheField name="Nome Brawler" numFmtId="0">
      <sharedItems count="18">
        <s v="NANI"/>
        <s v="ANGELO"/>
        <s v="RICO"/>
        <s v="SPIKE"/>
        <s v="LEON"/>
        <s v="GALE"/>
        <s v="SHELLY"/>
        <s v="POCO"/>
        <s v="BERRY"/>
        <s v="FRANK"/>
        <s v="SANDY"/>
        <s v="JACKY"/>
        <s v="PENNY"/>
        <s v="MORTIS"/>
        <s v="TICK"/>
        <s v="JUJU"/>
        <s v="EVE"/>
        <s v="MAX"/>
      </sharedItems>
    </cacheField>
    <cacheField name="PROJETEIS-PARA-SUPER" numFmtId="164">
      <sharedItems containsSemiMixedTypes="0" containsString="0" containsNumber="1" containsInteger="1" minValue="0" maxValue="0"/>
    </cacheField>
    <cacheField name="SUPERS-PARA-HIPERCARGA" numFmtId="164">
      <sharedItems containsSemiMixedTypes="0" containsString="0" containsNumber="1" containsInteger="1" minValue="0" maxValue="0"/>
    </cacheField>
    <cacheField name="DANO-PROJETIL" numFmtId="164">
      <sharedItems containsSemiMixedTypes="0" containsString="0" containsNumber="1" minValue="7.5" maxValue="343.75"/>
    </cacheField>
    <cacheField name="TIROS-DADOS-EM-5-SEGUNDOS" numFmtId="164">
      <sharedItems containsSemiMixedTypes="0" containsString="0" containsNumber="1" containsInteger="1" minValue="0" maxValue="0"/>
    </cacheField>
    <cacheField name="MÉDIA-PROJETEIS-POR-TIRO" numFmtId="164">
      <sharedItems containsSemiMixedTypes="0" containsString="0" containsNumber="1" minValue="0" maxValue="0.92307692307692335"/>
    </cacheField>
    <cacheField name="CURTO-ALCANCE-QUANT-PROJETIL-MEDIO" numFmtId="164">
      <sharedItems containsSemiMixedTypes="0" containsString="0" containsNumber="1" minValue="0" maxValue="1.2307692307692308"/>
    </cacheField>
    <cacheField name="MEDIO-ALCANCE-QUANT-PROJETIL-MEDIO" numFmtId="164">
      <sharedItems containsSemiMixedTypes="0" containsString="0" containsNumber="1" minValue="0" maxValue="0.61538461538461542"/>
    </cacheField>
    <cacheField name="LONGO-ALCANCE-QUANT-PROJETIL-MEDIO" numFmtId="164">
      <sharedItems containsSemiMixedTypes="0" containsString="0" containsNumber="1" minValue="0" maxValue="0.46153846153846168"/>
    </cacheField>
    <cacheField name="MTLONGO-ALCANCE-QUANT-PROJETIL-MEDIO" numFmtId="164">
      <sharedItems containsSemiMixedTypes="0" containsString="0" containsNumber="1" minValue="0" maxValue="0.46451612903225792"/>
    </cacheField>
    <cacheField name="CARREGAMENTO-SUPER-AO-ACERTAR-EM-PROJETEIS" numFmtId="164">
      <sharedItems containsSemiMixedTypes="0" containsString="0" containsNumber="1" containsInteger="1" minValue="0" maxValue="0"/>
    </cacheField>
    <cacheField name="CURTO-ALCANCE-DANO-SUPER-MEDIO" numFmtId="164">
      <sharedItems containsSemiMixedTypes="0" containsString="0" containsNumber="1" minValue="0" maxValue="1800"/>
    </cacheField>
    <cacheField name="MEDIO-ALCANCE-DANO-SUPER-MEDIO" numFmtId="164">
      <sharedItems containsSemiMixedTypes="0" containsString="0" containsNumber="1" minValue="0" maxValue="1500"/>
    </cacheField>
    <cacheField name="LONGO-ALCANCE-DANO-SUPER-MEDIO" numFmtId="164">
      <sharedItems containsSemiMixedTypes="0" containsString="0" containsNumber="1" minValue="0" maxValue="3000"/>
    </cacheField>
    <cacheField name="MT-LONGO-ALCANCE-DANO-SUPER-MEDIO" numFmtId="164">
      <sharedItems containsSemiMixedTypes="0" containsString="0" containsNumber="1" minValue="0" maxValue="3000"/>
    </cacheField>
    <cacheField name="MÉDIA-DANO-POR-SUPER" numFmtId="164">
      <sharedItems containsSemiMixedTypes="0" containsString="0" containsNumber="1" minValue="0" maxValue="1632"/>
    </cacheField>
    <cacheField name="DANO-OCASIONAL" numFmtId="164">
      <sharedItems containsSemiMixedTypes="0" containsString="0" containsNumber="1" containsInteger="1" minValue="0" maxValue="0"/>
    </cacheField>
    <cacheField name="Durability" numFmtId="2">
      <sharedItems containsSemiMixedTypes="0" containsString="0" containsNumber="1" minValue="5.2521008403361158E-2" maxValue="0.14571428571428591"/>
    </cacheField>
    <cacheField name="Distância-Ataque" numFmtId="164">
      <sharedItems containsSemiMixedTypes="0" containsString="0" containsNumber="1" minValue="0" maxValue="0.88888888888888928"/>
    </cacheField>
    <cacheField name="Botão-de-Fuga" numFmtId="164">
      <sharedItems containsSemiMixedTypes="0" containsString="0" containsNumber="1" minValue="0" maxValue="1.2000000000000002"/>
    </cacheField>
    <cacheField name="Ataque-amplo" numFmtId="164">
      <sharedItems containsSemiMixedTypes="0" containsString="0" containsNumber="1" minValue="0" maxValue="0.59999999999999964"/>
    </cacheField>
    <cacheField name="FREQUENCIA-DANO-INDIRETO" numFmtId="164">
      <sharedItems containsSemiMixedTypes="0" containsString="0" containsNumber="1" minValue="0" maxValue="0.88888888888888884"/>
    </cacheField>
    <cacheField name="NEGACAO-DE-AREA" numFmtId="164">
      <sharedItems containsSemiMixedTypes="0" containsString="0" containsNumber="1" minValue="0" maxValue="1.5641025641025639"/>
    </cacheField>
    <cacheField name="MANIPULACAO-DA-POSICAO-DE-INIMIGOS" numFmtId="164">
      <sharedItems containsSemiMixedTypes="0" containsString="0" containsNumber="1" containsInteger="1" minValue="0" maxValue="0"/>
    </cacheField>
    <cacheField name="ANDA-SOBRE-AGUA" numFmtId="164">
      <sharedItems containsSemiMixedTypes="0" containsString="0" containsNumber="1" containsInteger="1" minValue="0" maxValue="0"/>
    </cacheField>
    <cacheField name="COMBATER-INIMIGOS-SOBRE-AGUA" numFmtId="164">
      <sharedItems containsSemiMixedTypes="0" containsString="0" containsNumber="1" containsInteger="1" minValue="0" maxValue="0"/>
    </cacheField>
    <cacheField name="POTENCIAL-DESTRUIÇÃO-DE-MUROS" numFmtId="164">
      <sharedItems containsSemiMixedTypes="0" containsString="0" containsNumber="1" minValue="0" maxValue="0.59999999999999964"/>
    </cacheField>
    <cacheField name="POTENCIAL-DESTRUIÇÃO-DE-MOITAS" numFmtId="164">
      <sharedItems containsSemiMixedTypes="0" containsString="0" containsNumber="1" minValue="0" maxValue="0.44999999999999929"/>
    </cacheField>
    <cacheField name="POTENCIAL-DE-CRIACAO-DE-COVER" numFmtId="164">
      <sharedItems containsSemiMixedTypes="0" containsString="0" containsNumber="1" containsInteger="1" minValue="0" maxValue="0"/>
    </cacheField>
    <cacheField name="VELOCIDADE-MOVIMENTO" numFmtId="164">
      <sharedItems containsSemiMixedTypes="0" containsString="0" containsNumber="1" minValue="0.25" maxValue="1.5999999999999996"/>
    </cacheField>
    <cacheField name="FORÇA-ATK-SURP" numFmtId="164">
      <sharedItems containsSemiMixedTypes="0" containsString="0" containsNumber="1" minValue="0" maxValue="0.87096774193548399"/>
    </cacheField>
    <cacheField name="Ataque-Surpresa" numFmtId="164">
      <sharedItems containsSemiMixedTypes="0" containsString="0" containsNumber="1" minValue="0" maxValue="0.87096774193548399"/>
    </cacheField>
    <cacheField name="FREQUÊNCIA-GERAÇÃO-DE-PETS" numFmtId="164">
      <sharedItems containsSemiMixedTypes="0" containsString="0" containsNumber="1" minValue="0" maxValue="1.7142857142857135"/>
    </cacheField>
    <cacheField name="ACÚMULO-PETS" numFmtId="164">
      <sharedItems containsSemiMixedTypes="0" containsString="0" containsNumber="1" minValue="0" maxValue="1.2857142857142847"/>
    </cacheField>
    <cacheField name="VIDA-DETERIORÁVEL-PETS" numFmtId="164">
      <sharedItems containsSemiMixedTypes="0" containsString="0" containsNumber="1" containsInteger="1" minValue="0" maxValue="0"/>
    </cacheField>
    <cacheField name="RESISTÊNCIA-PETS" numFmtId="164">
      <sharedItems containsSemiMixedTypes="0" containsString="0" containsNumber="1" minValue="0" maxValue="0.61249999999999982"/>
    </cacheField>
    <cacheField name="DANO-PETS" numFmtId="164">
      <sharedItems containsSemiMixedTypes="0" containsString="0" containsNumber="1" minValue="0" maxValue="0.34999999999999964"/>
    </cacheField>
    <cacheField name="ALCANCE-PETS" numFmtId="164">
      <sharedItems containsSemiMixedTypes="0" containsString="0" containsNumber="1" minValue="0" maxValue="0.4375"/>
    </cacheField>
    <cacheField name="VELOCIDADE-PETS" numFmtId="164">
      <sharedItems containsSemiMixedTypes="0" containsString="0" containsNumber="1" minValue="0" maxValue="0.85714285714285765"/>
    </cacheField>
    <cacheField name="PROXIMIDADE-PETS" numFmtId="164">
      <sharedItems containsSemiMixedTypes="0" containsString="0" containsNumber="1" containsInteger="1" minValue="0" maxValue="0"/>
    </cacheField>
    <cacheField name="DANO-AUMENTADO-QUANDO-AGRUPADO" numFmtId="164">
      <sharedItems containsSemiMixedTypes="0" containsString="0" containsNumber="1" containsInteger="1" minValue="0" maxValue="0"/>
    </cacheField>
    <cacheField name="CIRCUNSTANCIABILIDADE" numFmtId="164">
      <sharedItems containsSemiMixedTypes="0" containsString="0" containsNumber="1" minValue="0" maxValue="2.5"/>
    </cacheField>
    <cacheField name="HP-SUPORTE" numFmtId="164">
      <sharedItems containsSemiMixedTypes="0" containsString="0" containsNumber="1" containsInteger="1" minValue="0" maxValue="0"/>
    </cacheField>
    <cacheField name="HP-ENFRAQUECIMENTO" numFmtId="164">
      <sharedItems containsSemiMixedTypes="0" containsString="0" containsNumber="1" containsInteger="1" minValue="0" maxValue="0"/>
    </cacheField>
    <cacheField name="DANO-SUPORTE" numFmtId="164">
      <sharedItems containsSemiMixedTypes="0" containsString="0" containsNumber="1" minValue="0" maxValue="0.45161290322580644"/>
    </cacheField>
    <cacheField name="DANO-ENFRAQUECIMENTO" numFmtId="164">
      <sharedItems containsSemiMixedTypes="0" containsString="0" containsNumber="1" containsInteger="1" minValue="0" maxValue="0"/>
    </cacheField>
    <cacheField name="SPEED-SUPORTE" numFmtId="164">
      <sharedItems containsSemiMixedTypes="0" containsString="0" containsNumber="1" minValue="0" maxValue="2.8"/>
    </cacheField>
    <cacheField name="INVISIBILIDADE-SUPORTE" numFmtId="164">
      <sharedItems containsSemiMixedTypes="0" containsString="0" containsNumber="1" containsInteger="1" minValue="0" maxValue="0"/>
    </cacheField>
    <cacheField name="ESCUDO-SUPORTE" numFmtId="164">
      <sharedItems containsSemiMixedTypes="0" containsString="0" containsNumber="1" minValue="0" maxValue="2.4"/>
    </cacheField>
    <cacheField name="POSICIONAMENTO-SUPORTE" numFmtId="164">
      <sharedItems containsSemiMixedTypes="0" containsString="0" containsNumber="1" containsInteger="1" minValue="0" maxValue="0"/>
    </cacheField>
    <cacheField name="VENENO-DEBUFF" numFmtId="164">
      <sharedItems containsSemiMixedTypes="0" containsString="0" containsNumber="1" minValue="0" maxValue="1.666666666666667"/>
    </cacheField>
    <cacheField name="COUNTER-VENENO-DEBUFF" numFmtId="164">
      <sharedItems containsSemiMixedTypes="0" containsString="0" containsNumber="1" containsInteger="1" minValue="0" maxValue="0"/>
    </cacheField>
    <cacheField name="LENTIDAO-DEBUFF" numFmtId="164">
      <sharedItems containsSemiMixedTypes="0" containsString="0" containsNumber="1" minValue="0" maxValue="1.8666666666666667"/>
    </cacheField>
    <cacheField name="COUNTER-LENTIDAO-DEBUFF" numFmtId="164">
      <sharedItems containsSemiMixedTypes="0" containsString="0" containsNumber="1" containsInteger="1" minValue="0" maxValue="0"/>
    </cacheField>
    <cacheField name="STUN-DEBUFF" numFmtId="164">
      <sharedItems containsSemiMixedTypes="0" containsString="0" containsNumber="1" containsInteger="1" minValue="0" maxValue="0"/>
    </cacheField>
    <cacheField name="COUNTER-STUN-DEBUFF" numFmtId="164">
      <sharedItems containsSemiMixedTypes="0" containsString="0" containsNumber="1" containsInteger="1" minValue="0" maxValue="0"/>
    </cacheField>
    <cacheField name="CANCELAMENTO-ATAQUES" numFmtId="164">
      <sharedItems containsSemiMixedTypes="0" containsString="0" containsNumber="1" containsInteger="1" minValue="0" maxValue="0"/>
    </cacheField>
    <cacheField name="COUNTER-CANCELAMENTO-ATAQUES" numFmtId="164">
      <sharedItems containsSemiMixedTypes="0" containsString="0" containsNumber="1" minValue="0" maxValue="0.89999999999999991"/>
    </cacheField>
    <cacheField name="BLOQUEIO-DE-INIMIGOS" numFmtId="164">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44.81609270833" createdVersion="8" refreshedVersion="8" minRefreshableVersion="3" recordCount="18" xr:uid="{18F7389F-FDCC-4864-89BD-063F07BA150F}">
  <cacheSource type="worksheet">
    <worksheetSource ref="B2:BO20" sheet="SEGUNDO PODER-DE-ESTRELA"/>
  </cacheSource>
  <cacheFields count="60">
    <cacheField name="NOME PODER DE ESTRELA" numFmtId="0">
      <sharedItems count="18">
        <s v="TEMPERED STEEL"/>
        <s v="FLOW"/>
        <s v="ROBO RETREAT"/>
        <s v="CURVEBALL"/>
        <s v="INVISIHEAL"/>
        <s v="FREEZING SNOW"/>
        <s v="BAND-AID"/>
        <s v="SCREECHING SOLO"/>
        <s v="MAKING A MESS"/>
        <s v="SPONGE"/>
        <s v="HEALING WINDS"/>
        <s v="HARDY HARD HAT"/>
        <s v="MASTER BLASTER"/>
        <s v="COILED SNAKE"/>
        <s v="AUTOMA-TICK RELOAD"/>
        <s v="NUMBING NEEDLES"/>
        <s v="HAPPY SURPRISE"/>
        <s v="RUN N GUN"/>
      </sharedItems>
    </cacheField>
    <cacheField name="Nome Brawler" numFmtId="0">
      <sharedItems count="18">
        <s v="NANI"/>
        <s v="ANGELO"/>
        <s v="RICO"/>
        <s v="SPIKE"/>
        <s v="LEON"/>
        <s v="GALE"/>
        <s v="SHELLY"/>
        <s v="POCO"/>
        <s v="BERRY"/>
        <s v="FRANK"/>
        <s v="SANDY"/>
        <s v="JACKY"/>
        <s v="PENNY"/>
        <s v="MORTIS"/>
        <s v="TICK"/>
        <s v="JUJU"/>
        <s v="EVE"/>
        <s v="MAX"/>
      </sharedItems>
    </cacheField>
    <cacheField name="PROJETEIS-PARA-SUPER" numFmtId="164">
      <sharedItems containsSemiMixedTypes="0" containsString="0" containsNumber="1" containsInteger="1" minValue="0" maxValue="0"/>
    </cacheField>
    <cacheField name="SUPERS-PARA-HIPERCARGA" numFmtId="164">
      <sharedItems containsSemiMixedTypes="0" containsString="0" containsNumber="1" containsInteger="1" minValue="0" maxValue="0"/>
    </cacheField>
    <cacheField name="DANO-PROJETIL" numFmtId="164">
      <sharedItems containsSemiMixedTypes="0" containsString="0" containsNumber="1" containsInteger="1" minValue="0" maxValue="66"/>
    </cacheField>
    <cacheField name="TIROS-DADOS-EM-5-SEGUNDOS" numFmtId="164">
      <sharedItems containsSemiMixedTypes="0" containsString="0" containsNumber="1" minValue="0" maxValue="0.70000000000000018"/>
    </cacheField>
    <cacheField name="MÉDIA-PROJETEIS-POR-TIRO" numFmtId="164">
      <sharedItems containsSemiMixedTypes="0" containsString="0" containsNumber="1" containsInteger="1" minValue="0" maxValue="0"/>
    </cacheField>
    <cacheField name="CURTO-ALCANCE-QUANT-PROJETIL-MEDIO" numFmtId="164">
      <sharedItems containsSemiMixedTypes="0" containsString="0" containsNumber="1" containsInteger="1" minValue="0" maxValue="0"/>
    </cacheField>
    <cacheField name="MEDIO-ALCANCE-QUANT-PROJETIL-MEDIO" numFmtId="164">
      <sharedItems containsSemiMixedTypes="0" containsString="0" containsNumber="1" minValue="0" maxValue="0.5"/>
    </cacheField>
    <cacheField name="LONGO-ALCANCE-QUANT-PROJETIL-MEDIO" numFmtId="164">
      <sharedItems containsSemiMixedTypes="0" containsString="0" containsNumber="1" minValue="0" maxValue="0.5"/>
    </cacheField>
    <cacheField name="MTLONGO-ALCANCE-QUANT-PROJETIL-MEDIO" numFmtId="164">
      <sharedItems containsSemiMixedTypes="0" containsString="0" containsNumber="1" containsInteger="1" minValue="0" maxValue="1"/>
    </cacheField>
    <cacheField name="CARREGAMENTO-SUPER-AO-ACERTAR-EM-PROJETEIS" numFmtId="164">
      <sharedItems containsSemiMixedTypes="0" containsString="0" containsNumber="1" containsInteger="1" minValue="0" maxValue="0"/>
    </cacheField>
    <cacheField name="CURTO-ALCANCE-DANO-SUPER-MEDIO" numFmtId="164">
      <sharedItems containsSemiMixedTypes="0" containsString="0" containsNumber="1" containsInteger="1" minValue="0" maxValue="1520"/>
    </cacheField>
    <cacheField name="MEDIO-ALCANCE-DANO-SUPER-MEDIO" numFmtId="164">
      <sharedItems containsSemiMixedTypes="0" containsString="0" containsNumber="1" containsInteger="1" minValue="0" maxValue="1520"/>
    </cacheField>
    <cacheField name="LONGO-ALCANCE-DANO-SUPER-MEDIO" numFmtId="164">
      <sharedItems containsSemiMixedTypes="0" containsString="0" containsNumber="1" containsInteger="1" minValue="0" maxValue="1520"/>
    </cacheField>
    <cacheField name="MT-LONGO-ALCANCE-DANO-SUPER-MEDIO" numFmtId="164">
      <sharedItems containsSemiMixedTypes="0" containsString="0" containsNumber="1" containsInteger="1" minValue="0" maxValue="1520"/>
    </cacheField>
    <cacheField name="MÉDIA-DANO-POR-SUPER" numFmtId="164">
      <sharedItems containsSemiMixedTypes="0" containsString="0" containsNumber="1" containsInteger="1" minValue="0" maxValue="1520"/>
    </cacheField>
    <cacheField name="DANO-OCASIONAL" numFmtId="164">
      <sharedItems containsSemiMixedTypes="0" containsString="0" containsNumber="1" containsInteger="1" minValue="0" maxValue="0"/>
    </cacheField>
    <cacheField name="Durability" numFmtId="2">
      <sharedItems containsSemiMixedTypes="0" containsString="0" containsNumber="1" minValue="0" maxValue="1.4285714285714279"/>
    </cacheField>
    <cacheField name="Distância-Ataque" numFmtId="164">
      <sharedItems containsSemiMixedTypes="0" containsString="0" containsNumber="1" containsInteger="1" minValue="0" maxValue="1"/>
    </cacheField>
    <cacheField name="Botão-de-Fuga" numFmtId="164">
      <sharedItems containsSemiMixedTypes="0" containsString="0" containsNumber="1" minValue="0" maxValue="0.33333333333333304"/>
    </cacheField>
    <cacheField name="Ataque-amplo" numFmtId="164">
      <sharedItems containsSemiMixedTypes="0" containsString="0" containsNumber="1" minValue="0" maxValue="1.5"/>
    </cacheField>
    <cacheField name="FREQUENCIA-DANO-INDIRETO" numFmtId="164">
      <sharedItems containsSemiMixedTypes="0" containsString="0" containsNumber="1" containsInteger="1" minValue="0" maxValue="3"/>
    </cacheField>
    <cacheField name="NEGACAO-DE-AREA" numFmtId="164">
      <sharedItems containsSemiMixedTypes="0" containsString="0" containsNumber="1" containsInteger="1" minValue="0" maxValue="0"/>
    </cacheField>
    <cacheField name="MANIPULACAO-DA-POSICAO-DE-INIMIGOS" numFmtId="164">
      <sharedItems containsSemiMixedTypes="0" containsString="0" containsNumber="1" containsInteger="1" minValue="0" maxValue="0"/>
    </cacheField>
    <cacheField name="ANDA-SOBRE-AGUA" numFmtId="164">
      <sharedItems containsSemiMixedTypes="0" containsString="0" containsNumber="1" containsInteger="1" minValue="0" maxValue="0"/>
    </cacheField>
    <cacheField name="COMBATER-INIMIGOS-SOBRE-AGUA" numFmtId="164">
      <sharedItems containsSemiMixedTypes="0" containsString="0" containsNumber="1" containsInteger="1" minValue="0" maxValue="0"/>
    </cacheField>
    <cacheField name="POTENCIAL-DESTRUIÇÃO-DE-MUROS" numFmtId="164">
      <sharedItems containsSemiMixedTypes="0" containsString="0" containsNumber="1" containsInteger="1" minValue="0" maxValue="0"/>
    </cacheField>
    <cacheField name="POTENCIAL-DESTRUIÇÃO-DE-MOITAS" numFmtId="164">
      <sharedItems containsSemiMixedTypes="0" containsString="0" containsNumber="1" containsInteger="1" minValue="0" maxValue="0"/>
    </cacheField>
    <cacheField name="POTENCIAL-DE-CRIACAO-DE-COVER" numFmtId="164">
      <sharedItems containsSemiMixedTypes="0" containsString="0" containsNumber="1" containsInteger="1" minValue="0" maxValue="0"/>
    </cacheField>
    <cacheField name="VELOCIDADE-MOVIMENTO" numFmtId="164">
      <sharedItems containsSemiMixedTypes="0" containsString="0" containsNumber="1" minValue="0" maxValue="2"/>
    </cacheField>
    <cacheField name="FORÇA-ATK-SURP" numFmtId="164">
      <sharedItems containsSemiMixedTypes="0" containsString="0" containsNumber="1" minValue="0" maxValue="0.5"/>
    </cacheField>
    <cacheField name="Ataque-Surpresa" numFmtId="164">
      <sharedItems containsSemiMixedTypes="0" containsString="0" containsNumber="1" minValue="0" maxValue="0.5"/>
    </cacheField>
    <cacheField name="FREQUÊNCIA-GERAÇÃO-DE-PETS" numFmtId="164">
      <sharedItems containsSemiMixedTypes="0" containsString="0" containsNumber="1" containsInteger="1" minValue="0" maxValue="1"/>
    </cacheField>
    <cacheField name="ACÚMULO-PETS" numFmtId="164">
      <sharedItems containsSemiMixedTypes="0" containsString="0" containsNumber="1" containsInteger="1" minValue="0" maxValue="1"/>
    </cacheField>
    <cacheField name="VIDA-DETERIORÁVEL-PETS" numFmtId="164">
      <sharedItems containsSemiMixedTypes="0" containsString="0" containsNumber="1" containsInteger="1" minValue="0" maxValue="0"/>
    </cacheField>
    <cacheField name="RESISTÊNCIA-PETS" numFmtId="164">
      <sharedItems containsSemiMixedTypes="0" containsString="0" containsNumber="1" containsInteger="1" minValue="0" maxValue="0"/>
    </cacheField>
    <cacheField name="DANO-PETS" numFmtId="164">
      <sharedItems containsSemiMixedTypes="0" containsString="0" containsNumber="1" containsInteger="1" minValue="0" maxValue="0"/>
    </cacheField>
    <cacheField name="ALCANCE-PETS" numFmtId="164">
      <sharedItems containsSemiMixedTypes="0" containsString="0" containsNumber="1" containsInteger="1" minValue="0" maxValue="0"/>
    </cacheField>
    <cacheField name="VELOCIDADE-PETS" numFmtId="164">
      <sharedItems containsSemiMixedTypes="0" containsString="0" containsNumber="1" containsInteger="1" minValue="0" maxValue="0"/>
    </cacheField>
    <cacheField name="PROXIMIDADE-PETS" numFmtId="164">
      <sharedItems containsSemiMixedTypes="0" containsString="0" containsNumber="1" containsInteger="1" minValue="0" maxValue="0"/>
    </cacheField>
    <cacheField name="DANO-AUMENTADO-QUANDO-AGRUPADO" numFmtId="164">
      <sharedItems containsSemiMixedTypes="0" containsString="0" containsNumber="1" containsInteger="1" minValue="0" maxValue="3"/>
    </cacheField>
    <cacheField name="CIRCUNSTANCIABILIDADE" numFmtId="164">
      <sharedItems containsSemiMixedTypes="0" containsString="0" containsNumber="1" containsInteger="1" minValue="0" maxValue="5"/>
    </cacheField>
    <cacheField name="HP-SUPORTE" numFmtId="164">
      <sharedItems containsSemiMixedTypes="0" containsString="0" containsNumber="1" minValue="0" maxValue="4.5"/>
    </cacheField>
    <cacheField name="HP-ENFRAQUECIMENTO" numFmtId="164">
      <sharedItems containsSemiMixedTypes="0" containsString="0" containsNumber="1" containsInteger="1" minValue="0" maxValue="0"/>
    </cacheField>
    <cacheField name="DANO-SUPORTE" numFmtId="164">
      <sharedItems containsSemiMixedTypes="0" containsString="0" containsNumber="1" containsInteger="1" minValue="0" maxValue="0"/>
    </cacheField>
    <cacheField name="DANO-ENFRAQUECIMENTO" numFmtId="164">
      <sharedItems containsSemiMixedTypes="0" containsString="0" containsNumber="1" containsInteger="1" minValue="0" maxValue="0"/>
    </cacheField>
    <cacheField name="SPEED-SUPORTE" numFmtId="164">
      <sharedItems containsSemiMixedTypes="0" containsString="0" containsNumber="1" containsInteger="1" minValue="0" maxValue="0"/>
    </cacheField>
    <cacheField name="INVISIBILIDADE-SUPORTE" numFmtId="164">
      <sharedItems containsSemiMixedTypes="0" containsString="0" containsNumber="1" containsInteger="1" minValue="0" maxValue="0"/>
    </cacheField>
    <cacheField name="ESCUDO-SUPORTE" numFmtId="164">
      <sharedItems containsSemiMixedTypes="0" containsString="0" containsNumber="1" containsInteger="1" minValue="0" maxValue="0"/>
    </cacheField>
    <cacheField name="POSICIONAMENTO-SUPORTE" numFmtId="164">
      <sharedItems containsSemiMixedTypes="0" containsString="0" containsNumber="1" containsInteger="1" minValue="0" maxValue="0"/>
    </cacheField>
    <cacheField name="VENENO-DEBUFF" numFmtId="164">
      <sharedItems containsSemiMixedTypes="0" containsString="0" containsNumber="1" containsInteger="1" minValue="0" maxValue="0"/>
    </cacheField>
    <cacheField name="COUNTER-VENENO-DEBUFF" numFmtId="164">
      <sharedItems containsSemiMixedTypes="0" containsString="0" containsNumber="1" containsInteger="1" minValue="0" maxValue="0"/>
    </cacheField>
    <cacheField name="LENTIDAO-DEBUFF" numFmtId="164">
      <sharedItems containsSemiMixedTypes="0" containsString="0" containsNumber="1" minValue="0" maxValue="5"/>
    </cacheField>
    <cacheField name="COUNTER-LENTIDAO-DEBUFF" numFmtId="164">
      <sharedItems containsSemiMixedTypes="0" containsString="0" containsNumber="1" containsInteger="1" minValue="0" maxValue="0"/>
    </cacheField>
    <cacheField name="STUN-DEBUFF" numFmtId="164">
      <sharedItems containsSemiMixedTypes="0" containsString="0" containsNumber="1" containsInteger="1" minValue="0" maxValue="0"/>
    </cacheField>
    <cacheField name="COUNTER-STUN-DEBUFF" numFmtId="164">
      <sharedItems containsSemiMixedTypes="0" containsString="0" containsNumber="1" containsInteger="1" minValue="0" maxValue="0"/>
    </cacheField>
    <cacheField name="CANCELAMENTO-ATAQUES" numFmtId="164">
      <sharedItems containsSemiMixedTypes="0" containsString="0" containsNumber="1" minValue="0" maxValue="2.5"/>
    </cacheField>
    <cacheField name="COUNTER-CANCELAMENTO-ATAQUES" numFmtId="164">
      <sharedItems containsSemiMixedTypes="0" containsString="0" containsNumber="1" containsInteger="1" minValue="0" maxValue="0"/>
    </cacheField>
    <cacheField name="BLOQUEIO-DE-INIMIGOS" numFmtId="164">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44.81609270833" createdVersion="8" refreshedVersion="8" minRefreshableVersion="3" recordCount="18" xr:uid="{6C478417-9BD6-4375-99E3-786CDB8F460E}">
  <cacheSource type="worksheet">
    <worksheetSource ref="B2:BO20" sheet="PRIMEIRO PODER-DE-ESTRELA"/>
  </cacheSource>
  <cacheFields count="60">
    <cacheField name="NOME PODER DE ESTRELA" numFmtId="0">
      <sharedItems count="18">
        <s v="AUTOFOCUS"/>
        <s v="EMPOWER"/>
        <s v="SUPER BOUNCY"/>
        <s v="FERTILIZE"/>
        <s v="SMOKE TRAILS"/>
        <s v="BLUSTERY BLOW"/>
        <s v="SHELL SHOCK"/>
        <s v="DA CAPO"/>
        <s v="FLOOR IS FINE"/>
        <s v="POWER GRAB"/>
        <s v="RUDE SANDS"/>
        <s v="COUNTER CRUSH"/>
        <s v="HEAVY COFFERS"/>
        <s v="CREEPY HARVEST"/>
        <s v="WELL OILED"/>
        <s v="GUARDED GRIS-GRIS"/>
        <s v="UNNATURAL ORDER"/>
        <s v="SUPER CHARGED"/>
      </sharedItems>
    </cacheField>
    <cacheField name="Nome Brawler" numFmtId="0">
      <sharedItems count="18">
        <s v="NANI"/>
        <s v="ANGELO"/>
        <s v="RICO"/>
        <s v="SPIKE"/>
        <s v="LEON"/>
        <s v="GALE"/>
        <s v="SHELLY"/>
        <s v="POCO"/>
        <s v="BERRY"/>
        <s v="FRANK"/>
        <s v="SANDY"/>
        <s v="JACKY"/>
        <s v="PENNY"/>
        <s v="MORTIS"/>
        <s v="TICK"/>
        <s v="JUJU"/>
        <s v="EVE"/>
        <s v="MAX"/>
      </sharedItems>
    </cacheField>
    <cacheField name="PROJETEIS-PARA-SUPER" numFmtId="164">
      <sharedItems containsSemiMixedTypes="0" containsString="0" containsNumber="1" containsInteger="1" minValue="-3" maxValue="0"/>
    </cacheField>
    <cacheField name="SUPERS-PARA-HIPERCARGA" numFmtId="164">
      <sharedItems containsSemiMixedTypes="0" containsString="0" containsNumber="1" containsInteger="1" minValue="0" maxValue="0"/>
    </cacheField>
    <cacheField name="DANO-PROJETIL" numFmtId="164">
      <sharedItems containsSemiMixedTypes="0" containsString="0" containsNumber="1" minValue="0" maxValue="1500"/>
    </cacheField>
    <cacheField name="TIROS-DADOS-EM-5-SEGUNDOS" numFmtId="164">
      <sharedItems containsSemiMixedTypes="0" containsString="0" containsNumber="1" minValue="0" maxValue="0.41250000000000009"/>
    </cacheField>
    <cacheField name="MÉDIA-PROJETEIS-POR-TIRO" numFmtId="164">
      <sharedItems containsSemiMixedTypes="0" containsString="0" containsNumber="1" containsInteger="1" minValue="0" maxValue="0"/>
    </cacheField>
    <cacheField name="CURTO-ALCANCE-QUANT-PROJETIL-MEDIO" numFmtId="164">
      <sharedItems containsSemiMixedTypes="0" containsString="0" containsNumber="1" containsInteger="1" minValue="0" maxValue="0"/>
    </cacheField>
    <cacheField name="MEDIO-ALCANCE-QUANT-PROJETIL-MEDIO" numFmtId="164">
      <sharedItems containsSemiMixedTypes="0" containsString="0" containsNumber="1" containsInteger="1" minValue="0" maxValue="0"/>
    </cacheField>
    <cacheField name="LONGO-ALCANCE-QUANT-PROJETIL-MEDIO" numFmtId="164">
      <sharedItems containsSemiMixedTypes="0" containsString="0" containsNumber="1" containsInteger="1" minValue="0" maxValue="0"/>
    </cacheField>
    <cacheField name="MTLONGO-ALCANCE-QUANT-PROJETIL-MEDIO" numFmtId="164">
      <sharedItems containsSemiMixedTypes="0" containsString="0" containsNumber="1" containsInteger="1" minValue="0" maxValue="0"/>
    </cacheField>
    <cacheField name="CARREGAMENTO-SUPER-AO-ACERTAR-EM-PROJETEIS" numFmtId="164">
      <sharedItems containsSemiMixedTypes="0" containsString="0" containsNumber="1" containsInteger="1" minValue="0" maxValue="0"/>
    </cacheField>
    <cacheField name="CURTO-ALCANCE-DANO-SUPER-MEDIO" numFmtId="164">
      <sharedItems containsSemiMixedTypes="0" containsString="0" containsNumber="1" containsInteger="1" minValue="0" maxValue="1944"/>
    </cacheField>
    <cacheField name="MEDIO-ALCANCE-DANO-SUPER-MEDIO" numFmtId="164">
      <sharedItems containsSemiMixedTypes="0" containsString="0" containsNumber="1" containsInteger="1" minValue="0" maxValue="1944"/>
    </cacheField>
    <cacheField name="LONGO-ALCANCE-DANO-SUPER-MEDIO" numFmtId="164">
      <sharedItems containsSemiMixedTypes="0" containsString="0" containsNumber="1" containsInteger="1" minValue="0" maxValue="1944"/>
    </cacheField>
    <cacheField name="MT-LONGO-ALCANCE-DANO-SUPER-MEDIO" numFmtId="164">
      <sharedItems containsSemiMixedTypes="0" containsString="0" containsNumber="1" containsInteger="1" minValue="0" maxValue="2000"/>
    </cacheField>
    <cacheField name="MÉDIA-DANO-POR-SUPER" numFmtId="164">
      <sharedItems containsSemiMixedTypes="0" containsString="0" containsNumber="1" containsInteger="1" minValue="0" maxValue="500"/>
    </cacheField>
    <cacheField name="DANO-OCASIONAL" numFmtId="164">
      <sharedItems containsSemiMixedTypes="0" containsString="0" containsNumber="1" containsInteger="1" minValue="0" maxValue="1280"/>
    </cacheField>
    <cacheField name="Durability" numFmtId="164">
      <sharedItems containsSemiMixedTypes="0" containsString="0" containsNumber="1" minValue="0" maxValue="1.5999999999999996"/>
    </cacheField>
    <cacheField name="Distância-Ataque" numFmtId="164">
      <sharedItems containsSemiMixedTypes="0" containsString="0" containsNumber="1" containsInteger="1" minValue="0" maxValue="0"/>
    </cacheField>
    <cacheField name="Botão-de-Fuga" numFmtId="164">
      <sharedItems containsSemiMixedTypes="0" containsString="0" containsNumber="1" minValue="0" maxValue="1.333333333333333"/>
    </cacheField>
    <cacheField name="Ataque-amplo" numFmtId="164">
      <sharedItems containsSemiMixedTypes="0" containsString="0" containsNumber="1" containsInteger="1" minValue="0" maxValue="2"/>
    </cacheField>
    <cacheField name="FREQUENCIA-DANO-INDIRETO" numFmtId="164">
      <sharedItems containsSemiMixedTypes="0" containsString="0" containsNumber="1" containsInteger="1" minValue="0" maxValue="2"/>
    </cacheField>
    <cacheField name="NEGACAO-DE-AREA" numFmtId="164">
      <sharedItems containsSemiMixedTypes="0" containsString="0" containsNumber="1" minValue="0" maxValue="1.75"/>
    </cacheField>
    <cacheField name="MANIPULACAO-DA-POSICAO-DE-INIMIGOS" numFmtId="164">
      <sharedItems containsSemiMixedTypes="0" containsString="0" containsNumber="1" containsInteger="1" minValue="0" maxValue="0"/>
    </cacheField>
    <cacheField name="ANDA-SOBRE-AGUA" numFmtId="164">
      <sharedItems containsSemiMixedTypes="0" containsString="0" containsNumber="1" containsInteger="1" minValue="0" maxValue="0"/>
    </cacheField>
    <cacheField name="COMBATER-INIMIGOS-SOBRE-AGUA" numFmtId="164">
      <sharedItems containsSemiMixedTypes="0" containsString="0" containsNumber="1" containsInteger="1" minValue="0" maxValue="0"/>
    </cacheField>
    <cacheField name="POTENCIAL-DESTRUIÇÃO-DE-MUROS" numFmtId="164">
      <sharedItems containsSemiMixedTypes="0" containsString="0" containsNumber="1" containsInteger="1" minValue="0" maxValue="0"/>
    </cacheField>
    <cacheField name="POTENCIAL-DESTRUIÇÃO-DE-MOITAS" numFmtId="164">
      <sharedItems containsSemiMixedTypes="0" containsString="0" containsNumber="1" containsInteger="1" minValue="0" maxValue="0"/>
    </cacheField>
    <cacheField name="POTENCIAL-DE-CRIACAO-DE-COVER" numFmtId="164">
      <sharedItems containsSemiMixedTypes="0" containsString="0" containsNumber="1" containsInteger="1" minValue="0" maxValue="0"/>
    </cacheField>
    <cacheField name="VELOCIDADE-MOVIMENTO" numFmtId="164">
      <sharedItems containsSemiMixedTypes="0" containsString="0" containsNumber="1" containsInteger="1" minValue="0" maxValue="1"/>
    </cacheField>
    <cacheField name="FORÇA-ATK-SURP" numFmtId="164">
      <sharedItems containsSemiMixedTypes="0" containsString="0" containsNumber="1" containsInteger="1" minValue="0" maxValue="2"/>
    </cacheField>
    <cacheField name="Ataque-Surpresa" numFmtId="164">
      <sharedItems containsSemiMixedTypes="0" containsString="0" containsNumber="1" containsInteger="1" minValue="0" maxValue="2"/>
    </cacheField>
    <cacheField name="FREQUÊNCIA-GERAÇÃO-DE-PETS" numFmtId="164">
      <sharedItems containsSemiMixedTypes="0" containsString="0" containsNumber="1" containsInteger="1" minValue="0" maxValue="0"/>
    </cacheField>
    <cacheField name="ACÚMULO-PETS" numFmtId="164">
      <sharedItems containsSemiMixedTypes="0" containsString="0" containsNumber="1" containsInteger="1" minValue="0" maxValue="0"/>
    </cacheField>
    <cacheField name="VIDA-DETERIORÁVEL-PETS" numFmtId="164">
      <sharedItems containsSemiMixedTypes="0" containsString="0" containsNumber="1" containsInteger="1" minValue="0" maxValue="0"/>
    </cacheField>
    <cacheField name="RESISTÊNCIA-PETS" numFmtId="164">
      <sharedItems containsSemiMixedTypes="0" containsString="0" containsNumber="1" minValue="0" maxValue="1.5"/>
    </cacheField>
    <cacheField name="DANO-PETS" numFmtId="164">
      <sharedItems containsSemiMixedTypes="0" containsString="0" containsNumber="1" containsInteger="1" minValue="0" maxValue="0"/>
    </cacheField>
    <cacheField name="ALCANCE-PETS" numFmtId="164">
      <sharedItems containsSemiMixedTypes="0" containsString="0" containsNumber="1" containsInteger="1" minValue="0" maxValue="0"/>
    </cacheField>
    <cacheField name="VELOCIDADE-PETS" numFmtId="164">
      <sharedItems containsSemiMixedTypes="0" containsString="0" containsNumber="1" containsInteger="1" minValue="0" maxValue="0"/>
    </cacheField>
    <cacheField name="PROXIMIDADE-PETS" numFmtId="164">
      <sharedItems containsSemiMixedTypes="0" containsString="0" containsNumber="1" containsInteger="1" minValue="0" maxValue="0"/>
    </cacheField>
    <cacheField name="DANO-AUMENTADO-QUANDO-AGRUPADO" numFmtId="164">
      <sharedItems containsSemiMixedTypes="0" containsString="0" containsNumber="1" containsInteger="1" minValue="0" maxValue="2"/>
    </cacheField>
    <cacheField name="CIRCUNSTANCIABILIDADE" numFmtId="164">
      <sharedItems containsSemiMixedTypes="0" containsString="0" containsNumber="1" minValue="0" maxValue="2.5"/>
    </cacheField>
    <cacheField name="HP-SUPORTE" numFmtId="164">
      <sharedItems containsSemiMixedTypes="0" containsString="0" containsNumber="1" minValue="0" maxValue="6.5"/>
    </cacheField>
    <cacheField name="HP-ENFRAQUECIMENTO" numFmtId="164">
      <sharedItems containsSemiMixedTypes="0" containsString="0" containsNumber="1" containsInteger="1" minValue="0" maxValue="0"/>
    </cacheField>
    <cacheField name="DANO-SUPORTE" numFmtId="164">
      <sharedItems containsSemiMixedTypes="0" containsString="0" containsNumber="1" containsInteger="1" minValue="0" maxValue="0"/>
    </cacheField>
    <cacheField name="DANO-ENFRAQUECIMENTO" numFmtId="164">
      <sharedItems containsSemiMixedTypes="0" containsString="0" containsNumber="1" containsInteger="1" minValue="0" maxValue="0"/>
    </cacheField>
    <cacheField name="SPEED-SUPORTE" numFmtId="164">
      <sharedItems containsSemiMixedTypes="0" containsString="0" containsNumber="1" containsInteger="1" minValue="0" maxValue="0"/>
    </cacheField>
    <cacheField name="INVISIBILIDADE-SUPORTE" numFmtId="164">
      <sharedItems containsSemiMixedTypes="0" containsString="0" containsNumber="1" containsInteger="1" minValue="0" maxValue="1"/>
    </cacheField>
    <cacheField name="ESCUDO-SUPORTE" numFmtId="164">
      <sharedItems containsSemiMixedTypes="0" containsString="0" containsNumber="1" containsInteger="1" minValue="0" maxValue="0"/>
    </cacheField>
    <cacheField name="POSICIONAMENTO-SUPORTE" numFmtId="164">
      <sharedItems containsSemiMixedTypes="0" containsString="0" containsNumber="1" containsInteger="1" minValue="0" maxValue="0"/>
    </cacheField>
    <cacheField name="VENENO-DEBUFF" numFmtId="164">
      <sharedItems containsSemiMixedTypes="0" containsString="0" containsNumber="1" containsInteger="1" minValue="0" maxValue="0"/>
    </cacheField>
    <cacheField name="COUNTER-VENENO-DEBUFF" numFmtId="164">
      <sharedItems containsSemiMixedTypes="0" containsString="0" containsNumber="1" containsInteger="1" minValue="0" maxValue="0"/>
    </cacheField>
    <cacheField name="LENTIDAO-DEBUFF" numFmtId="164">
      <sharedItems containsSemiMixedTypes="0" containsString="0" containsNumber="1" minValue="0" maxValue="4.833333333333333"/>
    </cacheField>
    <cacheField name="COUNTER-LENTIDAO-DEBUFF" numFmtId="164">
      <sharedItems containsSemiMixedTypes="0" containsString="0" containsNumber="1" containsInteger="1" minValue="0" maxValue="0"/>
    </cacheField>
    <cacheField name="STUN-DEBUFF" numFmtId="164">
      <sharedItems containsSemiMixedTypes="0" containsString="0" containsNumber="1" minValue="0" maxValue="4.5"/>
    </cacheField>
    <cacheField name="COUNTER-STUN-DEBUFF" numFmtId="164">
      <sharedItems containsSemiMixedTypes="0" containsString="0" containsNumber="1" containsInteger="1" minValue="0" maxValue="0"/>
    </cacheField>
    <cacheField name="CANCELAMENTO-ATAQUES" numFmtId="164">
      <sharedItems containsSemiMixedTypes="0" containsString="0" containsNumber="1" containsInteger="1" minValue="0" maxValue="0"/>
    </cacheField>
    <cacheField name="COUNTER-CANCELAMENTO-ATAQUES" numFmtId="164">
      <sharedItems containsSemiMixedTypes="0" containsString="0" containsNumber="1" containsInteger="1" minValue="0" maxValue="0"/>
    </cacheField>
    <cacheField name="BLOQUEIO-DE-INIMIGOS" numFmtId="164">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44.81609270833" createdVersion="8" refreshedVersion="8" minRefreshableVersion="3" recordCount="18" xr:uid="{02635AC4-5181-4FE4-A986-2E8DCF02723F}">
  <cacheSource type="worksheet">
    <worksheetSource ref="B2:BO20" sheet="SEGUNDO ACESSÓRIO"/>
  </cacheSource>
  <cacheFields count="60">
    <cacheField name="NOME ACESSÓRIO" numFmtId="0">
      <sharedItems count="18">
        <s v="RETURN TO SENDER"/>
        <s v="MASTER FLETCHER"/>
        <s v="BOUNCY CASTLE"/>
        <s v="LIFE PLANT"/>
        <s v="LOLLIPOP DROP"/>
        <s v="TWISTER"/>
        <s v="CLAY PIGEONS"/>
        <s v="PROTECTIVE TUNES"/>
        <s v="HEALTHY ADDITIVES"/>
        <s v="IRRESISTIBLE ATRACTION"/>
        <s v="SWEET DREAMS"/>
        <s v="REBUILD"/>
        <s v="TRUSTY SPYGLASS"/>
        <s v="CREATURE OF THE NIGHT"/>
        <s v="LAST HURRAH"/>
        <s v="ELEMENTALIST"/>
        <s v="MOTHERLY LOVE"/>
        <s v="SNEAKY SNEAKERS"/>
      </sharedItems>
    </cacheField>
    <cacheField name="Nome Brawler" numFmtId="0">
      <sharedItems count="18">
        <s v="NANI"/>
        <s v="ANGELO"/>
        <s v="RICO"/>
        <s v="SPIKE"/>
        <s v="LEON"/>
        <s v="GALE"/>
        <s v="SHELLY"/>
        <s v="POCO"/>
        <s v="BERRY"/>
        <s v="FRANK"/>
        <s v="SANDY"/>
        <s v="JACKY"/>
        <s v="PENNY"/>
        <s v="MORTIS"/>
        <s v="TICK"/>
        <s v="JUJU"/>
        <s v="EVE"/>
        <s v="MAX"/>
      </sharedItems>
    </cacheField>
    <cacheField name="PROJETEIS-PARA-SUPER" numFmtId="164">
      <sharedItems containsSemiMixedTypes="0" containsString="0" containsNumber="1" containsInteger="1" minValue="0" maxValue="0"/>
    </cacheField>
    <cacheField name="SUPERS-PARA-HIPERCARGA" numFmtId="164">
      <sharedItems containsSemiMixedTypes="0" containsString="0" containsNumber="1" containsInteger="1" minValue="0" maxValue="0"/>
    </cacheField>
    <cacheField name="DANO-PROJETIL" numFmtId="164">
      <sharedItems containsSemiMixedTypes="0" containsString="0" containsNumber="1" containsInteger="1" minValue="0" maxValue="0"/>
    </cacheField>
    <cacheField name="TIROS-DADOS-EM-5-SEGUNDOS" numFmtId="164">
      <sharedItems containsSemiMixedTypes="0" containsString="0" containsNumber="1" containsInteger="1" minValue="0" maxValue="0"/>
    </cacheField>
    <cacheField name="MÉDIA-PROJETEIS-POR-TIRO" numFmtId="164">
      <sharedItems containsSemiMixedTypes="0" containsString="0" containsNumber="1" containsInteger="1" minValue="0" maxValue="0"/>
    </cacheField>
    <cacheField name="CURTO-ALCANCE-QUANT-PROJETIL-MEDIO" numFmtId="164">
      <sharedItems containsSemiMixedTypes="0" containsString="0" containsNumber="1" containsInteger="1" minValue="0" maxValue="0"/>
    </cacheField>
    <cacheField name="MEDIO-ALCANCE-QUANT-PROJETIL-MEDIO" numFmtId="164">
      <sharedItems containsSemiMixedTypes="0" containsString="0" containsNumber="1" minValue="0" maxValue="0.125"/>
    </cacheField>
    <cacheField name="LONGO-ALCANCE-QUANT-PROJETIL-MEDIO" numFmtId="164">
      <sharedItems containsSemiMixedTypes="0" containsString="0" containsNumber="1" minValue="0" maxValue="0.25"/>
    </cacheField>
    <cacheField name="MTLONGO-ALCANCE-QUANT-PROJETIL-MEDIO" numFmtId="164">
      <sharedItems containsSemiMixedTypes="0" containsString="0" containsNumber="1" minValue="0" maxValue="0.375"/>
    </cacheField>
    <cacheField name="CARREGAMENTO-SUPER-AO-ACERTAR-EM-PROJETEIS" numFmtId="164">
      <sharedItems containsSemiMixedTypes="0" containsString="0" containsNumber="1" containsInteger="1" minValue="0" maxValue="0"/>
    </cacheField>
    <cacheField name="CURTO-ALCANCE-DANO-SUPER-MEDIO" numFmtId="164">
      <sharedItems containsSemiMixedTypes="0" containsString="0" containsNumber="1" containsInteger="1" minValue="0" maxValue="800"/>
    </cacheField>
    <cacheField name="MEDIO-ALCANCE-DANO-SUPER-MEDIO" numFmtId="164">
      <sharedItems containsSemiMixedTypes="0" containsString="0" containsNumber="1" containsInteger="1" minValue="-100" maxValue="1600"/>
    </cacheField>
    <cacheField name="LONGO-ALCANCE-DANO-SUPER-MEDIO" numFmtId="164">
      <sharedItems containsSemiMixedTypes="0" containsString="0" containsNumber="1" containsInteger="1" minValue="-300" maxValue="3200"/>
    </cacheField>
    <cacheField name="MT-LONGO-ALCANCE-DANO-SUPER-MEDIO" numFmtId="164">
      <sharedItems containsSemiMixedTypes="0" containsString="0" containsNumber="1" containsInteger="1" minValue="-200" maxValue="3200"/>
    </cacheField>
    <cacheField name="MÉDIA-DANO-POR-SUPER" numFmtId="164">
      <sharedItems containsSemiMixedTypes="0" containsString="0" containsNumber="1" containsInteger="1" minValue="-100" maxValue="1600"/>
    </cacheField>
    <cacheField name="DANO-OCASIONAL" numFmtId="164">
      <sharedItems containsSemiMixedTypes="0" containsString="0" containsNumber="1" containsInteger="1" minValue="0" maxValue="15840"/>
    </cacheField>
    <cacheField name="Durability" numFmtId="2">
      <sharedItems containsSemiMixedTypes="0" containsString="0" containsNumber="1" minValue="0" maxValue="1.0714285714285712"/>
    </cacheField>
    <cacheField name="Distância-Ataque" numFmtId="164">
      <sharedItems containsSemiMixedTypes="0" containsString="0" containsNumber="1" minValue="0" maxValue="0.5"/>
    </cacheField>
    <cacheField name="Botão-de-Fuga" numFmtId="164">
      <sharedItems containsSemiMixedTypes="0" containsString="0" containsNumber="1" minValue="0" maxValue="5.3333333333333321"/>
    </cacheField>
    <cacheField name="Ataque-amplo" numFmtId="164">
      <sharedItems containsSemiMixedTypes="0" containsString="0" containsNumber="1" containsInteger="1" minValue="0" maxValue="2"/>
    </cacheField>
    <cacheField name="FREQUENCIA-DANO-INDIRETO" numFmtId="164">
      <sharedItems containsSemiMixedTypes="0" containsString="0" containsNumber="1" minValue="0" maxValue="2.5"/>
    </cacheField>
    <cacheField name="NEGACAO-DE-AREA" numFmtId="164">
      <sharedItems containsSemiMixedTypes="0" containsString="0" containsNumber="1" minValue="0" maxValue="1.125"/>
    </cacheField>
    <cacheField name="MANIPULACAO-DA-POSICAO-DE-INIMIGOS" numFmtId="164">
      <sharedItems containsSemiMixedTypes="0" containsString="0" containsNumber="1" minValue="0" maxValue="2"/>
    </cacheField>
    <cacheField name="ANDA-SOBRE-AGUA" numFmtId="164">
      <sharedItems containsSemiMixedTypes="0" containsString="0" containsNumber="1" containsInteger="1" minValue="0" maxValue="0"/>
    </cacheField>
    <cacheField name="COMBATER-INIMIGOS-SOBRE-AGUA" numFmtId="164">
      <sharedItems containsSemiMixedTypes="0" containsString="0" containsNumber="1" containsInteger="1" minValue="0" maxValue="0"/>
    </cacheField>
    <cacheField name="POTENCIAL-DESTRUIÇÃO-DE-MUROS" numFmtId="164">
      <sharedItems containsSemiMixedTypes="0" containsString="0" containsNumber="1" containsInteger="1" minValue="0" maxValue="0"/>
    </cacheField>
    <cacheField name="POTENCIAL-DESTRUIÇÃO-DE-MOITAS" numFmtId="164">
      <sharedItems containsSemiMixedTypes="0" containsString="0" containsNumber="1" containsInteger="1" minValue="0" maxValue="0"/>
    </cacheField>
    <cacheField name="POTENCIAL-DE-CRIACAO-DE-COVER" numFmtId="164">
      <sharedItems containsSemiMixedTypes="0" containsString="0" containsNumber="1" containsInteger="1" minValue="0" maxValue="2"/>
    </cacheField>
    <cacheField name="VELOCIDADE-MOVIMENTO" numFmtId="164">
      <sharedItems containsSemiMixedTypes="0" containsString="0" containsNumber="1" minValue="0" maxValue="0.40404040404040398"/>
    </cacheField>
    <cacheField name="FORÇA-ATK-SURP" numFmtId="164">
      <sharedItems containsSemiMixedTypes="0" containsString="0" containsNumber="1" minValue="0" maxValue="1"/>
    </cacheField>
    <cacheField name="Ataque-Surpresa" numFmtId="164">
      <sharedItems containsSemiMixedTypes="0" containsString="0" containsNumber="1" minValue="0" maxValue="1"/>
    </cacheField>
    <cacheField name="FREQUÊNCIA-GERAÇÃO-DE-PETS" numFmtId="164">
      <sharedItems containsSemiMixedTypes="0" containsString="0" containsNumber="1" minValue="0" maxValue="5.5"/>
    </cacheField>
    <cacheField name="ACÚMULO-PETS" numFmtId="164">
      <sharedItems containsSemiMixedTypes="0" containsString="0" containsNumber="1" containsInteger="1" minValue="0" maxValue="1"/>
    </cacheField>
    <cacheField name="VIDA-DETERIORÁVEL-PETS" numFmtId="164">
      <sharedItems containsSemiMixedTypes="0" containsString="0" containsNumber="1" containsInteger="1" minValue="0" maxValue="1"/>
    </cacheField>
    <cacheField name="RESISTÊNCIA-PETS" numFmtId="164">
      <sharedItems containsSemiMixedTypes="0" containsString="0" containsNumber="1" minValue="0" maxValue="3.5"/>
    </cacheField>
    <cacheField name="DANO-PETS" numFmtId="164">
      <sharedItems containsSemiMixedTypes="0" containsString="0" containsNumber="1" containsInteger="1" minValue="0" maxValue="0"/>
    </cacheField>
    <cacheField name="ALCANCE-PETS" numFmtId="164">
      <sharedItems containsSemiMixedTypes="0" containsString="0" containsNumber="1" containsInteger="1" minValue="0" maxValue="0"/>
    </cacheField>
    <cacheField name="VELOCIDADE-PETS" numFmtId="164">
      <sharedItems containsSemiMixedTypes="0" containsString="0" containsNumber="1" containsInteger="1" minValue="0" maxValue="0"/>
    </cacheField>
    <cacheField name="PROXIMIDADE-PETS" numFmtId="164">
      <sharedItems containsSemiMixedTypes="0" containsString="0" containsNumber="1" minValue="0" maxValue="7.5"/>
    </cacheField>
    <cacheField name="DANO-AUMENTADO-QUANDO-AGRUPADO" numFmtId="164">
      <sharedItems containsSemiMixedTypes="0" containsString="0" containsNumber="1" containsInteger="1" minValue="0" maxValue="1"/>
    </cacheField>
    <cacheField name="CIRCUSNTANCIABILIDADE" numFmtId="164">
      <sharedItems containsSemiMixedTypes="0" containsString="0" containsNumber="1" minValue="0" maxValue="5"/>
    </cacheField>
    <cacheField name="HP-SUPORTE" numFmtId="164">
      <sharedItems containsSemiMixedTypes="0" containsString="0" containsNumber="1" minValue="0" maxValue="6"/>
    </cacheField>
    <cacheField name="HP-ENFRAQUECIMENTO" numFmtId="164">
      <sharedItems containsSemiMixedTypes="0" containsString="0" containsNumber="1" containsInteger="1" minValue="0" maxValue="0"/>
    </cacheField>
    <cacheField name="DANO-SUPORTE" numFmtId="164">
      <sharedItems containsSemiMixedTypes="0" containsString="0" containsNumber="1" containsInteger="1" minValue="0" maxValue="0"/>
    </cacheField>
    <cacheField name="DANO-ENFRAQUECIMENTO" numFmtId="164">
      <sharedItems containsSemiMixedTypes="0" containsString="0" containsNumber="1" containsInteger="1" minValue="0" maxValue="0"/>
    </cacheField>
    <cacheField name="SPEED-SUPORTE" numFmtId="164">
      <sharedItems containsSemiMixedTypes="0" containsString="0" containsNumber="1" minValue="0" maxValue="5.25"/>
    </cacheField>
    <cacheField name="INVISIBILIDADE-SUPORTE" numFmtId="164">
      <sharedItems containsSemiMixedTypes="0" containsString="0" containsNumber="1" minValue="0" maxValue="5.166666666666667"/>
    </cacheField>
    <cacheField name="ESCUDO-SUPORTE" numFmtId="164">
      <sharedItems containsSemiMixedTypes="0" containsString="0" containsNumber="1" containsInteger="1" minValue="0" maxValue="0"/>
    </cacheField>
    <cacheField name="POSICIONAMENTO-SUPORTE" numFmtId="164">
      <sharedItems containsSemiMixedTypes="0" containsString="0" containsNumber="1" containsInteger="1" minValue="0" maxValue="0"/>
    </cacheField>
    <cacheField name="VENENO-DEBUFF" numFmtId="164">
      <sharedItems containsSemiMixedTypes="0" containsString="0" containsNumber="1" containsInteger="1" minValue="0" maxValue="0"/>
    </cacheField>
    <cacheField name="COUNTER-VENENO-DEBUFF" numFmtId="164">
      <sharedItems containsSemiMixedTypes="0" containsString="0" containsNumber="1" minValue="0" maxValue="7.75"/>
    </cacheField>
    <cacheField name="LENTIDAO-DEBUFF" numFmtId="164">
      <sharedItems containsSemiMixedTypes="0" containsString="0" containsNumber="1" minValue="0" maxValue="1.1666666666666667"/>
    </cacheField>
    <cacheField name="COUNTER-LENTIDAO-DEBUFF" numFmtId="164">
      <sharedItems containsSemiMixedTypes="0" containsString="0" containsNumber="1" minValue="0" maxValue="7.75"/>
    </cacheField>
    <cacheField name="STUN-DEBUFF" numFmtId="164">
      <sharedItems containsSemiMixedTypes="0" containsString="0" containsNumber="1" minValue="0" maxValue="1.125"/>
    </cacheField>
    <cacheField name="COUNTER-STUN-DEBUFF" numFmtId="164">
      <sharedItems containsSemiMixedTypes="0" containsString="0" containsNumber="1" minValue="0" maxValue="7.75"/>
    </cacheField>
    <cacheField name="CANCELAMENTO-ATAQUES" numFmtId="164">
      <sharedItems containsSemiMixedTypes="0" containsString="0" containsNumber="1" minValue="0" maxValue="1.75"/>
    </cacheField>
    <cacheField name="COUNTER-CANCELAMENTO-ATAQUES" numFmtId="164">
      <sharedItems containsSemiMixedTypes="0" containsString="0" containsNumber="1" containsInteger="1" minValue="0" maxValue="0"/>
    </cacheField>
    <cacheField name="BLOQUEIO-DE-INIMIGOS" numFmtId="164">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44.81609270833" createdVersion="8" refreshedVersion="8" minRefreshableVersion="3" recordCount="18" xr:uid="{25B19F82-1BB5-48BD-9F77-E037BB8A7B46}">
  <cacheSource type="worksheet">
    <worksheetSource ref="B2:BO20" sheet="PRIMEIRO ACESSÓRIO"/>
  </cacheSource>
  <cacheFields count="60">
    <cacheField name="NOME ACESSÓRIO" numFmtId="0">
      <sharedItems count="18">
        <s v="WARPIN' TIME"/>
        <s v="STINGING FLIGHT"/>
        <s v="MULTIBALL LAUNCHER"/>
        <s v="POPPING PINCUSHION"/>
        <s v="CLONE PROJECTOR"/>
        <s v="SPRING EJECTOR"/>
        <s v="FAST FORWARD"/>
        <s v="TUNING FORK"/>
        <s v="FRIENDSHIP IS GREAT"/>
        <s v="ACTIVE NOISE CANCELING"/>
        <s v="SLEEP STIMULATOR"/>
        <s v="PNEUMATIC BOOSTER"/>
        <s v="SALTY BARREL"/>
        <s v="COMBO SPINNER"/>
        <s v="MINE MANIA"/>
        <s v="VOODOO CHILE"/>
        <s v="GOTTA GO"/>
        <s v="PHASE SHIFTER"/>
      </sharedItems>
    </cacheField>
    <cacheField name="Nome Brawler" numFmtId="0">
      <sharedItems count="18">
        <s v="NANI"/>
        <s v="ANGELO"/>
        <s v="RICO"/>
        <s v="SPIKE"/>
        <s v="LEON"/>
        <s v="GALE"/>
        <s v="SHELLY"/>
        <s v="POCO"/>
        <s v="BERRY"/>
        <s v="FRANK"/>
        <s v="SANDY"/>
        <s v="JACKY"/>
        <s v="PENNY"/>
        <s v="MORTIS"/>
        <s v="TICK"/>
        <s v="JUJU"/>
        <s v="EVE"/>
        <s v="MAX"/>
      </sharedItems>
    </cacheField>
    <cacheField name="PROJETEIS-PARA-SUPER" numFmtId="164">
      <sharedItems containsSemiMixedTypes="0" containsString="0" containsNumber="1" containsInteger="1" minValue="0" maxValue="0"/>
    </cacheField>
    <cacheField name="SUPERS-PARA-HIPERCARGA" numFmtId="164">
      <sharedItems containsSemiMixedTypes="0" containsString="0" containsNumber="1" containsInteger="1" minValue="0" maxValue="0"/>
    </cacheField>
    <cacheField name="DANO-PROJETIL" numFmtId="164">
      <sharedItems containsSemiMixedTypes="0" containsString="0" containsNumber="1" containsInteger="1" minValue="0" maxValue="0"/>
    </cacheField>
    <cacheField name="TIROS-DADOS-EM-5-SEGUNDOS" numFmtId="164">
      <sharedItems containsSemiMixedTypes="0" containsString="0" containsNumber="1" containsInteger="1" minValue="0" maxValue="0"/>
    </cacheField>
    <cacheField name="MÉDIA-PROJETEIS-POR-TIRO" numFmtId="164">
      <sharedItems containsSemiMixedTypes="0" containsString="0" containsNumber="1" minValue="0" maxValue="0.66666666666666652"/>
    </cacheField>
    <cacheField name="CURTO-ALCANCE-QUANT-PROJETIL-MEDIO" numFmtId="164">
      <sharedItems containsSemiMixedTypes="0" containsString="0" containsNumber="1" minValue="0" maxValue="2"/>
    </cacheField>
    <cacheField name="MEDIO-ALCANCE-QUANT-PROJETIL-MEDIO" numFmtId="164">
      <sharedItems containsSemiMixedTypes="0" containsString="0" containsNumber="1" minValue="0" maxValue="1"/>
    </cacheField>
    <cacheField name="LONGO-ALCANCE-QUANT-PROJETIL-MEDIO" numFmtId="164">
      <sharedItems containsSemiMixedTypes="0" containsString="0" containsNumber="1" minValue="0" maxValue="0.5"/>
    </cacheField>
    <cacheField name="MTLONGO-ALCANCE-QUANT-PROJETIL-MEDIO" numFmtId="164">
      <sharedItems containsSemiMixedTypes="0" containsString="0" containsNumber="1" minValue="0" maxValue="0.33333333333333326"/>
    </cacheField>
    <cacheField name="CARREGAMENTO-SUPER-AO-ACERTAR-EM-PROJETEIS" numFmtId="164">
      <sharedItems containsSemiMixedTypes="0" containsString="0" containsNumber="1" containsInteger="1" minValue="0" maxValue="0"/>
    </cacheField>
    <cacheField name="CURTO-ALCANCE-DANO-SUPER-MEDIO" numFmtId="164">
      <sharedItems containsSemiMixedTypes="0" containsString="0" containsNumber="1" containsInteger="1" minValue="0" maxValue="0"/>
    </cacheField>
    <cacheField name="MEDIO-ALCANCE-DANO-SUPER-MEDIO" numFmtId="164">
      <sharedItems containsSemiMixedTypes="0" containsString="0" containsNumber="1" containsInteger="1" minValue="0" maxValue="0"/>
    </cacheField>
    <cacheField name="LONGO-ALCANCE-DANO-SUPER-MEDIO" numFmtId="164">
      <sharedItems containsSemiMixedTypes="0" containsString="0" containsNumber="1" containsInteger="1" minValue="0" maxValue="0"/>
    </cacheField>
    <cacheField name="MT-LONGO-ALCANCE-DANO-SUPER-MEDIO" numFmtId="164">
      <sharedItems containsSemiMixedTypes="0" containsString="0" containsNumber="1" containsInteger="1" minValue="0" maxValue="0"/>
    </cacheField>
    <cacheField name="MÉDIA-DANO-POR-SUPER" numFmtId="164">
      <sharedItems containsSemiMixedTypes="0" containsString="0" containsNumber="1" containsInteger="1" minValue="0" maxValue="0"/>
    </cacheField>
    <cacheField name="DANO-OCASIONAL" numFmtId="164">
      <sharedItems containsSemiMixedTypes="0" containsString="0" containsNumber="1" containsInteger="1" minValue="0" maxValue="4830"/>
    </cacheField>
    <cacheField name="Durability" numFmtId="2">
      <sharedItems containsSemiMixedTypes="0" containsString="0" containsNumber="1" minValue="0" maxValue="1.1714285714285717"/>
    </cacheField>
    <cacheField name="Distância-Ataque" numFmtId="164">
      <sharedItems containsSemiMixedTypes="0" containsString="0" containsNumber="1" containsInteger="1" minValue="0" maxValue="0"/>
    </cacheField>
    <cacheField name="Botão-de-Fuga" numFmtId="164">
      <sharedItems containsSemiMixedTypes="0" containsString="0" containsNumber="1" minValue="0" maxValue="7.5"/>
    </cacheField>
    <cacheField name="Ataque-amplo" numFmtId="164">
      <sharedItems containsSemiMixedTypes="0" containsString="0" containsNumber="1" containsInteger="1" minValue="0" maxValue="3"/>
    </cacheField>
    <cacheField name="FREQUENCIA-DANO-INDIRETO" numFmtId="164">
      <sharedItems containsSemiMixedTypes="0" containsString="0" containsNumber="1" containsInteger="1" minValue="0" maxValue="0"/>
    </cacheField>
    <cacheField name="NEGACAO-DE-AREA" numFmtId="164">
      <sharedItems containsSemiMixedTypes="0" containsString="0" containsNumber="1" containsInteger="1" minValue="0" maxValue="0"/>
    </cacheField>
    <cacheField name="MANIPULACAO-DA-POSICAO-DE-INIMIGOS" numFmtId="164">
      <sharedItems containsSemiMixedTypes="0" containsString="0" containsNumber="1" minValue="0" maxValue="3.5"/>
    </cacheField>
    <cacheField name="ANDA-SOBRE-AGUA" numFmtId="164">
      <sharedItems containsSemiMixedTypes="0" containsString="0" containsNumber="1" containsInteger="1" minValue="0" maxValue="0"/>
    </cacheField>
    <cacheField name="COMBATER-INIMIGOS-SOBRE-AGUA" numFmtId="164">
      <sharedItems containsSemiMixedTypes="0" containsString="0" containsNumber="1" containsInteger="1" minValue="0" maxValue="0"/>
    </cacheField>
    <cacheField name="POTENCIAL-DESTRUIÇÃO-DE-MUROS" numFmtId="164">
      <sharedItems containsSemiMixedTypes="0" containsString="0" containsNumber="1" containsInteger="1" minValue="0" maxValue="0"/>
    </cacheField>
    <cacheField name="POTENCIAL-DESTRUIÇÃO-DE-MOITAS" numFmtId="164">
      <sharedItems containsSemiMixedTypes="0" containsString="0" containsNumber="1" containsInteger="1" minValue="0" maxValue="0"/>
    </cacheField>
    <cacheField name="POTENCIAL-DE-CRIACAO-DE-COVER" numFmtId="164">
      <sharedItems containsSemiMixedTypes="0" containsString="0" containsNumber="1" containsInteger="1" minValue="0" maxValue="0"/>
    </cacheField>
    <cacheField name="VELOCIDADE-MOVIMENTO" numFmtId="164">
      <sharedItems containsSemiMixedTypes="0" containsString="0" containsNumber="1" minValue="0" maxValue="1.333333333333333"/>
    </cacheField>
    <cacheField name="FORÇA-ATK-SURP" numFmtId="164">
      <sharedItems containsSemiMixedTypes="0" containsString="0" containsNumber="1" containsInteger="1" minValue="0" maxValue="5"/>
    </cacheField>
    <cacheField name="Ataque-Surpresa" numFmtId="164">
      <sharedItems containsSemiMixedTypes="0" containsString="0" containsNumber="1" minValue="0" maxValue="7"/>
    </cacheField>
    <cacheField name="FREQUÊNCIA-GERAÇÃO-DE-PETS" numFmtId="164">
      <sharedItems containsSemiMixedTypes="0" containsString="0" containsNumber="1" minValue="0" maxValue="6.5"/>
    </cacheField>
    <cacheField name="ACÚMULO-PETS" numFmtId="164">
      <sharedItems containsSemiMixedTypes="0" containsString="0" containsNumber="1" containsInteger="1" minValue="0" maxValue="1"/>
    </cacheField>
    <cacheField name="VIDA-DETERIORÁVEL-PETS" numFmtId="164">
      <sharedItems containsSemiMixedTypes="0" containsString="0" containsNumber="1" containsInteger="1" minValue="0" maxValue="0"/>
    </cacheField>
    <cacheField name="RESISTÊNCIA-PETS" numFmtId="164">
      <sharedItems containsSemiMixedTypes="0" containsString="0" containsNumber="1" minValue="0" maxValue="1.8149999999999999"/>
    </cacheField>
    <cacheField name="DANO-PETS" numFmtId="164">
      <sharedItems containsSemiMixedTypes="0" containsString="0" containsNumber="1" containsInteger="1" minValue="0" maxValue="1"/>
    </cacheField>
    <cacheField name="ALCANCE-PETS" numFmtId="164">
      <sharedItems containsSemiMixedTypes="0" containsString="0" containsNumber="1" containsInteger="1" minValue="0" maxValue="1"/>
    </cacheField>
    <cacheField name="VELOCIDADE-PETS" numFmtId="164">
      <sharedItems containsSemiMixedTypes="0" containsString="0" containsNumber="1" containsInteger="1" minValue="0" maxValue="9"/>
    </cacheField>
    <cacheField name="PROXIMIDADE-PETS" numFmtId="164">
      <sharedItems containsSemiMixedTypes="0" containsString="0" containsNumber="1" minValue="0" maxValue="2.5"/>
    </cacheField>
    <cacheField name="DANO-AUMENTADO-QUANDO-AGRUPADO" numFmtId="164">
      <sharedItems containsSemiMixedTypes="0" containsString="0" containsNumber="1" minValue="0" maxValue="0.5"/>
    </cacheField>
    <cacheField name="CIRCUNSTANCIABILIDADE" numFmtId="164">
      <sharedItems containsSemiMixedTypes="0" containsString="0" containsNumber="1" containsInteger="1" minValue="0" maxValue="0"/>
    </cacheField>
    <cacheField name="HP-SUPORTE" numFmtId="164">
      <sharedItems containsSemiMixedTypes="0" containsString="0" containsNumber="1" minValue="0" maxValue="4.5"/>
    </cacheField>
    <cacheField name="HP-ENFRAQUECIMENTO" numFmtId="164">
      <sharedItems containsSemiMixedTypes="0" containsString="0" containsNumber="1" containsInteger="1" minValue="0" maxValue="0"/>
    </cacheField>
    <cacheField name="DANO-SUPORTE" numFmtId="164">
      <sharedItems containsSemiMixedTypes="0" containsString="0" containsNumber="1" containsInteger="1" minValue="0" maxValue="0"/>
    </cacheField>
    <cacheField name="DANO-ENFRAQUECIMENTO" numFmtId="164">
      <sharedItems containsSemiMixedTypes="0" containsString="0" containsNumber="1" containsInteger="1" minValue="0" maxValue="0"/>
    </cacheField>
    <cacheField name="SPEED-SUPORTE" numFmtId="164">
      <sharedItems containsSemiMixedTypes="0" containsString="0" containsNumber="1" containsInteger="1" minValue="0" maxValue="0"/>
    </cacheField>
    <cacheField name="INVISIBILIDADE-SUPORTE" numFmtId="164">
      <sharedItems containsSemiMixedTypes="0" containsString="0" containsNumber="1" containsInteger="1" minValue="0" maxValue="0"/>
    </cacheField>
    <cacheField name="ESCUDO-SUPORTE" numFmtId="164">
      <sharedItems containsSemiMixedTypes="0" containsString="0" containsNumber="1" containsInteger="1" minValue="0" maxValue="0"/>
    </cacheField>
    <cacheField name="POSICIONAMENTO-SUPORTE" numFmtId="164">
      <sharedItems containsSemiMixedTypes="0" containsString="0" containsNumber="1" minValue="0" maxValue="2.5"/>
    </cacheField>
    <cacheField name="VENENO-DEBUFF" numFmtId="164">
      <sharedItems containsSemiMixedTypes="0" containsString="0" containsNumber="1" containsInteger="1" minValue="0" maxValue="0"/>
    </cacheField>
    <cacheField name="COUNTER-VENENO-DEBUFF" numFmtId="164">
      <sharedItems containsSemiMixedTypes="0" containsString="0" containsNumber="1" containsInteger="1" minValue="0" maxValue="0"/>
    </cacheField>
    <cacheField name="LENTIDAO-DEBUFF" numFmtId="164">
      <sharedItems containsSemiMixedTypes="0" containsString="0" containsNumber="1" minValue="0" maxValue="1.8888888888888884"/>
    </cacheField>
    <cacheField name="COUNTER-LENTIDAO-DEBUFF" numFmtId="164">
      <sharedItems containsSemiMixedTypes="0" containsString="0" containsNumber="1" containsInteger="1" minValue="0" maxValue="0"/>
    </cacheField>
    <cacheField name="STUN-DEBUFF" numFmtId="164">
      <sharedItems containsSemiMixedTypes="0" containsString="0" containsNumber="1" minValue="0" maxValue="4.5"/>
    </cacheField>
    <cacheField name="COUNTER-STUN-DEBUFF" numFmtId="164">
      <sharedItems containsSemiMixedTypes="0" containsString="0" containsNumber="1" containsInteger="1" minValue="0" maxValue="0"/>
    </cacheField>
    <cacheField name="CANCELAMENTO-ATAQUES" numFmtId="164">
      <sharedItems containsSemiMixedTypes="0" containsString="0" containsNumber="1" containsInteger="1" minValue="0" maxValue="0"/>
    </cacheField>
    <cacheField name="COUNTER-CANCELAMENTO-ATAQUES" numFmtId="164">
      <sharedItems containsSemiMixedTypes="0" containsString="0" containsNumber="1" containsInteger="1" minValue="0" maxValue="3"/>
    </cacheField>
    <cacheField name="BLOQUEIO-DE-INIMIGOS" numFmtId="164">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44.81609270833" createdVersion="8" refreshedVersion="8" minRefreshableVersion="3" recordCount="18" xr:uid="{A03729DF-1EAF-460D-A532-699DCA890DED}">
  <cacheSource type="worksheet">
    <worksheetSource ref="B2:CP20" sheet="BRAWLERS OFICIAL"/>
  </cacheSource>
  <cacheFields count="87">
    <cacheField name="ID" numFmtId="0">
      <sharedItems containsSemiMixedTypes="0" containsString="0" containsNumber="1" containsInteger="1" minValue="1" maxValue="89" count="18">
        <n v="28"/>
        <n v="44"/>
        <n v="14"/>
        <n v="86"/>
        <n v="88"/>
        <n v="33"/>
        <n v="1"/>
        <n v="8"/>
        <n v="45"/>
        <n v="25"/>
        <n v="89"/>
        <n v="18"/>
        <n v="16"/>
        <n v="49"/>
        <n v="12"/>
        <n v="76"/>
        <n v="61"/>
        <n v="52"/>
      </sharedItems>
    </cacheField>
    <cacheField name="Nome Brawler" numFmtId="0">
      <sharedItems count="18">
        <s v="NANI"/>
        <s v="ANGELO"/>
        <s v="RICO"/>
        <s v="SPIKE"/>
        <s v="LEON"/>
        <s v="GALE"/>
        <s v="SHELLY"/>
        <s v="POCO"/>
        <s v="BERRY"/>
        <s v="FRANK"/>
        <s v="SANDY"/>
        <s v="JACKY"/>
        <s v="PENNY"/>
        <s v="MORTIS"/>
        <s v="TICK"/>
        <s v="JUJU"/>
        <s v="EVE"/>
        <s v="MAX"/>
      </sharedItems>
    </cacheField>
    <cacheField name="PROJETEIS-PARA-SUPER" numFmtId="164">
      <sharedItems containsSemiMixedTypes="0" containsString="0" containsNumber="1" containsInteger="1" minValue="3" maxValue="16"/>
    </cacheField>
    <cacheField name="SUPERS-PARA-HIPERCARGA" numFmtId="164">
      <sharedItems containsSemiMixedTypes="0" containsString="0" containsNumber="1" minValue="2.2142857142857144" maxValue="4"/>
    </cacheField>
    <cacheField name="DANO-PROJETIL" numFmtId="164">
      <sharedItems containsSemiMixedTypes="0" containsString="0" containsNumber="1" containsInteger="1" minValue="600" maxValue="4000"/>
    </cacheField>
    <cacheField name="TIROS-DADOS-EM-5-SEGUNDOS" numFmtId="164">
      <sharedItems containsSemiMixedTypes="0" containsString="0" containsNumber="1" minValue="1.65" maxValue="3.3"/>
    </cacheField>
    <cacheField name="MÉDIA-PROJETEIS-POR-TIRO" numFmtId="164">
      <sharedItems containsSemiMixedTypes="0" containsString="0" containsNumber="1" minValue="1" maxValue="6"/>
    </cacheField>
    <cacheField name="CURTO-ALCANCE-QUANT-PROJETIL-MEDIO" numFmtId="164">
      <sharedItems containsSemiMixedTypes="0" containsString="0" containsNumber="1" containsInteger="1" minValue="1" maxValue="5"/>
    </cacheField>
    <cacheField name="MEDIO-ALCANCE-QUANT-PROJETIL-MEDIO" numFmtId="164">
      <sharedItems containsSemiMixedTypes="0" containsString="0" containsNumber="1" minValue="0.5" maxValue="4"/>
    </cacheField>
    <cacheField name="LONGO-ALCANCE-QUANT-PROJETIL-MEDIO" numFmtId="164">
      <sharedItems containsSemiMixedTypes="0" containsString="0" containsNumber="1" minValue="0" maxValue="3"/>
    </cacheField>
    <cacheField name="MTLONGO-ALCANCE-QUANT-PROJETIL-MEDIO" numFmtId="164">
      <sharedItems containsSemiMixedTypes="0" containsString="0" containsNumber="1" minValue="0" maxValue="1.6"/>
    </cacheField>
    <cacheField name="CARREGAMENTO-SUPER-AO-ACERTAR-EM-PROJETEIS" numFmtId="164">
      <sharedItems containsSemiMixedTypes="0" containsString="0" containsNumber="1" minValue="0" maxValue="10"/>
    </cacheField>
    <cacheField name="CURTO-ALCANCE-DANO-SUPER-MEDIO" numFmtId="164">
      <sharedItems containsSemiMixedTypes="0" containsString="0" containsNumber="1" containsInteger="1" minValue="0" maxValue="8640"/>
    </cacheField>
    <cacheField name="MEDIO-ALCANCE-DANO-SUPER-MEDIO" numFmtId="164">
      <sharedItems containsSemiMixedTypes="0" containsString="0" containsNumber="1" containsInteger="1" minValue="0" maxValue="9600"/>
    </cacheField>
    <cacheField name="LONGO-ALCANCE-DANO-SUPER-MEDIO" numFmtId="164">
      <sharedItems containsSemiMixedTypes="0" containsString="0" containsNumber="1" containsInteger="1" minValue="0" maxValue="9600"/>
    </cacheField>
    <cacheField name="MT-LONGO-ALCANCE-DANO-SUPER-MEDIO" numFmtId="164">
      <sharedItems containsSemiMixedTypes="0" containsString="0" containsNumber="1" containsInteger="1" minValue="0" maxValue="9600"/>
    </cacheField>
    <cacheField name="MÉDIA-DANO-POR-SUPER" numFmtId="164">
      <sharedItems containsSemiMixedTypes="0" containsString="0" containsNumber="1" containsInteger="1" minValue="0" maxValue="4800"/>
    </cacheField>
    <cacheField name="DANO-OCASIONAL" numFmtId="164">
      <sharedItems containsSemiMixedTypes="0" containsString="0" containsNumber="1" containsInteger="1" minValue="0" maxValue="0"/>
    </cacheField>
    <cacheField name="Durability" numFmtId="164">
      <sharedItems containsSemiMixedTypes="0" containsString="0" containsNumber="1" minValue="3.4285714285714284" maxValue="9.7142857142857135"/>
    </cacheField>
    <cacheField name="Distância-Ataque" numFmtId="164">
      <sharedItems containsSemiMixedTypes="0" containsString="0" containsNumber="1" containsInteger="1" minValue="1" maxValue="10"/>
    </cacheField>
    <cacheField name="Botão-de-Fuga" numFmtId="164">
      <sharedItems containsSemiMixedTypes="0" containsString="0" containsNumber="1" minValue="0" maxValue="6.333333333333333"/>
    </cacheField>
    <cacheField name="Ataque-amplo" numFmtId="164">
      <sharedItems containsSemiMixedTypes="0" containsString="0" containsNumber="1" containsInteger="1" minValue="0" maxValue="9"/>
    </cacheField>
    <cacheField name="FREQUENCIA-DANO-INDIRETO" numFmtId="164">
      <sharedItems containsSemiMixedTypes="0" containsString="0" containsNumber="1" containsInteger="1" minValue="0" maxValue="7"/>
    </cacheField>
    <cacheField name="NEGACAO-DE-AREA" numFmtId="164">
      <sharedItems containsSemiMixedTypes="0" containsString="0" containsNumber="1" minValue="0" maxValue="8.25"/>
    </cacheField>
    <cacheField name="MANIPULACAO-DA-POSICAO-DE-INIMIGOS" numFmtId="164">
      <sharedItems containsSemiMixedTypes="0" containsString="0" containsNumber="1" containsInteger="1" minValue="0" maxValue="10"/>
    </cacheField>
    <cacheField name="ANDA-SOBRE-AGUA" numFmtId="164">
      <sharedItems containsSemiMixedTypes="0" containsString="0" containsNumber="1" containsInteger="1" minValue="0" maxValue="1"/>
    </cacheField>
    <cacheField name="COMBATER-INIMIGOS-SOBRE-AGUA" numFmtId="164">
      <sharedItems containsSemiMixedTypes="0" containsString="0" containsNumber="1" containsInteger="1" minValue="0" maxValue="7"/>
    </cacheField>
    <cacheField name="POTENCIAL-DESTRUIÇÃO-DE-MUROS" numFmtId="164">
      <sharedItems containsSemiMixedTypes="0" containsString="0" containsNumber="1" containsInteger="1" minValue="0" maxValue="9"/>
    </cacheField>
    <cacheField name="POTENCIAL-DESTRUIÇÃO-DE-MOITAS" numFmtId="164">
      <sharedItems containsSemiMixedTypes="0" containsString="0" containsNumber="1" containsInteger="1" minValue="0" maxValue="8"/>
    </cacheField>
    <cacheField name="POTENCIAL-DE-CRIACAO-DE-COVER" numFmtId="164">
      <sharedItems containsSemiMixedTypes="0" containsString="0" containsNumber="1" containsInteger="1" minValue="0" maxValue="0"/>
    </cacheField>
    <cacheField name="VELOCIDADE-MOVIMENTO" numFmtId="164">
      <sharedItems containsSemiMixedTypes="0" containsString="0" containsNumber="1" containsInteger="1" minValue="5" maxValue="9"/>
    </cacheField>
    <cacheField name="FORÇA-ATK-SURP" numFmtId="164">
      <sharedItems containsSemiMixedTypes="0" containsString="0" containsNumber="1" containsInteger="1" minValue="0" maxValue="7"/>
    </cacheField>
    <cacheField name="Ataque-Surpresa" numFmtId="164">
      <sharedItems containsSemiMixedTypes="0" containsString="0" containsNumber="1" containsInteger="1" minValue="0" maxValue="7"/>
    </cacheField>
    <cacheField name="FREQUÊNCIA-GERAÇÃO-DE-PETS" numFmtId="164">
      <sharedItems containsSemiMixedTypes="0" containsString="0" containsNumber="1" containsInteger="1" minValue="0" maxValue="8"/>
    </cacheField>
    <cacheField name="ACÚMULO-PETS" numFmtId="164">
      <sharedItems containsSemiMixedTypes="0" containsString="0" containsNumber="1" containsInteger="1" minValue="0" maxValue="7"/>
    </cacheField>
    <cacheField name="VIDA-DETERIORÁVEL-PETS" numFmtId="164">
      <sharedItems containsSemiMixedTypes="0" containsString="0" containsNumber="1" containsInteger="1" minValue="0" maxValue="1"/>
    </cacheField>
    <cacheField name="RESISTÊNCIA-PETS" numFmtId="164">
      <sharedItems containsSemiMixedTypes="0" containsString="0" containsNumber="1" containsInteger="1" minValue="0" maxValue="7"/>
    </cacheField>
    <cacheField name="DANO-PETS" numFmtId="164">
      <sharedItems containsSemiMixedTypes="0" containsString="0" containsNumber="1" containsInteger="1" minValue="0" maxValue="7"/>
    </cacheField>
    <cacheField name="ALCANCE-PETS" numFmtId="164">
      <sharedItems containsSemiMixedTypes="0" containsString="0" containsNumber="1" containsInteger="1" minValue="0" maxValue="10"/>
    </cacheField>
    <cacheField name="VELOCIDADE-PETS" numFmtId="164">
      <sharedItems containsSemiMixedTypes="0" containsString="0" containsNumber="1" containsInteger="1" minValue="0" maxValue="10"/>
    </cacheField>
    <cacheField name="PROXIMIDADE-PETS" numFmtId="164">
      <sharedItems containsSemiMixedTypes="0" containsString="0" containsNumber="1" minValue="0" maxValue="7.5"/>
    </cacheField>
    <cacheField name="DANO-AUMENTADO-QUANDO-AGRUPADO" numFmtId="164">
      <sharedItems containsSemiMixedTypes="0" containsString="0" containsNumber="1" containsInteger="1" minValue="0" maxValue="9"/>
    </cacheField>
    <cacheField name="CISCUNSTANCIABILIDADE" numFmtId="164">
      <sharedItems containsSemiMixedTypes="0" containsString="0" containsNumber="1" containsInteger="1" minValue="0" maxValue="5"/>
    </cacheField>
    <cacheField name="HP-SUPORTE" numFmtId="164">
      <sharedItems containsSemiMixedTypes="0" containsString="0" containsNumber="1" minValue="0" maxValue="7.5"/>
    </cacheField>
    <cacheField name="HP-ENFRAQUECIMENTO" numFmtId="164">
      <sharedItems containsSemiMixedTypes="0" containsString="0" containsNumber="1" containsInteger="1" minValue="0" maxValue="0"/>
    </cacheField>
    <cacheField name="DANO-SUPORTE" numFmtId="164">
      <sharedItems containsSemiMixedTypes="0" containsString="0" containsNumber="1" containsInteger="1" minValue="0" maxValue="0"/>
    </cacheField>
    <cacheField name="DANO-ENFRAQUECIMENTO" numFmtId="164">
      <sharedItems containsSemiMixedTypes="0" containsString="0" containsNumber="1" containsInteger="1" minValue="0" maxValue="0"/>
    </cacheField>
    <cacheField name="SPEED-SUPORTE" numFmtId="164">
      <sharedItems containsSemiMixedTypes="0" containsString="0" containsNumber="1" minValue="0" maxValue="4.5"/>
    </cacheField>
    <cacheField name="INVISIBILIDADE-SUPORTE" numFmtId="164">
      <sharedItems containsSemiMixedTypes="0" containsString="0" containsNumber="1" containsInteger="1" minValue="0" maxValue="8"/>
    </cacheField>
    <cacheField name="ESCUDO-SUPORTE" numFmtId="164">
      <sharedItems containsSemiMixedTypes="0" containsString="0" containsNumber="1" containsInteger="1" minValue="0" maxValue="0"/>
    </cacheField>
    <cacheField name="POSICIONAMENTO-SUPORTE" numFmtId="164">
      <sharedItems containsSemiMixedTypes="0" containsString="0" containsNumber="1" containsInteger="1" minValue="0" maxValue="0"/>
    </cacheField>
    <cacheField name="VENENO-DEBUFF" numFmtId="164">
      <sharedItems containsSemiMixedTypes="0" containsString="0" containsNumber="1" containsInteger="1" minValue="0" maxValue="4"/>
    </cacheField>
    <cacheField name="COUNTER-VENENO-DEBUFF" numFmtId="164">
      <sharedItems containsSemiMixedTypes="0" containsString="0" containsNumber="1" containsInteger="1" minValue="0" maxValue="0"/>
    </cacheField>
    <cacheField name="LENTIDAO-DEBUFF" numFmtId="164">
      <sharedItems containsSemiMixedTypes="0" containsString="0" containsNumber="1" minValue="0" maxValue="6.666666666666667"/>
    </cacheField>
    <cacheField name="COUNTER-LENTIDAO-DEBUFF" numFmtId="164">
      <sharedItems containsSemiMixedTypes="0" containsString="0" containsNumber="1" containsInteger="1" minValue="0" maxValue="0"/>
    </cacheField>
    <cacheField name="STUN-DEBUFF" numFmtId="164">
      <sharedItems containsSemiMixedTypes="0" containsString="0" containsNumber="1" containsInteger="1" minValue="0" maxValue="5"/>
    </cacheField>
    <cacheField name="COUNTER-STUN-DEBUFF" numFmtId="164">
      <sharedItems containsSemiMixedTypes="0" containsString="0" containsNumber="1" containsInteger="1" minValue="0" maxValue="0"/>
    </cacheField>
    <cacheField name="CANCELAMENTO-ATAQUES" numFmtId="164">
      <sharedItems containsSemiMixedTypes="0" containsString="0" containsNumber="1" minValue="0" maxValue="10"/>
    </cacheField>
    <cacheField name="COUNTER-CANCELAMENTO-ATAQUES" numFmtId="164">
      <sharedItems containsSemiMixedTypes="0" containsString="0" containsNumber="1" containsInteger="1" minValue="0" maxValue="7"/>
    </cacheField>
    <cacheField name="BLOQUEIO-DE-INIMIGOS" numFmtId="164">
      <sharedItems containsSemiMixedTypes="0" containsString="0" containsNumber="1" containsInteger="1" minValue="0" maxValue="0"/>
    </cacheField>
    <cacheField name="CURTO-ALCANCE-5-SEC-DANO-TOTAL-1-SUPER" numFmtId="164">
      <sharedItems containsSemiMixedTypes="0" containsString="0" containsNumber="1" minValue="3800" maxValue="18540"/>
    </cacheField>
    <cacheField name="MEDIO-ALCANCE-5-SEC-DANO-TOTAL-1-SUPER" numFmtId="164">
      <sharedItems containsSemiMixedTypes="0" containsString="0" containsNumber="1" minValue="3800" maxValue="18540"/>
    </cacheField>
    <cacheField name="LONGO-ALCANCE-5-SEC-DANO-TOTAL-1-SUPER" numFmtId="164">
      <sharedItems containsSemiMixedTypes="0" containsString="0" containsNumber="1" minValue="3800" maxValue="18540"/>
    </cacheField>
    <cacheField name="MT-LONGO-ALCANCE-5-SEC-DANO-TOTAL-1-SUPER" numFmtId="164">
      <sharedItems containsSemiMixedTypes="0" containsString="0" containsNumber="1" minValue="3800" maxValue="18540"/>
    </cacheField>
    <cacheField name="CURTO-ALCANCE-5-SEC-DANO-MEDIO" numFmtId="164">
      <sharedItems containsSemiMixedTypes="0" containsString="0" containsNumber="1" minValue="3040" maxValue="19368"/>
    </cacheField>
    <cacheField name="MEDIO-ALCANCE-5-SEC-DANO-MEDIO" numFmtId="164">
      <sharedItems containsSemiMixedTypes="0" containsString="0" containsNumber="1" minValue="1936" maxValue="9456"/>
    </cacheField>
    <cacheField name="LONGO-ALCANCE-5-SEC-DANO-MEDIO" numFmtId="164">
      <sharedItems containsSemiMixedTypes="0" containsString="0" containsNumber="1" minValue="0" maxValue="5268"/>
    </cacheField>
    <cacheField name="MT-LONGO-ALCANCE-5-SEC-DANO-MEDIO" numFmtId="164">
      <sharedItems containsSemiMixedTypes="0" containsString="0" containsNumber="1" minValue="-551.11111111111109" maxValue="3297.1764705882351"/>
    </cacheField>
    <cacheField name="ESPAÇO" numFmtId="164">
      <sharedItems containsNonDate="0" containsString="0" containsBlank="1"/>
    </cacheField>
    <cacheField name="CURTO-ALCANCE-DANO-RESISTENCIA" numFmtId="164">
      <sharedItems containsSemiMixedTypes="0" containsString="0" containsNumber="1" minValue="2672.7619047619046" maxValue="22079.571428571428"/>
    </cacheField>
    <cacheField name="MEDIO-ALCANCE-DANO-RESISTENCIA" numFmtId="164">
      <sharedItems containsSemiMixedTypes="0" containsString="0" containsNumber="1" minValue="1797.7142857142858" maxValue="14874.514285714286"/>
    </cacheField>
    <cacheField name="LONGO-ALCANCE-DANO-RESISTENCIA" numFmtId="164">
      <sharedItems containsSemiMixedTypes="0" containsString="0" containsNumber="1" minValue="0" maxValue="5657.1428571428569"/>
    </cacheField>
    <cacheField name="MT-LONGO-ALCANCE-DANO-RESISTENCIA" numFmtId="164">
      <sharedItems containsSemiMixedTypes="0" containsString="0" containsNumber="1" minValue="-688.88888888888891" maxValue="6594.3529411764703"/>
    </cacheField>
    <cacheField name="ESPAÇO2" numFmtId="164">
      <sharedItems containsNonDate="0" containsString="0" containsBlank="1"/>
    </cacheField>
    <cacheField name="CURTO-ALCANCE-ATK-SURPRESA" numFmtId="164">
      <sharedItems containsSemiMixedTypes="0" containsString="0" containsNumber="1" minValue="0" maxValue="31680.000000000004"/>
    </cacheField>
    <cacheField name="MEDIO-ALCANCE-ATK-SURPRESA" numFmtId="164">
      <sharedItems containsSemiMixedTypes="0" containsString="0" containsNumber="1" minValue="0" maxValue="21848.275862068967"/>
    </cacheField>
    <cacheField name="LONGO-ALCANCE-ATK-SURPRESA" numFmtId="164">
      <sharedItems containsSemiMixedTypes="0" containsString="0" containsNumber="1" minValue="0" maxValue="14399.999999999998"/>
    </cacheField>
    <cacheField name="MT-LONGO-ALCANCE-ATK-SURPRESA" numFmtId="164">
      <sharedItems containsSemiMixedTypes="0" containsString="0" containsNumber="1" minValue="-1376.2626262626263" maxValue="12713.513513513511"/>
    </cacheField>
    <cacheField name="ESPAÇO3" numFmtId="164">
      <sharedItems containsNonDate="0" containsString="0" containsBlank="1"/>
    </cacheField>
    <cacheField name="Aproximação-Fácil" numFmtId="164">
      <sharedItems containsSemiMixedTypes="0" containsString="0" containsNumber="1" minValue="2.8095238095238098" maxValue="9.5476190476190474"/>
    </cacheField>
    <cacheField name="Controle-ativo-de-Área" numFmtId="164">
      <sharedItems containsSemiMixedTypes="0" containsString="0" containsNumber="1" minValue="3.7978529100529101" maxValue="9.6027936507936502"/>
    </cacheField>
    <cacheField name="CONTROLE DE AREA" numFmtId="164">
      <sharedItems containsSemiMixedTypes="0" containsString="0" containsNumber="1" minValue="0.35786435786435788" maxValue="8.5428571428571427"/>
    </cacheField>
    <cacheField name="DANO INDIRETO" numFmtId="164">
      <sharedItems containsSemiMixedTypes="0" containsString="0" containsNumber="1" minValue="0" maxValue="7.0012133333333342"/>
    </cacheField>
    <cacheField name="Geração multiplos pets" numFmtId="164">
      <sharedItems containsSemiMixedTypes="0" containsString="0" containsNumber="1" minValue="0" maxValue="8.2666666666666675"/>
    </cacheField>
    <cacheField name="Geração resistentes pets" numFmtId="164">
      <sharedItems containsSemiMixedTypes="0" containsString="0" containsNumber="1" minValue="0" maxValue="8"/>
    </cacheField>
    <cacheField name="Punição-Agrupamento" numFmtId="164">
      <sharedItems containsSemiMixedTypes="0" containsString="0" containsNumber="1" minValue="0" maxValue="6.4444444444444446"/>
    </cacheField>
    <cacheField name="ESPAÇO4" numFmtId="164">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44.81609270833" createdVersion="8" refreshedVersion="8" minRefreshableVersion="3" recordCount="99" xr:uid="{C86ABD1B-0D0F-4BF1-8842-5812D334F99A}">
  <cacheSource type="worksheet">
    <worksheetSource ref="B3:AB102" sheet="Planilha1"/>
  </cacheSource>
  <cacheFields count="27">
    <cacheField name="ID" numFmtId="0">
      <sharedItems containsSemiMixedTypes="0" containsString="0" containsNumber="1" containsInteger="1" minValue="1" maxValue="99"/>
    </cacheField>
    <cacheField name="Nome Brawler" numFmtId="0">
      <sharedItems count="99">
        <s v="SHELLY"/>
        <s v="NITA"/>
        <s v="COLT"/>
        <s v="BULL"/>
        <s v="BROCK"/>
        <s v="EL PRIMO"/>
        <s v="BARLEY"/>
        <s v="POCO"/>
        <s v="ROSA"/>
        <s v="JESSIE"/>
        <s v="DYNAMIKE"/>
        <s v="TICK"/>
        <s v="8-BIT"/>
        <s v="RICO"/>
        <s v="DARRYL"/>
        <s v="PENNY"/>
        <s v="CARL"/>
        <s v="JACKY"/>
        <s v="GUS"/>
        <s v="BO"/>
        <s v="EMZ"/>
        <s v="STU"/>
        <s v="PIPER"/>
        <s v="PAM"/>
        <s v="FRANK"/>
        <s v="BIBI"/>
        <s v="BEA"/>
        <s v="NANI"/>
        <s v="EDGAR"/>
        <s v="GRIFF"/>
        <s v="GROM"/>
        <s v="BONNIE"/>
        <s v="GALE"/>
        <s v="COLLETE"/>
        <s v="BELLE"/>
        <s v="ASH"/>
        <s v="LOLA"/>
        <s v="SAM"/>
        <s v="MANDY"/>
        <s v="MAISIE"/>
        <s v="HANK"/>
        <s v="PEARL"/>
        <s v="LARRIE E LAWRIE"/>
        <s v="ANGELO"/>
        <s v="BERRY"/>
        <s v="SHADE"/>
        <s v="MEEPLE"/>
        <s v="TRUNK"/>
        <s v="MORTIS"/>
        <s v="TARA"/>
        <s v="GENE"/>
        <s v="MAX"/>
        <s v="MISTER P"/>
        <s v="SPROUT"/>
        <s v="BYRON"/>
        <s v="SQUEAK"/>
        <s v="LOU"/>
        <s v="RUFUS"/>
        <s v="BUZZ"/>
        <s v="FANG"/>
        <s v="EVE"/>
        <s v="JANET"/>
        <s v="OTIS"/>
        <s v="BUSTER"/>
        <s v="GRAY"/>
        <s v="R-T"/>
        <s v="WILLOW"/>
        <s v="DOUG"/>
        <s v="CHUCK"/>
        <s v="CHARLIE"/>
        <s v="MICO"/>
        <s v="MELLODIE"/>
        <s v="LILY"/>
        <s v="CLANCY"/>
        <s v="MOE"/>
        <s v="JUJU"/>
        <s v="OLLIE"/>
        <s v="LUMI"/>
        <s v="FINX"/>
        <s v="JAE-YONG"/>
        <s v="ALLI"/>
        <s v="MINA"/>
        <s v="ZIGGY"/>
        <s v="GIGI"/>
        <s v="GLOWBERT"/>
        <s v="SPIKE"/>
        <s v="CROW"/>
        <s v="LEON"/>
        <s v="SANDY"/>
        <s v="AMBER"/>
        <s v="MEG"/>
        <s v="WATTSON"/>
        <s v="CHESTER"/>
        <s v="CORDELIUS"/>
        <s v="KIT"/>
        <s v="DRACO"/>
        <s v="KENJI"/>
        <s v="PIERCE"/>
        <s v="KAZE"/>
      </sharedItems>
    </cacheField>
    <cacheField name="Field3" caption="Campo3" numFmtId="0">
      <sharedItems containsNonDate="0" containsString="0" containsBlank="1"/>
    </cacheField>
    <cacheField name="Field4" caption="Campo4" numFmtId="0">
      <sharedItems containsNonDate="0" containsString="0" containsBlank="1"/>
    </cacheField>
    <cacheField name="Field5" caption="Campo5" numFmtId="0">
      <sharedItems containsNonDate="0" containsString="0" containsBlank="1"/>
    </cacheField>
    <cacheField name="Field6" caption="Campo6" numFmtId="0">
      <sharedItems containsNonDate="0" containsString="0" containsBlank="1"/>
    </cacheField>
    <cacheField name="POT-DAN-CUR-ALC" numFmtId="0">
      <sharedItems containsSemiMixedTypes="0" containsString="0" containsNumber="1" containsInteger="1" minValue="2" maxValue="9"/>
    </cacheField>
    <cacheField name="Field8" caption="Campo8" numFmtId="0">
      <sharedItems containsNonDate="0" containsString="0" containsBlank="1"/>
    </cacheField>
    <cacheField name="PODER-DE-STUN" numFmtId="0">
      <sharedItems containsNonDate="0" containsString="0" containsBlank="1"/>
    </cacheField>
    <cacheField name="Field10" caption="Campo10" numFmtId="0">
      <sharedItems containsNonDate="0" containsString="0" containsBlank="1"/>
    </cacheField>
    <cacheField name="Field11" caption="Campo11" numFmtId="0">
      <sharedItems containsNonDate="0" containsString="0" containsBlank="1"/>
    </cacheField>
    <cacheField name="Field12" caption="Campo12" numFmtId="0">
      <sharedItems containsNonDate="0" containsString="0" containsBlank="1"/>
    </cacheField>
    <cacheField name="Field13" caption="Campo13" numFmtId="0">
      <sharedItems containsNonDate="0" containsString="0" containsBlank="1"/>
    </cacheField>
    <cacheField name="Field14" caption="Campo14" numFmtId="0">
      <sharedItems containsNonDate="0" containsString="0" containsBlank="1"/>
    </cacheField>
    <cacheField name="DANO-PETS" numFmtId="0">
      <sharedItems containsNonDate="0" containsString="0" containsBlank="1"/>
    </cacheField>
    <cacheField name="Field16" caption="Campo16" numFmtId="0">
      <sharedItems containsNonDate="0" containsString="0" containsBlank="1"/>
    </cacheField>
    <cacheField name="Field17" caption="Campo17" numFmtId="0">
      <sharedItems containsNonDate="0" containsString="0" containsBlank="1"/>
    </cacheField>
    <cacheField name="Field18" caption="Campo18" numFmtId="0">
      <sharedItems containsNonDate="0" containsString="0" containsBlank="1"/>
    </cacheField>
    <cacheField name="Field19" caption="Campo19" numFmtId="0">
      <sharedItems containsNonDate="0" containsString="0" containsBlank="1"/>
    </cacheField>
    <cacheField name="Field20" caption="Campo20" numFmtId="0">
      <sharedItems containsNonDate="0" containsString="0" containsBlank="1"/>
    </cacheField>
    <cacheField name="Field21" caption="Campo21" numFmtId="0">
      <sharedItems containsNonDate="0" containsString="0" containsBlank="1"/>
    </cacheField>
    <cacheField name="Durability" numFmtId="0">
      <sharedItems containsSemiMixedTypes="0" containsString="0" containsNumber="1" containsInteger="1" minValue="1" maxValue="10"/>
    </cacheField>
    <cacheField name="Distância-Ataque" numFmtId="0">
      <sharedItems containsSemiMixedTypes="0" containsString="0" containsNumber="1" containsInteger="1" minValue="1" maxValue="10"/>
    </cacheField>
    <cacheField name="C Durability" numFmtId="0">
      <sharedItems containsSemiMixedTypes="0" containsString="0" containsNumber="1" containsInteger="1" minValue="2" maxValue="9"/>
    </cacheField>
    <cacheField name="Ataque-Surpresa" numFmtId="0">
      <sharedItems containsSemiMixedTypes="0" containsString="0" containsNumber="1" containsInteger="1" minValue="0" maxValue="9"/>
    </cacheField>
    <cacheField name="Aproximação-Fácil" numFmtId="2">
      <sharedItems containsSemiMixedTypes="0" containsString="0" containsNumber="1" minValue="1.33" maxValue="9.9966666666666661"/>
    </cacheField>
    <cacheField name="C Distância-ataque" numFmtId="2">
      <sharedItems containsSemiMixedTypes="0" containsString="0" containsNumber="1" minValue="4.9614814814814814" maxValue="10.22074074074074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x v="0"/>
    <n v="0"/>
    <n v="0"/>
    <n v="23.529411764705856"/>
    <n v="0"/>
    <n v="0"/>
    <n v="0"/>
    <n v="0"/>
    <n v="0"/>
    <n v="0"/>
    <n v="0"/>
    <n v="52.941176470588289"/>
    <n v="52.941176470588289"/>
    <n v="52.941176470588289"/>
    <n v="52.941176470588289"/>
    <n v="26.470588235294144"/>
    <n v="0"/>
    <n v="5.2521008403361158E-2"/>
    <n v="0"/>
    <n v="0"/>
    <n v="0"/>
    <n v="0"/>
    <n v="0"/>
    <n v="0"/>
    <n v="0"/>
    <n v="0"/>
    <n v="0"/>
    <n v="0"/>
    <n v="0"/>
    <n v="0.29411764705882337"/>
    <n v="0"/>
    <n v="0"/>
    <n v="0"/>
    <n v="0"/>
    <n v="0"/>
    <n v="0"/>
    <n v="0"/>
    <n v="0"/>
    <n v="0"/>
    <n v="0"/>
    <n v="0"/>
    <n v="0"/>
    <n v="0"/>
    <n v="0"/>
    <n v="0"/>
    <n v="0"/>
    <n v="0"/>
    <n v="0"/>
    <n v="0"/>
    <n v="0"/>
    <n v="0"/>
    <n v="0"/>
    <n v="0"/>
    <n v="0"/>
    <n v="0"/>
    <n v="0"/>
    <n v="0"/>
    <n v="0"/>
    <n v="0"/>
  </r>
  <r>
    <x v="1"/>
    <x v="1"/>
    <n v="0"/>
    <n v="0"/>
    <n v="66.666666666666515"/>
    <n v="0"/>
    <n v="0"/>
    <n v="0"/>
    <n v="0"/>
    <n v="0"/>
    <n v="0"/>
    <n v="0"/>
    <n v="33.333333333333258"/>
    <n v="33.333333333333258"/>
    <n v="33.333333333333258"/>
    <n v="33.333333333333258"/>
    <n v="16.666666666666629"/>
    <n v="0"/>
    <n v="7.3809523809523547E-2"/>
    <n v="0"/>
    <n v="0"/>
    <n v="0"/>
    <n v="0"/>
    <n v="0"/>
    <n v="0"/>
    <n v="0"/>
    <n v="0"/>
    <n v="0"/>
    <n v="0"/>
    <n v="0"/>
    <n v="1.5999999999999996"/>
    <n v="0"/>
    <n v="0"/>
    <n v="0"/>
    <n v="0"/>
    <n v="0"/>
    <n v="0"/>
    <n v="0"/>
    <n v="0"/>
    <n v="0"/>
    <n v="0"/>
    <n v="0"/>
    <n v="0"/>
    <n v="0"/>
    <n v="0"/>
    <n v="0"/>
    <n v="0"/>
    <n v="0"/>
    <n v="0"/>
    <n v="0"/>
    <n v="0"/>
    <n v="1.666666666666667"/>
    <n v="0"/>
    <n v="0"/>
    <n v="0"/>
    <n v="0"/>
    <n v="0"/>
    <n v="0"/>
    <n v="0"/>
    <n v="0"/>
  </r>
  <r>
    <x v="2"/>
    <x v="2"/>
    <n v="0"/>
    <n v="0"/>
    <n v="13.333333333333371"/>
    <n v="0"/>
    <n v="0"/>
    <n v="0"/>
    <n v="0"/>
    <n v="0"/>
    <n v="0"/>
    <n v="0"/>
    <n v="192"/>
    <n v="192"/>
    <n v="192"/>
    <n v="192"/>
    <n v="1632"/>
    <n v="0"/>
    <n v="9.52380952380949E-2"/>
    <n v="0.88888888888888928"/>
    <n v="0"/>
    <n v="0"/>
    <n v="0.88888888888888884"/>
    <n v="0"/>
    <n v="0"/>
    <n v="0"/>
    <n v="0"/>
    <n v="0"/>
    <n v="0"/>
    <n v="0"/>
    <n v="0.44444444444444464"/>
    <n v="0"/>
    <n v="0"/>
    <n v="0"/>
    <n v="0"/>
    <n v="0"/>
    <n v="0"/>
    <n v="0"/>
    <n v="0"/>
    <n v="0"/>
    <n v="0"/>
    <n v="0"/>
    <n v="0"/>
    <n v="0"/>
    <n v="0"/>
    <n v="0"/>
    <n v="0"/>
    <n v="0"/>
    <n v="0"/>
    <n v="0"/>
    <n v="0"/>
    <n v="0"/>
    <n v="0"/>
    <n v="0"/>
    <n v="0"/>
    <n v="0"/>
    <n v="0"/>
    <n v="0"/>
    <n v="0"/>
    <n v="0"/>
  </r>
  <r>
    <x v="3"/>
    <x v="3"/>
    <n v="0"/>
    <n v="0"/>
    <n v="15.076923076923094"/>
    <n v="0"/>
    <n v="0.92307692307692335"/>
    <n v="1.2307692307692308"/>
    <n v="0.61538461538461542"/>
    <n v="0.46153846153846168"/>
    <n v="0.15384615384615385"/>
    <n v="0"/>
    <n v="61.538461538461434"/>
    <n v="61.538461538461434"/>
    <n v="61.538461538461434"/>
    <n v="61.538461538461434"/>
    <n v="338.46153846153857"/>
    <n v="0"/>
    <n v="6.59340659340657E-2"/>
    <n v="0.30769230769230749"/>
    <n v="0"/>
    <n v="0"/>
    <n v="0.30769230769230749"/>
    <n v="1.5641025641025639"/>
    <n v="0"/>
    <n v="0"/>
    <n v="0"/>
    <n v="0"/>
    <n v="0"/>
    <n v="0"/>
    <n v="0.30769230769230749"/>
    <n v="0"/>
    <n v="0"/>
    <n v="0"/>
    <n v="0"/>
    <n v="0"/>
    <n v="0"/>
    <n v="0"/>
    <n v="0"/>
    <n v="0"/>
    <n v="0"/>
    <n v="0"/>
    <n v="0"/>
    <n v="0"/>
    <n v="0"/>
    <n v="0"/>
    <n v="0"/>
    <n v="0"/>
    <n v="0"/>
    <n v="0"/>
    <n v="0"/>
    <n v="0"/>
    <n v="0"/>
    <n v="0"/>
    <n v="0"/>
    <n v="0"/>
    <n v="0"/>
    <n v="0"/>
    <n v="0"/>
    <n v="0"/>
  </r>
  <r>
    <x v="4"/>
    <x v="4"/>
    <n v="0"/>
    <n v="0"/>
    <n v="13.935483870967687"/>
    <n v="0"/>
    <n v="0"/>
    <n v="0"/>
    <n v="0"/>
    <n v="0.23225806451612918"/>
    <n v="0.46451612903225792"/>
    <n v="0"/>
    <n v="0"/>
    <n v="0"/>
    <n v="0"/>
    <n v="0"/>
    <n v="0"/>
    <n v="0"/>
    <n v="6.8433179723502491E-2"/>
    <n v="0"/>
    <n v="0"/>
    <n v="0"/>
    <n v="0"/>
    <n v="0"/>
    <n v="0"/>
    <n v="0"/>
    <n v="0"/>
    <n v="0"/>
    <n v="0"/>
    <n v="0"/>
    <n v="0.5225806451612911"/>
    <n v="0.87096774193548399"/>
    <n v="0.87096774193548399"/>
    <n v="0"/>
    <n v="0"/>
    <n v="0"/>
    <n v="0"/>
    <n v="0"/>
    <n v="0"/>
    <n v="0"/>
    <n v="0"/>
    <n v="0"/>
    <n v="0"/>
    <n v="0"/>
    <n v="0"/>
    <n v="0"/>
    <n v="0"/>
    <n v="0"/>
    <n v="0"/>
    <n v="0"/>
    <n v="0"/>
    <n v="0"/>
    <n v="0"/>
    <n v="0"/>
    <n v="0"/>
    <n v="0"/>
    <n v="0"/>
    <n v="0"/>
    <n v="0"/>
    <n v="0"/>
  </r>
  <r>
    <x v="5"/>
    <x v="5"/>
    <n v="0"/>
    <n v="0"/>
    <n v="7.5"/>
    <n v="0"/>
    <n v="0"/>
    <n v="0"/>
    <n v="0"/>
    <n v="0"/>
    <n v="0"/>
    <n v="0"/>
    <n v="360"/>
    <n v="360"/>
    <n v="360"/>
    <n v="360"/>
    <n v="360"/>
    <n v="0"/>
    <n v="7.1428571428571175E-2"/>
    <n v="0"/>
    <n v="0"/>
    <n v="0.5"/>
    <n v="0"/>
    <n v="0"/>
    <n v="0"/>
    <n v="0"/>
    <n v="0"/>
    <n v="0"/>
    <n v="0"/>
    <n v="0"/>
    <n v="0.25"/>
    <n v="0"/>
    <n v="0"/>
    <n v="0"/>
    <n v="0"/>
    <n v="0"/>
    <n v="0"/>
    <n v="0"/>
    <n v="0"/>
    <n v="0"/>
    <n v="0"/>
    <n v="0"/>
    <n v="0"/>
    <n v="0"/>
    <n v="0"/>
    <n v="0"/>
    <n v="0"/>
    <n v="0"/>
    <n v="0"/>
    <n v="0"/>
    <n v="0"/>
    <n v="0"/>
    <n v="0"/>
    <n v="0"/>
    <n v="0"/>
    <n v="0"/>
    <n v="0"/>
    <n v="0"/>
    <n v="0"/>
    <n v="0"/>
  </r>
  <r>
    <x v="6"/>
    <x v="6"/>
    <n v="0"/>
    <n v="0"/>
    <n v="8.8235294117647527"/>
    <n v="0"/>
    <n v="0"/>
    <n v="0"/>
    <n v="0"/>
    <n v="0"/>
    <n v="0"/>
    <n v="0"/>
    <n v="84.705882352941444"/>
    <n v="84.705882352941444"/>
    <n v="84.705882352941444"/>
    <n v="0"/>
    <n v="56.470588235294144"/>
    <n v="0"/>
    <n v="8.1932773109243406E-2"/>
    <n v="0.4411764705882355"/>
    <n v="0"/>
    <n v="7.3529411764705621E-2"/>
    <n v="0"/>
    <n v="0"/>
    <n v="0"/>
    <n v="0"/>
    <n v="0"/>
    <n v="0"/>
    <n v="0"/>
    <n v="0"/>
    <n v="0.41176470588235325"/>
    <n v="0"/>
    <n v="0"/>
    <n v="0"/>
    <n v="0"/>
    <n v="0"/>
    <n v="0"/>
    <n v="0"/>
    <n v="0"/>
    <n v="0"/>
    <n v="0"/>
    <n v="0"/>
    <n v="0"/>
    <n v="0"/>
    <n v="0"/>
    <n v="0"/>
    <n v="0"/>
    <n v="0"/>
    <n v="0"/>
    <n v="0"/>
    <n v="0"/>
    <n v="0"/>
    <n v="0"/>
    <n v="0"/>
    <n v="0"/>
    <n v="0"/>
    <n v="0"/>
    <n v="0"/>
    <n v="0"/>
    <n v="0"/>
  </r>
  <r>
    <x v="7"/>
    <x v="7"/>
    <n v="0"/>
    <n v="0"/>
    <n v="30.400000000000091"/>
    <n v="0"/>
    <n v="0"/>
    <n v="0"/>
    <n v="0"/>
    <n v="0"/>
    <n v="0"/>
    <n v="0"/>
    <n v="0"/>
    <n v="0"/>
    <n v="0"/>
    <n v="0"/>
    <n v="0"/>
    <n v="0"/>
    <n v="0.11428571428571388"/>
    <n v="0"/>
    <n v="0"/>
    <n v="0"/>
    <n v="0"/>
    <n v="0"/>
    <n v="0"/>
    <n v="0"/>
    <n v="0"/>
    <n v="0"/>
    <n v="0"/>
    <n v="0"/>
    <n v="0.40000000000000036"/>
    <n v="0"/>
    <n v="0"/>
    <n v="0"/>
    <n v="0"/>
    <n v="0"/>
    <n v="0"/>
    <n v="0"/>
    <n v="0"/>
    <n v="0"/>
    <n v="0"/>
    <n v="0"/>
    <n v="0"/>
    <n v="0"/>
    <n v="0"/>
    <n v="0"/>
    <n v="0"/>
    <n v="0"/>
    <n v="0"/>
    <n v="2.4"/>
    <n v="0"/>
    <n v="0"/>
    <n v="0"/>
    <n v="0"/>
    <n v="0"/>
    <n v="0"/>
    <n v="0"/>
    <n v="0"/>
    <n v="0"/>
    <n v="0"/>
  </r>
  <r>
    <x v="8"/>
    <x v="8"/>
    <n v="0"/>
    <n v="0"/>
    <n v="28.285714285714221"/>
    <n v="0"/>
    <n v="0"/>
    <n v="0"/>
    <n v="0"/>
    <n v="0"/>
    <n v="0"/>
    <n v="0"/>
    <n v="93.428571428571558"/>
    <n v="93.428571428571558"/>
    <n v="93.428571428571558"/>
    <n v="0"/>
    <n v="93.428571428571558"/>
    <n v="0"/>
    <n v="7.9591836734693722E-2"/>
    <n v="0"/>
    <n v="0"/>
    <n v="0"/>
    <n v="0"/>
    <n v="0.75"/>
    <n v="0"/>
    <n v="0"/>
    <n v="0"/>
    <n v="0"/>
    <n v="0"/>
    <n v="0"/>
    <n v="0.42857142857142883"/>
    <n v="0"/>
    <n v="0"/>
    <n v="0"/>
    <n v="0"/>
    <n v="0"/>
    <n v="0"/>
    <n v="0"/>
    <n v="0"/>
    <n v="0"/>
    <n v="0"/>
    <n v="0"/>
    <n v="0"/>
    <n v="0"/>
    <n v="0"/>
    <n v="0"/>
    <n v="0"/>
    <n v="0"/>
    <n v="0"/>
    <n v="0"/>
    <n v="0"/>
    <n v="0"/>
    <n v="0"/>
    <n v="0"/>
    <n v="0"/>
    <n v="0"/>
    <n v="0"/>
    <n v="0"/>
    <n v="0"/>
    <n v="0"/>
  </r>
  <r>
    <x v="9"/>
    <x v="9"/>
    <n v="0"/>
    <n v="0"/>
    <n v="34.800000000000182"/>
    <n v="0"/>
    <n v="0"/>
    <n v="0"/>
    <n v="0"/>
    <n v="0"/>
    <n v="0"/>
    <n v="0"/>
    <n v="37.199999999999818"/>
    <n v="37.199999999999818"/>
    <n v="37.199999999999818"/>
    <n v="0"/>
    <n v="37.199999999999818"/>
    <n v="0"/>
    <n v="0.14571428571428591"/>
    <n v="0"/>
    <n v="0"/>
    <n v="0.59999999999999964"/>
    <n v="0"/>
    <n v="0"/>
    <n v="0"/>
    <n v="0"/>
    <n v="0"/>
    <n v="0.59999999999999964"/>
    <n v="0.44999999999999929"/>
    <n v="0"/>
    <n v="0.36000000000000032"/>
    <n v="0"/>
    <n v="0"/>
    <n v="0"/>
    <n v="0"/>
    <n v="0"/>
    <n v="0"/>
    <n v="0"/>
    <n v="0"/>
    <n v="0"/>
    <n v="0"/>
    <n v="0"/>
    <n v="0"/>
    <n v="0"/>
    <n v="0"/>
    <n v="0"/>
    <n v="0"/>
    <n v="0"/>
    <n v="0"/>
    <n v="0"/>
    <n v="0"/>
    <n v="0"/>
    <n v="0"/>
    <n v="0"/>
    <n v="0"/>
    <n v="0"/>
    <n v="0"/>
    <n v="0"/>
    <n v="0.89999999999999991"/>
    <n v="0"/>
  </r>
  <r>
    <x v="10"/>
    <x v="10"/>
    <n v="0"/>
    <n v="0"/>
    <n v="36"/>
    <n v="0"/>
    <n v="0"/>
    <n v="0"/>
    <n v="0"/>
    <n v="0"/>
    <n v="0"/>
    <n v="0"/>
    <n v="0"/>
    <n v="0"/>
    <n v="0"/>
    <n v="0"/>
    <n v="0"/>
    <n v="0"/>
    <n v="0.11714285714285744"/>
    <n v="0"/>
    <n v="1.2000000000000002"/>
    <n v="0"/>
    <n v="0"/>
    <n v="0"/>
    <n v="0"/>
    <n v="0"/>
    <n v="0"/>
    <n v="0"/>
    <n v="0"/>
    <n v="0"/>
    <n v="0.48000000000000043"/>
    <n v="0"/>
    <n v="0"/>
    <n v="0"/>
    <n v="0"/>
    <n v="0"/>
    <n v="0"/>
    <n v="0"/>
    <n v="0"/>
    <n v="0"/>
    <n v="0"/>
    <n v="0"/>
    <n v="0"/>
    <n v="0"/>
    <n v="0"/>
    <n v="0"/>
    <n v="0"/>
    <n v="2.8"/>
    <n v="0"/>
    <n v="0"/>
    <n v="0"/>
    <n v="0"/>
    <n v="0"/>
    <n v="0"/>
    <n v="0"/>
    <n v="0"/>
    <n v="0"/>
    <n v="0"/>
    <n v="0"/>
    <n v="0"/>
  </r>
  <r>
    <x v="11"/>
    <x v="11"/>
    <n v="0"/>
    <n v="0"/>
    <n v="49.599999999999909"/>
    <n v="0"/>
    <n v="0"/>
    <n v="0"/>
    <n v="0"/>
    <n v="0"/>
    <n v="0"/>
    <n v="0"/>
    <n v="0"/>
    <n v="0"/>
    <n v="0"/>
    <n v="0"/>
    <n v="0"/>
    <n v="0"/>
    <n v="0.14285714285714324"/>
    <n v="0"/>
    <n v="0"/>
    <n v="0"/>
    <n v="0"/>
    <n v="0"/>
    <n v="0"/>
    <n v="0"/>
    <n v="0"/>
    <n v="0"/>
    <n v="0"/>
    <n v="0"/>
    <n v="0.48000000000000043"/>
    <n v="0"/>
    <n v="0"/>
    <n v="0"/>
    <n v="0"/>
    <n v="0"/>
    <n v="0"/>
    <n v="0"/>
    <n v="0"/>
    <n v="0"/>
    <n v="0"/>
    <n v="0"/>
    <n v="0"/>
    <n v="0"/>
    <n v="0"/>
    <n v="0"/>
    <n v="0"/>
    <n v="0"/>
    <n v="0"/>
    <n v="0"/>
    <n v="0"/>
    <n v="0"/>
    <n v="0"/>
    <n v="1.8666666666666667"/>
    <n v="0"/>
    <n v="0"/>
    <n v="0"/>
    <n v="0"/>
    <n v="0"/>
    <n v="0"/>
  </r>
  <r>
    <x v="12"/>
    <x v="12"/>
    <n v="0"/>
    <n v="0"/>
    <n v="30.625"/>
    <n v="0"/>
    <n v="0"/>
    <n v="0"/>
    <n v="0"/>
    <n v="0"/>
    <n v="0"/>
    <n v="0"/>
    <n v="750"/>
    <n v="1500"/>
    <n v="3000"/>
    <n v="3000"/>
    <n v="1500"/>
    <n v="0"/>
    <n v="7.8125E-2"/>
    <n v="0"/>
    <n v="0"/>
    <n v="0"/>
    <n v="0"/>
    <n v="0"/>
    <n v="0"/>
    <n v="0"/>
    <n v="0"/>
    <n v="0"/>
    <n v="0"/>
    <n v="0"/>
    <n v="0.3125"/>
    <n v="0"/>
    <n v="0"/>
    <n v="0"/>
    <n v="0"/>
    <n v="0"/>
    <n v="0"/>
    <n v="0"/>
    <n v="0"/>
    <n v="0"/>
    <n v="0"/>
    <n v="0"/>
    <n v="0"/>
    <n v="0"/>
    <n v="0"/>
    <n v="0"/>
    <n v="0"/>
    <n v="0"/>
    <n v="0"/>
    <n v="0"/>
    <n v="0"/>
    <n v="0"/>
    <n v="0"/>
    <n v="0"/>
    <n v="0"/>
    <n v="0"/>
    <n v="0"/>
    <n v="0"/>
    <n v="0"/>
    <n v="0"/>
  </r>
  <r>
    <x v="13"/>
    <x v="13"/>
    <n v="0"/>
    <n v="0"/>
    <n v="343.75"/>
    <n v="0"/>
    <n v="0"/>
    <n v="0"/>
    <n v="0"/>
    <n v="0"/>
    <n v="0"/>
    <n v="0"/>
    <n v="590.625"/>
    <n v="590.625"/>
    <n v="590.625"/>
    <n v="590.625"/>
    <n v="590.625"/>
    <n v="0"/>
    <n v="0.11941964285714324"/>
    <n v="0"/>
    <n v="0"/>
    <n v="0"/>
    <n v="0"/>
    <n v="0"/>
    <n v="0"/>
    <n v="0"/>
    <n v="0"/>
    <n v="0"/>
    <n v="0"/>
    <n v="0"/>
    <n v="0.5625"/>
    <n v="0"/>
    <n v="0"/>
    <n v="0"/>
    <n v="0"/>
    <n v="0"/>
    <n v="0"/>
    <n v="0"/>
    <n v="0"/>
    <n v="0"/>
    <n v="0"/>
    <n v="0"/>
    <n v="0"/>
    <n v="0"/>
    <n v="0"/>
    <n v="0"/>
    <n v="0"/>
    <n v="0"/>
    <n v="0"/>
    <n v="0"/>
    <n v="0"/>
    <n v="0"/>
    <n v="0"/>
    <n v="0"/>
    <n v="0"/>
    <n v="0"/>
    <n v="0"/>
    <n v="0"/>
    <n v="0"/>
    <n v="0"/>
  </r>
  <r>
    <x v="14"/>
    <x v="14"/>
    <n v="0"/>
    <n v="0"/>
    <n v="29.14285714285711"/>
    <n v="0"/>
    <n v="0"/>
    <n v="0"/>
    <n v="0"/>
    <n v="0"/>
    <n v="0"/>
    <n v="0"/>
    <n v="1800"/>
    <n v="1350"/>
    <n v="900"/>
    <n v="450"/>
    <n v="900"/>
    <n v="0"/>
    <n v="7.3469387755102034E-2"/>
    <n v="0"/>
    <n v="0"/>
    <n v="0"/>
    <n v="0"/>
    <n v="0"/>
    <n v="0"/>
    <n v="0"/>
    <n v="0"/>
    <n v="0"/>
    <n v="0"/>
    <n v="0"/>
    <n v="0.42857142857142883"/>
    <n v="0"/>
    <n v="0"/>
    <n v="0"/>
    <n v="0"/>
    <n v="0"/>
    <n v="0"/>
    <n v="0"/>
    <n v="0"/>
    <n v="0.85714285714285765"/>
    <n v="0"/>
    <n v="0"/>
    <n v="0"/>
    <n v="0"/>
    <n v="0"/>
    <n v="0"/>
    <n v="0"/>
    <n v="0"/>
    <n v="0"/>
    <n v="0"/>
    <n v="0"/>
    <n v="0"/>
    <n v="0"/>
    <n v="0"/>
    <n v="0"/>
    <n v="0"/>
    <n v="0"/>
    <n v="0"/>
    <n v="0"/>
    <n v="0"/>
  </r>
  <r>
    <x v="15"/>
    <x v="15"/>
    <n v="0"/>
    <n v="0"/>
    <n v="39.375"/>
    <n v="0"/>
    <n v="0"/>
    <n v="0"/>
    <n v="0"/>
    <n v="0"/>
    <n v="0"/>
    <n v="0"/>
    <n v="420"/>
    <n v="840"/>
    <n v="70"/>
    <n v="0"/>
    <n v="280"/>
    <n v="0"/>
    <n v="9.6874999999999822E-2"/>
    <n v="0"/>
    <n v="0"/>
    <n v="0"/>
    <n v="0"/>
    <n v="0"/>
    <n v="0"/>
    <n v="0"/>
    <n v="0"/>
    <n v="0"/>
    <n v="0"/>
    <n v="0"/>
    <n v="0.4375"/>
    <n v="0"/>
    <n v="0"/>
    <n v="0"/>
    <n v="0"/>
    <n v="0"/>
    <n v="0.61249999999999982"/>
    <n v="0.34999999999999964"/>
    <n v="0.4375"/>
    <n v="0.4375"/>
    <n v="0"/>
    <n v="0"/>
    <n v="0"/>
    <n v="0"/>
    <n v="0"/>
    <n v="0"/>
    <n v="0"/>
    <n v="0"/>
    <n v="0"/>
    <n v="0"/>
    <n v="0"/>
    <n v="0"/>
    <n v="0"/>
    <n v="0"/>
    <n v="0"/>
    <n v="0"/>
    <n v="0"/>
    <n v="0"/>
    <n v="0"/>
    <n v="0"/>
  </r>
  <r>
    <x v="16"/>
    <x v="16"/>
    <n v="0"/>
    <n v="0"/>
    <n v="22.285714285714221"/>
    <n v="0"/>
    <n v="0"/>
    <n v="0"/>
    <n v="0"/>
    <n v="0"/>
    <n v="0"/>
    <n v="0"/>
    <n v="0"/>
    <n v="25.714285714285722"/>
    <n v="77.14285714285711"/>
    <n v="51.428571428571445"/>
    <n v="25.714285714285722"/>
    <n v="0"/>
    <n v="9.4897959183673386E-2"/>
    <n v="0"/>
    <n v="0"/>
    <n v="0"/>
    <n v="0"/>
    <n v="0"/>
    <n v="0"/>
    <n v="0"/>
    <n v="0"/>
    <n v="0"/>
    <n v="0"/>
    <n v="0"/>
    <n v="0.42857142857142883"/>
    <n v="0"/>
    <n v="0"/>
    <n v="1.7142857142857135"/>
    <n v="1.2857142857142847"/>
    <n v="0"/>
    <n v="0"/>
    <n v="8.5714285714284522E-3"/>
    <n v="0"/>
    <n v="0"/>
    <n v="0"/>
    <n v="0"/>
    <n v="0"/>
    <n v="0"/>
    <n v="0"/>
    <n v="0"/>
    <n v="0"/>
    <n v="0"/>
    <n v="0"/>
    <n v="0"/>
    <n v="0"/>
    <n v="0"/>
    <n v="0"/>
    <n v="0"/>
    <n v="0"/>
    <n v="0"/>
    <n v="0"/>
    <n v="0"/>
    <n v="0"/>
    <n v="0"/>
  </r>
  <r>
    <x v="17"/>
    <x v="17"/>
    <n v="0"/>
    <n v="0"/>
    <n v="14.45161290322585"/>
    <n v="0"/>
    <n v="0"/>
    <n v="0"/>
    <n v="0"/>
    <n v="0"/>
    <n v="0"/>
    <n v="0"/>
    <n v="0"/>
    <n v="0"/>
    <n v="0"/>
    <n v="0"/>
    <n v="0"/>
    <n v="0"/>
    <n v="0.11290322580645196"/>
    <n v="0"/>
    <n v="0"/>
    <n v="0"/>
    <n v="0"/>
    <n v="0"/>
    <n v="0"/>
    <n v="0"/>
    <n v="0"/>
    <n v="0"/>
    <n v="0"/>
    <n v="0"/>
    <n v="0.81290322580645125"/>
    <n v="0"/>
    <n v="0"/>
    <n v="0"/>
    <n v="0"/>
    <n v="0"/>
    <n v="0"/>
    <n v="0"/>
    <n v="0"/>
    <n v="0"/>
    <n v="0"/>
    <n v="0"/>
    <n v="2.5"/>
    <n v="0"/>
    <n v="0"/>
    <n v="0.45161290322580644"/>
    <n v="0"/>
    <n v="0"/>
    <n v="0"/>
    <n v="0"/>
    <n v="0"/>
    <n v="0"/>
    <n v="0"/>
    <n v="0"/>
    <n v="0"/>
    <n v="0"/>
    <n v="0"/>
    <n v="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x v="0"/>
    <n v="0"/>
    <n v="0"/>
    <n v="0"/>
    <n v="0"/>
    <n v="0"/>
    <n v="0"/>
    <n v="0"/>
    <n v="0"/>
    <n v="0"/>
    <n v="0"/>
    <n v="0"/>
    <n v="0"/>
    <n v="0"/>
    <n v="0"/>
    <n v="0"/>
    <n v="0"/>
    <n v="0.19642857142857162"/>
    <n v="0"/>
    <n v="0"/>
    <n v="0"/>
    <n v="0"/>
    <n v="0"/>
    <n v="0"/>
    <n v="0"/>
    <n v="0"/>
    <n v="0"/>
    <n v="0"/>
    <n v="0"/>
    <n v="0"/>
    <n v="0"/>
    <n v="0"/>
    <n v="0"/>
    <n v="0"/>
    <n v="0"/>
    <n v="0"/>
    <n v="0"/>
    <n v="0"/>
    <n v="0"/>
    <n v="0"/>
    <n v="0"/>
    <n v="0"/>
    <n v="0"/>
    <n v="0"/>
    <n v="0"/>
    <n v="0"/>
    <n v="0"/>
    <n v="0"/>
    <n v="0"/>
    <n v="0"/>
    <n v="0"/>
    <n v="0"/>
    <n v="0"/>
    <n v="0"/>
    <n v="0"/>
    <n v="0"/>
    <n v="0"/>
    <n v="0"/>
    <n v="0"/>
  </r>
  <r>
    <x v="1"/>
    <x v="1"/>
    <n v="0"/>
    <n v="0"/>
    <n v="0"/>
    <n v="0"/>
    <n v="0"/>
    <n v="0"/>
    <n v="0"/>
    <n v="0"/>
    <n v="0"/>
    <n v="0"/>
    <n v="0"/>
    <n v="0"/>
    <n v="0"/>
    <n v="0"/>
    <n v="0"/>
    <n v="0"/>
    <n v="0"/>
    <n v="0"/>
    <n v="0"/>
    <n v="0"/>
    <n v="0"/>
    <n v="0"/>
    <n v="0"/>
    <n v="0"/>
    <n v="0"/>
    <n v="0"/>
    <n v="0"/>
    <n v="0"/>
    <n v="1"/>
    <n v="0"/>
    <n v="0"/>
    <n v="0"/>
    <n v="0"/>
    <n v="0"/>
    <n v="0"/>
    <n v="0"/>
    <n v="0"/>
    <n v="0"/>
    <n v="0"/>
    <n v="0"/>
    <n v="5"/>
    <n v="0"/>
    <n v="0"/>
    <n v="0"/>
    <n v="0"/>
    <n v="0"/>
    <n v="0"/>
    <n v="0"/>
    <n v="0"/>
    <n v="0"/>
    <n v="0"/>
    <n v="0"/>
    <n v="0"/>
    <n v="0"/>
    <n v="0"/>
    <n v="0"/>
    <n v="0"/>
    <n v="0"/>
  </r>
  <r>
    <x v="2"/>
    <x v="2"/>
    <n v="0"/>
    <n v="0"/>
    <n v="0"/>
    <n v="0"/>
    <n v="0"/>
    <n v="0"/>
    <n v="0"/>
    <n v="0"/>
    <n v="0"/>
    <n v="0"/>
    <n v="0"/>
    <n v="0"/>
    <n v="0"/>
    <n v="0"/>
    <n v="0"/>
    <n v="0"/>
    <n v="0"/>
    <n v="0"/>
    <n v="0"/>
    <n v="0"/>
    <n v="0"/>
    <n v="0"/>
    <n v="0"/>
    <n v="0"/>
    <n v="0"/>
    <n v="0"/>
    <n v="0"/>
    <n v="0"/>
    <n v="2"/>
    <n v="0"/>
    <n v="0"/>
    <n v="0"/>
    <n v="0"/>
    <n v="0"/>
    <n v="0"/>
    <n v="0"/>
    <n v="0"/>
    <n v="0"/>
    <n v="0"/>
    <n v="0"/>
    <n v="0"/>
    <n v="0"/>
    <n v="0"/>
    <n v="0"/>
    <n v="0"/>
    <n v="0"/>
    <n v="0"/>
    <n v="0"/>
    <n v="0"/>
    <n v="0"/>
    <n v="0"/>
    <n v="0"/>
    <n v="0"/>
    <n v="0"/>
    <n v="0"/>
    <n v="0"/>
    <n v="0"/>
    <n v="0"/>
  </r>
  <r>
    <x v="3"/>
    <x v="3"/>
    <n v="0"/>
    <n v="0"/>
    <n v="0"/>
    <n v="0"/>
    <n v="0"/>
    <n v="0"/>
    <n v="0.5"/>
    <n v="0.5"/>
    <n v="1"/>
    <n v="0"/>
    <n v="0"/>
    <n v="0"/>
    <n v="0"/>
    <n v="0"/>
    <n v="0"/>
    <n v="0"/>
    <n v="0"/>
    <n v="1"/>
    <n v="0"/>
    <n v="0"/>
    <n v="0"/>
    <n v="0"/>
    <n v="0"/>
    <n v="0"/>
    <n v="0"/>
    <n v="0"/>
    <n v="0"/>
    <n v="0"/>
    <n v="0"/>
    <n v="0"/>
    <n v="0"/>
    <n v="0"/>
    <n v="0"/>
    <n v="0"/>
    <n v="0"/>
    <n v="0"/>
    <n v="0"/>
    <n v="0"/>
    <n v="0"/>
    <n v="3"/>
    <n v="0"/>
    <n v="0"/>
    <n v="0"/>
    <n v="0"/>
    <n v="0"/>
    <n v="0"/>
    <n v="0"/>
    <n v="0"/>
    <n v="0"/>
    <n v="0"/>
    <n v="0"/>
    <n v="0"/>
    <n v="0"/>
    <n v="0"/>
    <n v="0"/>
    <n v="0"/>
    <n v="0"/>
    <n v="0"/>
  </r>
  <r>
    <x v="4"/>
    <x v="4"/>
    <n v="0"/>
    <n v="0"/>
    <n v="0"/>
    <n v="0"/>
    <n v="0"/>
    <n v="0"/>
    <n v="0"/>
    <n v="0"/>
    <n v="0"/>
    <n v="0"/>
    <n v="0"/>
    <n v="0"/>
    <n v="0"/>
    <n v="0"/>
    <n v="0"/>
    <n v="0"/>
    <n v="0.66000000000000014"/>
    <n v="0"/>
    <n v="0.33333333333333304"/>
    <n v="0"/>
    <n v="0"/>
    <n v="0"/>
    <n v="0"/>
    <n v="0"/>
    <n v="0"/>
    <n v="0"/>
    <n v="0"/>
    <n v="0"/>
    <n v="0"/>
    <n v="0.5"/>
    <n v="0.5"/>
    <n v="0"/>
    <n v="0"/>
    <n v="0"/>
    <n v="0"/>
    <n v="0"/>
    <n v="0"/>
    <n v="0"/>
    <n v="0"/>
    <n v="0"/>
    <n v="0"/>
    <n v="0"/>
    <n v="0"/>
    <n v="0"/>
    <n v="0"/>
    <n v="0"/>
    <n v="0"/>
    <n v="0"/>
    <n v="0"/>
    <n v="0"/>
    <n v="0"/>
    <n v="0"/>
    <n v="0"/>
    <n v="0"/>
    <n v="0"/>
    <n v="0"/>
    <n v="0"/>
    <n v="0"/>
  </r>
  <r>
    <x v="5"/>
    <x v="5"/>
    <n v="0"/>
    <n v="0"/>
    <n v="0"/>
    <n v="0"/>
    <n v="0"/>
    <n v="0"/>
    <n v="0"/>
    <n v="0"/>
    <n v="0"/>
    <n v="0"/>
    <n v="0"/>
    <n v="0"/>
    <n v="0"/>
    <n v="0"/>
    <n v="0"/>
    <n v="0"/>
    <n v="0"/>
    <n v="0"/>
    <n v="0"/>
    <n v="0"/>
    <n v="0"/>
    <n v="0"/>
    <n v="0"/>
    <n v="0"/>
    <n v="0"/>
    <n v="0"/>
    <n v="0"/>
    <n v="0"/>
    <n v="0"/>
    <n v="0"/>
    <n v="0"/>
    <n v="0"/>
    <n v="0"/>
    <n v="0"/>
    <n v="0"/>
    <n v="0"/>
    <n v="0"/>
    <n v="0"/>
    <n v="0"/>
    <n v="0"/>
    <n v="0"/>
    <n v="0"/>
    <n v="0"/>
    <n v="0"/>
    <n v="0"/>
    <n v="0"/>
    <n v="0"/>
    <n v="0"/>
    <n v="0"/>
    <n v="0"/>
    <n v="0"/>
    <n v="5"/>
    <n v="0"/>
    <n v="0"/>
    <n v="0"/>
    <n v="0"/>
    <n v="0"/>
    <n v="0"/>
  </r>
  <r>
    <x v="6"/>
    <x v="6"/>
    <n v="0"/>
    <n v="0"/>
    <n v="0"/>
    <n v="0"/>
    <n v="0"/>
    <n v="0"/>
    <n v="0"/>
    <n v="0"/>
    <n v="0"/>
    <n v="0"/>
    <n v="0"/>
    <n v="0"/>
    <n v="0"/>
    <n v="0"/>
    <n v="0"/>
    <n v="0"/>
    <n v="0.55714285714285694"/>
    <n v="0"/>
    <n v="0"/>
    <n v="0"/>
    <n v="0"/>
    <n v="0"/>
    <n v="0"/>
    <n v="0"/>
    <n v="0"/>
    <n v="0"/>
    <n v="0"/>
    <n v="0"/>
    <n v="0.33333333333333304"/>
    <n v="0"/>
    <n v="0"/>
    <n v="0"/>
    <n v="0"/>
    <n v="0"/>
    <n v="0"/>
    <n v="0"/>
    <n v="0"/>
    <n v="0"/>
    <n v="0"/>
    <n v="0"/>
    <n v="0"/>
    <n v="0"/>
    <n v="0"/>
    <n v="0"/>
    <n v="0"/>
    <n v="0"/>
    <n v="0"/>
    <n v="0"/>
    <n v="0"/>
    <n v="0"/>
    <n v="0"/>
    <n v="0"/>
    <n v="0"/>
    <n v="0"/>
    <n v="0"/>
    <n v="0"/>
    <n v="0"/>
    <n v="0"/>
  </r>
  <r>
    <x v="7"/>
    <x v="7"/>
    <n v="0"/>
    <n v="0"/>
    <n v="0"/>
    <n v="0"/>
    <n v="0"/>
    <n v="0"/>
    <n v="0"/>
    <n v="0"/>
    <n v="0"/>
    <n v="0"/>
    <n v="1520"/>
    <n v="1520"/>
    <n v="1520"/>
    <n v="1520"/>
    <n v="1520"/>
    <n v="0"/>
    <n v="0"/>
    <n v="0"/>
    <n v="0"/>
    <n v="1.5"/>
    <n v="3"/>
    <n v="0"/>
    <n v="0"/>
    <n v="0"/>
    <n v="0"/>
    <n v="0"/>
    <n v="0"/>
    <n v="0"/>
    <n v="0"/>
    <n v="0"/>
    <n v="0"/>
    <n v="0"/>
    <n v="0"/>
    <n v="0"/>
    <n v="0"/>
    <n v="0"/>
    <n v="0"/>
    <n v="0"/>
    <n v="0"/>
    <n v="0"/>
    <n v="0"/>
    <n v="0"/>
    <n v="0"/>
    <n v="0"/>
    <n v="0"/>
    <n v="0"/>
    <n v="0"/>
    <n v="0"/>
    <n v="0"/>
    <n v="0"/>
    <n v="0"/>
    <n v="0"/>
    <n v="0"/>
    <n v="0"/>
    <n v="0"/>
    <n v="0"/>
    <n v="0"/>
    <n v="0"/>
  </r>
  <r>
    <x v="8"/>
    <x v="8"/>
    <n v="0"/>
    <n v="0"/>
    <n v="66"/>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9"/>
    <x v="9"/>
    <n v="0"/>
    <n v="0"/>
    <n v="0"/>
    <n v="0"/>
    <n v="0"/>
    <n v="0"/>
    <n v="0"/>
    <n v="0"/>
    <n v="0"/>
    <n v="0"/>
    <n v="0"/>
    <n v="0"/>
    <n v="0"/>
    <n v="0"/>
    <n v="0"/>
    <n v="0"/>
    <n v="1.1657142857142855"/>
    <n v="0"/>
    <n v="0"/>
    <n v="0"/>
    <n v="0"/>
    <n v="0"/>
    <n v="0"/>
    <n v="0"/>
    <n v="0"/>
    <n v="0"/>
    <n v="0"/>
    <n v="0"/>
    <n v="0"/>
    <n v="0"/>
    <n v="0"/>
    <n v="0"/>
    <n v="0"/>
    <n v="0"/>
    <n v="0"/>
    <n v="0"/>
    <n v="0"/>
    <n v="0"/>
    <n v="0"/>
    <n v="0"/>
    <n v="0"/>
    <n v="0"/>
    <n v="0"/>
    <n v="0"/>
    <n v="0"/>
    <n v="0"/>
    <n v="0"/>
    <n v="0"/>
    <n v="0"/>
    <n v="0"/>
    <n v="0"/>
    <n v="0"/>
    <n v="0"/>
    <n v="0"/>
    <n v="0"/>
    <n v="0"/>
    <n v="0"/>
    <n v="0"/>
  </r>
  <r>
    <x v="10"/>
    <x v="10"/>
    <n v="0"/>
    <n v="0"/>
    <n v="0"/>
    <n v="0"/>
    <n v="0"/>
    <n v="0"/>
    <n v="0"/>
    <n v="0"/>
    <n v="0"/>
    <n v="0"/>
    <n v="0"/>
    <n v="0"/>
    <n v="0"/>
    <n v="0"/>
    <n v="0"/>
    <n v="0"/>
    <n v="0"/>
    <n v="0"/>
    <n v="0"/>
    <n v="0"/>
    <n v="0"/>
    <n v="0"/>
    <n v="0"/>
    <n v="0"/>
    <n v="0"/>
    <n v="0"/>
    <n v="0"/>
    <n v="0"/>
    <n v="0"/>
    <n v="0"/>
    <n v="0"/>
    <n v="0"/>
    <n v="0"/>
    <n v="0"/>
    <n v="0"/>
    <n v="0"/>
    <n v="0"/>
    <n v="0"/>
    <n v="0"/>
    <n v="0"/>
    <n v="0"/>
    <n v="4.5"/>
    <n v="0"/>
    <n v="0"/>
    <n v="0"/>
    <n v="0"/>
    <n v="0"/>
    <n v="0"/>
    <n v="0"/>
    <n v="0"/>
    <n v="0"/>
    <n v="0"/>
    <n v="0"/>
    <n v="0"/>
    <n v="0"/>
    <n v="0"/>
    <n v="0"/>
    <n v="0"/>
  </r>
  <r>
    <x v="11"/>
    <x v="11"/>
    <n v="0"/>
    <n v="0"/>
    <n v="0"/>
    <n v="0"/>
    <n v="0"/>
    <n v="0"/>
    <n v="0"/>
    <n v="0"/>
    <n v="0"/>
    <n v="0"/>
    <n v="0"/>
    <n v="0"/>
    <n v="0"/>
    <n v="0"/>
    <n v="0"/>
    <n v="0"/>
    <n v="1.4285714285714279"/>
    <n v="0"/>
    <n v="0"/>
    <n v="0"/>
    <n v="0"/>
    <n v="0"/>
    <n v="0"/>
    <n v="0"/>
    <n v="0"/>
    <n v="0"/>
    <n v="0"/>
    <n v="0"/>
    <n v="0"/>
    <n v="0"/>
    <n v="0"/>
    <n v="0"/>
    <n v="0"/>
    <n v="0"/>
    <n v="0"/>
    <n v="0"/>
    <n v="0"/>
    <n v="0"/>
    <n v="0"/>
    <n v="0"/>
    <n v="0"/>
    <n v="0"/>
    <n v="0"/>
    <n v="0"/>
    <n v="0"/>
    <n v="0"/>
    <n v="0"/>
    <n v="0"/>
    <n v="0"/>
    <n v="0"/>
    <n v="0"/>
    <n v="0"/>
    <n v="0"/>
    <n v="0"/>
    <n v="0"/>
    <n v="0"/>
    <n v="0"/>
    <n v="0"/>
  </r>
  <r>
    <x v="12"/>
    <x v="12"/>
    <n v="0"/>
    <n v="0"/>
    <n v="0"/>
    <n v="0"/>
    <n v="0"/>
    <n v="0"/>
    <n v="0"/>
    <n v="0"/>
    <n v="0"/>
    <n v="0"/>
    <n v="1303"/>
    <n v="0"/>
    <n v="0"/>
    <n v="0"/>
    <n v="0"/>
    <n v="0"/>
    <n v="0"/>
    <n v="0"/>
    <n v="0"/>
    <n v="0"/>
    <n v="0"/>
    <n v="0"/>
    <n v="0"/>
    <n v="0"/>
    <n v="0"/>
    <n v="0"/>
    <n v="0"/>
    <n v="0"/>
    <n v="0"/>
    <n v="0"/>
    <n v="0"/>
    <n v="0"/>
    <n v="0"/>
    <n v="0"/>
    <n v="0"/>
    <n v="0"/>
    <n v="0"/>
    <n v="0"/>
    <n v="0"/>
    <n v="0"/>
    <n v="0"/>
    <n v="0"/>
    <n v="0"/>
    <n v="0"/>
    <n v="0"/>
    <n v="0"/>
    <n v="0"/>
    <n v="0"/>
    <n v="0"/>
    <n v="0"/>
    <n v="0"/>
    <n v="0"/>
    <n v="0"/>
    <n v="0"/>
    <n v="0"/>
    <n v="2.5"/>
    <n v="0"/>
    <n v="0"/>
  </r>
  <r>
    <x v="13"/>
    <x v="13"/>
    <n v="0"/>
    <n v="0"/>
    <n v="0"/>
    <n v="0"/>
    <n v="0"/>
    <n v="0"/>
    <n v="0"/>
    <n v="0"/>
    <n v="0"/>
    <n v="0"/>
    <n v="0"/>
    <n v="0"/>
    <n v="0"/>
    <n v="0"/>
    <n v="0"/>
    <n v="0"/>
    <n v="0.26750000000000007"/>
    <n v="1"/>
    <n v="0"/>
    <n v="0"/>
    <n v="0"/>
    <n v="0"/>
    <n v="0"/>
    <n v="0"/>
    <n v="0"/>
    <n v="0"/>
    <n v="0"/>
    <n v="0"/>
    <n v="0"/>
    <n v="0"/>
    <n v="0"/>
    <n v="0"/>
    <n v="0"/>
    <n v="0"/>
    <n v="0"/>
    <n v="0"/>
    <n v="0"/>
    <n v="0"/>
    <n v="0"/>
    <n v="0"/>
    <n v="0"/>
    <n v="0"/>
    <n v="0"/>
    <n v="0"/>
    <n v="0"/>
    <n v="0"/>
    <n v="0"/>
    <n v="0"/>
    <n v="0"/>
    <n v="0"/>
    <n v="0"/>
    <n v="0"/>
    <n v="0"/>
    <n v="0"/>
    <n v="0"/>
    <n v="0"/>
    <n v="0"/>
    <n v="0"/>
  </r>
  <r>
    <x v="14"/>
    <x v="14"/>
    <n v="0"/>
    <n v="0"/>
    <n v="0"/>
    <n v="0.14850000000000008"/>
    <n v="0"/>
    <n v="0"/>
    <n v="0"/>
    <n v="0"/>
    <n v="0"/>
    <n v="0"/>
    <n v="0"/>
    <n v="0"/>
    <n v="0"/>
    <n v="0"/>
    <n v="0"/>
    <n v="0"/>
    <n v="0"/>
    <n v="0"/>
    <n v="0"/>
    <n v="0"/>
    <n v="0"/>
    <n v="0"/>
    <n v="0"/>
    <n v="0"/>
    <n v="0"/>
    <n v="0"/>
    <n v="0"/>
    <n v="0"/>
    <n v="0"/>
    <n v="0"/>
    <n v="0"/>
    <n v="0"/>
    <n v="0"/>
    <n v="0"/>
    <n v="0"/>
    <n v="0"/>
    <n v="0"/>
    <n v="0"/>
    <n v="0"/>
    <n v="0"/>
    <n v="0"/>
    <n v="0"/>
    <n v="0"/>
    <n v="0"/>
    <n v="0"/>
    <n v="0"/>
    <n v="0"/>
    <n v="0"/>
    <n v="0"/>
    <n v="0"/>
    <n v="0"/>
    <n v="0"/>
    <n v="0"/>
    <n v="0"/>
    <n v="0"/>
    <n v="0"/>
    <n v="0"/>
    <n v="0"/>
  </r>
  <r>
    <x v="15"/>
    <x v="15"/>
    <n v="0"/>
    <n v="0"/>
    <n v="0"/>
    <n v="0"/>
    <n v="0"/>
    <n v="0"/>
    <n v="0"/>
    <n v="0"/>
    <n v="0"/>
    <n v="0"/>
    <n v="0"/>
    <n v="0"/>
    <n v="0"/>
    <n v="0"/>
    <n v="0"/>
    <n v="0"/>
    <n v="0"/>
    <n v="0"/>
    <n v="0"/>
    <n v="0"/>
    <n v="0"/>
    <n v="0"/>
    <n v="0"/>
    <n v="0"/>
    <n v="0"/>
    <n v="0"/>
    <n v="0"/>
    <n v="0"/>
    <n v="0"/>
    <n v="0"/>
    <n v="0"/>
    <n v="0"/>
    <n v="0"/>
    <n v="0"/>
    <n v="0"/>
    <n v="0"/>
    <n v="0"/>
    <n v="0"/>
    <n v="0"/>
    <n v="0"/>
    <n v="0"/>
    <n v="0"/>
    <n v="0"/>
    <n v="0"/>
    <n v="0"/>
    <n v="0"/>
    <n v="0"/>
    <n v="0"/>
    <n v="0"/>
    <n v="0"/>
    <n v="0"/>
    <n v="3.9999999999999991"/>
    <n v="0"/>
    <n v="0"/>
    <n v="0"/>
    <n v="0"/>
    <n v="0"/>
    <n v="0"/>
  </r>
  <r>
    <x v="16"/>
    <x v="16"/>
    <n v="0"/>
    <n v="0"/>
    <n v="0"/>
    <n v="0"/>
    <n v="0"/>
    <n v="0"/>
    <n v="0"/>
    <n v="0"/>
    <n v="0"/>
    <n v="0"/>
    <n v="0"/>
    <n v="0"/>
    <n v="0"/>
    <n v="0"/>
    <n v="0"/>
    <n v="0"/>
    <n v="0"/>
    <n v="0"/>
    <n v="0"/>
    <n v="0"/>
    <n v="0"/>
    <n v="0"/>
    <n v="0"/>
    <n v="0"/>
    <n v="0"/>
    <n v="0"/>
    <n v="0"/>
    <n v="0"/>
    <n v="0"/>
    <n v="0"/>
    <n v="0"/>
    <n v="1"/>
    <n v="1"/>
    <n v="0"/>
    <n v="0"/>
    <n v="0"/>
    <n v="0"/>
    <n v="0"/>
    <n v="0"/>
    <n v="0"/>
    <n v="0"/>
    <n v="0"/>
    <n v="0"/>
    <n v="0"/>
    <n v="0"/>
    <n v="0"/>
    <n v="0"/>
    <n v="0"/>
    <n v="0"/>
    <n v="0"/>
    <n v="0"/>
    <n v="0"/>
    <n v="0"/>
    <n v="0"/>
    <n v="0"/>
    <n v="0"/>
    <n v="0"/>
    <n v="0"/>
  </r>
  <r>
    <x v="17"/>
    <x v="17"/>
    <n v="0"/>
    <n v="0"/>
    <n v="0"/>
    <n v="0.70000000000000018"/>
    <n v="0"/>
    <n v="0"/>
    <n v="0"/>
    <n v="0"/>
    <n v="0"/>
    <n v="0"/>
    <n v="0"/>
    <n v="0"/>
    <n v="0"/>
    <n v="0"/>
    <n v="0"/>
    <n v="0"/>
    <n v="0"/>
    <n v="0"/>
    <n v="0"/>
    <n v="0"/>
    <n v="0"/>
    <n v="0"/>
    <n v="0"/>
    <n v="0"/>
    <n v="0"/>
    <n v="0"/>
    <n v="0"/>
    <n v="0"/>
    <n v="0"/>
    <n v="0"/>
    <n v="0"/>
    <n v="0"/>
    <n v="0"/>
    <n v="0"/>
    <n v="0"/>
    <n v="0"/>
    <n v="0"/>
    <n v="0"/>
    <n v="0"/>
    <n v="0"/>
    <n v="0"/>
    <n v="0"/>
    <n v="0"/>
    <n v="0"/>
    <n v="0"/>
    <n v="0"/>
    <n v="0"/>
    <n v="0"/>
    <n v="0"/>
    <n v="0"/>
    <n v="0"/>
    <n v="0"/>
    <n v="0"/>
    <n v="0"/>
    <n v="0"/>
    <n v="0"/>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x v="0"/>
    <n v="0"/>
    <n v="0"/>
    <n v="0"/>
    <n v="0"/>
    <n v="0"/>
    <n v="0"/>
    <n v="0"/>
    <n v="0"/>
    <n v="0"/>
    <n v="0"/>
    <n v="0"/>
    <n v="500"/>
    <n v="1250"/>
    <n v="2000"/>
    <n v="500"/>
    <n v="0"/>
    <n v="0"/>
    <n v="0"/>
    <n v="0"/>
    <n v="0"/>
    <n v="0"/>
    <n v="0"/>
    <n v="0"/>
    <n v="0"/>
    <n v="0"/>
    <n v="0"/>
    <n v="0"/>
    <n v="0"/>
    <n v="0"/>
    <n v="0"/>
    <n v="0"/>
    <n v="0"/>
    <n v="0"/>
    <n v="0"/>
    <n v="0"/>
    <n v="0"/>
    <n v="0"/>
    <n v="0"/>
    <n v="0"/>
    <n v="0"/>
    <n v="0"/>
    <n v="0"/>
    <n v="0"/>
    <n v="0"/>
    <n v="0"/>
    <n v="0"/>
    <n v="0"/>
    <n v="0"/>
    <n v="0"/>
    <n v="0"/>
    <n v="0"/>
    <n v="0"/>
    <n v="0"/>
    <n v="0"/>
    <n v="0"/>
    <n v="0"/>
    <n v="0"/>
    <n v="0"/>
  </r>
  <r>
    <x v="1"/>
    <x v="1"/>
    <n v="0"/>
    <n v="0"/>
    <n v="0"/>
    <n v="0"/>
    <n v="0"/>
    <n v="0"/>
    <n v="0"/>
    <n v="0"/>
    <n v="0"/>
    <n v="0"/>
    <n v="0"/>
    <n v="0"/>
    <n v="0"/>
    <n v="0"/>
    <n v="0"/>
    <n v="0"/>
    <n v="0.53571428571428559"/>
    <n v="0"/>
    <n v="0"/>
    <n v="0"/>
    <n v="0"/>
    <n v="0"/>
    <n v="0"/>
    <n v="0"/>
    <n v="0"/>
    <n v="0"/>
    <n v="0"/>
    <n v="0"/>
    <n v="0"/>
    <n v="0"/>
    <n v="0"/>
    <n v="0"/>
    <n v="0"/>
    <n v="0"/>
    <n v="0"/>
    <n v="0"/>
    <n v="0"/>
    <n v="0"/>
    <n v="0"/>
    <n v="0"/>
    <n v="2.5"/>
    <n v="0"/>
    <n v="0"/>
    <n v="0"/>
    <n v="0"/>
    <n v="0"/>
    <n v="0"/>
    <n v="0"/>
    <n v="0"/>
    <n v="0"/>
    <n v="0"/>
    <n v="0"/>
    <n v="0"/>
    <n v="0"/>
    <n v="0"/>
    <n v="0"/>
    <n v="0"/>
    <n v="0"/>
  </r>
  <r>
    <x v="2"/>
    <x v="2"/>
    <n v="0"/>
    <n v="0"/>
    <n v="192"/>
    <n v="0"/>
    <n v="0"/>
    <n v="0"/>
    <n v="0"/>
    <n v="0"/>
    <n v="0"/>
    <n v="0"/>
    <n v="720"/>
    <n v="720"/>
    <n v="720"/>
    <n v="720"/>
    <n v="360"/>
    <n v="0"/>
    <n v="0"/>
    <n v="0"/>
    <n v="0"/>
    <n v="0"/>
    <n v="0"/>
    <n v="0"/>
    <n v="0"/>
    <n v="0"/>
    <n v="0"/>
    <n v="0"/>
    <n v="0"/>
    <n v="0"/>
    <n v="0"/>
    <n v="0"/>
    <n v="0"/>
    <n v="0"/>
    <n v="0"/>
    <n v="0"/>
    <n v="0"/>
    <n v="0"/>
    <n v="0"/>
    <n v="0"/>
    <n v="0"/>
    <n v="0"/>
    <n v="0"/>
    <n v="0"/>
    <n v="0"/>
    <n v="0"/>
    <n v="0"/>
    <n v="0"/>
    <n v="0"/>
    <n v="0"/>
    <n v="0"/>
    <n v="0"/>
    <n v="0"/>
    <n v="0"/>
    <n v="0"/>
    <n v="0"/>
    <n v="0"/>
    <n v="0"/>
    <n v="0"/>
    <n v="0"/>
  </r>
  <r>
    <x v="3"/>
    <x v="3"/>
    <n v="0"/>
    <n v="0"/>
    <n v="0"/>
    <n v="0"/>
    <n v="0"/>
    <n v="0"/>
    <n v="0"/>
    <n v="0"/>
    <n v="0"/>
    <n v="0"/>
    <n v="0"/>
    <n v="0"/>
    <n v="0"/>
    <n v="0"/>
    <n v="500"/>
    <n v="0"/>
    <n v="0.35714285714285676"/>
    <n v="0"/>
    <n v="0"/>
    <n v="0"/>
    <n v="0"/>
    <n v="0"/>
    <n v="0"/>
    <n v="0"/>
    <n v="0"/>
    <n v="0"/>
    <n v="0"/>
    <n v="0"/>
    <n v="0"/>
    <n v="0"/>
    <n v="0"/>
    <n v="0"/>
    <n v="0"/>
    <n v="0"/>
    <n v="0"/>
    <n v="0"/>
    <n v="0"/>
    <n v="0"/>
    <n v="0"/>
    <n v="0"/>
    <n v="2.5"/>
    <n v="0"/>
    <n v="0"/>
    <n v="0"/>
    <n v="0"/>
    <n v="0"/>
    <n v="0"/>
    <n v="0"/>
    <n v="0"/>
    <n v="0"/>
    <n v="0"/>
    <n v="0"/>
    <n v="0"/>
    <n v="0"/>
    <n v="0"/>
    <n v="0"/>
    <n v="0"/>
    <n v="0"/>
  </r>
  <r>
    <x v="4"/>
    <x v="4"/>
    <n v="0"/>
    <n v="0"/>
    <n v="57.600000000000023"/>
    <n v="0"/>
    <n v="0"/>
    <n v="0"/>
    <n v="0"/>
    <n v="0"/>
    <n v="0"/>
    <n v="0"/>
    <n v="0"/>
    <n v="0"/>
    <n v="0"/>
    <n v="0"/>
    <n v="0"/>
    <n v="0"/>
    <n v="0"/>
    <n v="0"/>
    <n v="1.333333333333333"/>
    <n v="0"/>
    <n v="0"/>
    <n v="0"/>
    <n v="0"/>
    <n v="0"/>
    <n v="0"/>
    <n v="0"/>
    <n v="0"/>
    <n v="0"/>
    <n v="1"/>
    <n v="2"/>
    <n v="2"/>
    <n v="0"/>
    <n v="0"/>
    <n v="0"/>
    <n v="0"/>
    <n v="0"/>
    <n v="0"/>
    <n v="0"/>
    <n v="0"/>
    <n v="0"/>
    <n v="0"/>
    <n v="0"/>
    <n v="0"/>
    <n v="0"/>
    <n v="0"/>
    <n v="0"/>
    <n v="0"/>
    <n v="0"/>
    <n v="0"/>
    <n v="0"/>
    <n v="0"/>
    <n v="0"/>
    <n v="0"/>
    <n v="0"/>
    <n v="0"/>
    <n v="0"/>
    <n v="0"/>
    <n v="0"/>
  </r>
  <r>
    <x v="5"/>
    <x v="5"/>
    <n v="0"/>
    <n v="0"/>
    <n v="0"/>
    <n v="0"/>
    <n v="0"/>
    <n v="0"/>
    <n v="0"/>
    <n v="0"/>
    <n v="0"/>
    <n v="0"/>
    <n v="0"/>
    <n v="0"/>
    <n v="0"/>
    <n v="0"/>
    <n v="0"/>
    <n v="0"/>
    <n v="0"/>
    <n v="0"/>
    <n v="0"/>
    <n v="0"/>
    <n v="0"/>
    <n v="0"/>
    <n v="0"/>
    <n v="0"/>
    <n v="0"/>
    <n v="0"/>
    <n v="0"/>
    <n v="0"/>
    <n v="0"/>
    <n v="0"/>
    <n v="0"/>
    <n v="0"/>
    <n v="0"/>
    <n v="0"/>
    <n v="0"/>
    <n v="0"/>
    <n v="0"/>
    <n v="0"/>
    <n v="0"/>
    <n v="0"/>
    <n v="0"/>
    <n v="0"/>
    <n v="0"/>
    <n v="0"/>
    <n v="0"/>
    <n v="0"/>
    <n v="0"/>
    <n v="0"/>
    <n v="0"/>
    <n v="0"/>
    <n v="0"/>
    <n v="0"/>
    <n v="0"/>
    <n v="4.5"/>
    <n v="0"/>
    <n v="0"/>
    <n v="0"/>
    <n v="0"/>
  </r>
  <r>
    <x v="6"/>
    <x v="6"/>
    <n v="0"/>
    <n v="0"/>
    <n v="0"/>
    <n v="0"/>
    <n v="0"/>
    <n v="0"/>
    <n v="0"/>
    <n v="0"/>
    <n v="0"/>
    <n v="0"/>
    <n v="0"/>
    <n v="0"/>
    <n v="0"/>
    <n v="0"/>
    <n v="0"/>
    <n v="1280"/>
    <n v="0"/>
    <n v="0"/>
    <n v="0"/>
    <n v="0"/>
    <n v="0"/>
    <n v="0"/>
    <n v="0"/>
    <n v="0"/>
    <n v="0"/>
    <n v="0"/>
    <n v="0"/>
    <n v="0"/>
    <n v="0"/>
    <n v="0"/>
    <n v="0"/>
    <n v="0"/>
    <n v="0"/>
    <n v="0"/>
    <n v="0"/>
    <n v="0"/>
    <n v="0"/>
    <n v="0"/>
    <n v="0"/>
    <n v="0"/>
    <n v="0"/>
    <n v="0"/>
    <n v="0"/>
    <n v="0"/>
    <n v="0"/>
    <n v="0"/>
    <n v="0"/>
    <n v="0"/>
    <n v="0"/>
    <n v="0"/>
    <n v="0"/>
    <n v="4.833333333333333"/>
    <n v="0"/>
    <n v="0"/>
    <n v="0"/>
    <n v="0"/>
    <n v="0"/>
    <n v="0"/>
  </r>
  <r>
    <x v="7"/>
    <x v="7"/>
    <n v="0"/>
    <n v="0"/>
    <n v="0"/>
    <n v="0"/>
    <n v="0"/>
    <n v="0"/>
    <n v="0"/>
    <n v="0"/>
    <n v="0"/>
    <n v="0"/>
    <n v="0"/>
    <n v="0"/>
    <n v="0"/>
    <n v="0"/>
    <n v="0"/>
    <n v="0"/>
    <n v="0"/>
    <n v="0"/>
    <n v="0"/>
    <n v="0"/>
    <n v="0"/>
    <n v="0"/>
    <n v="0"/>
    <n v="0"/>
    <n v="0"/>
    <n v="0"/>
    <n v="0"/>
    <n v="0"/>
    <n v="0"/>
    <n v="0"/>
    <n v="0"/>
    <n v="0"/>
    <n v="0"/>
    <n v="0"/>
    <n v="0"/>
    <n v="0"/>
    <n v="0"/>
    <n v="0"/>
    <n v="0"/>
    <n v="0"/>
    <n v="0"/>
    <n v="6.5"/>
    <n v="0"/>
    <n v="0"/>
    <n v="0"/>
    <n v="0"/>
    <n v="0"/>
    <n v="0"/>
    <n v="0"/>
    <n v="0"/>
    <n v="0"/>
    <n v="0"/>
    <n v="0"/>
    <n v="0"/>
    <n v="0"/>
    <n v="0"/>
    <n v="0"/>
    <n v="0"/>
  </r>
  <r>
    <x v="8"/>
    <x v="8"/>
    <n v="0"/>
    <n v="0"/>
    <n v="0"/>
    <n v="0.41250000000000009"/>
    <n v="0"/>
    <n v="0"/>
    <n v="0"/>
    <n v="0"/>
    <n v="0"/>
    <n v="0"/>
    <n v="0"/>
    <n v="0"/>
    <n v="0"/>
    <n v="0"/>
    <n v="0"/>
    <n v="0"/>
    <n v="0"/>
    <n v="0"/>
    <n v="0"/>
    <n v="0"/>
    <n v="0"/>
    <n v="0"/>
    <n v="0"/>
    <n v="0"/>
    <n v="0"/>
    <n v="0"/>
    <n v="0"/>
    <n v="0"/>
    <n v="0"/>
    <n v="0"/>
    <n v="0"/>
    <n v="0"/>
    <n v="0"/>
    <n v="0"/>
    <n v="0"/>
    <n v="0"/>
    <n v="0"/>
    <n v="0"/>
    <n v="0"/>
    <n v="0"/>
    <n v="0"/>
    <n v="4.5"/>
    <n v="0"/>
    <n v="0"/>
    <n v="0"/>
    <n v="0"/>
    <n v="0"/>
    <n v="0"/>
    <n v="0"/>
    <n v="0"/>
    <n v="0"/>
    <n v="0"/>
    <n v="0"/>
    <n v="0"/>
    <n v="0"/>
    <n v="0"/>
    <n v="0"/>
    <n v="0"/>
  </r>
  <r>
    <x v="9"/>
    <x v="9"/>
    <n v="0"/>
    <n v="0"/>
    <n v="174"/>
    <n v="0"/>
    <n v="0"/>
    <n v="0"/>
    <n v="0"/>
    <n v="0"/>
    <n v="0"/>
    <n v="0"/>
    <n v="0"/>
    <n v="0"/>
    <n v="0"/>
    <n v="0"/>
    <n v="0"/>
    <n v="0"/>
    <n v="1.5999999999999996"/>
    <n v="0"/>
    <n v="0"/>
    <n v="0"/>
    <n v="0"/>
    <n v="0"/>
    <n v="0"/>
    <n v="0"/>
    <n v="0"/>
    <n v="0"/>
    <n v="0"/>
    <n v="0"/>
    <n v="0"/>
    <n v="0"/>
    <n v="0"/>
    <n v="0"/>
    <n v="0"/>
    <n v="0"/>
    <n v="0"/>
    <n v="0"/>
    <n v="0"/>
    <n v="0"/>
    <n v="0"/>
    <n v="0"/>
    <n v="0"/>
    <n v="0"/>
    <n v="0"/>
    <n v="0"/>
    <n v="0"/>
    <n v="0"/>
    <n v="0"/>
    <n v="0"/>
    <n v="0"/>
    <n v="0"/>
    <n v="0"/>
    <n v="0"/>
    <n v="0"/>
    <n v="0"/>
    <n v="0"/>
    <n v="0"/>
    <n v="0"/>
    <n v="0"/>
  </r>
  <r>
    <x v="10"/>
    <x v="10"/>
    <n v="0"/>
    <n v="0"/>
    <n v="0"/>
    <n v="0"/>
    <n v="0"/>
    <n v="0"/>
    <n v="0"/>
    <n v="0"/>
    <n v="0"/>
    <n v="0"/>
    <n v="1944"/>
    <n v="1944"/>
    <n v="1944"/>
    <n v="1944"/>
    <n v="486"/>
    <n v="0"/>
    <n v="0"/>
    <n v="0"/>
    <n v="0"/>
    <n v="2"/>
    <n v="2"/>
    <n v="1.75"/>
    <n v="0"/>
    <n v="0"/>
    <n v="0"/>
    <n v="0"/>
    <n v="0"/>
    <n v="0"/>
    <n v="0"/>
    <n v="0"/>
    <n v="0"/>
    <n v="0"/>
    <n v="0"/>
    <n v="0"/>
    <n v="0"/>
    <n v="0"/>
    <n v="0"/>
    <n v="0"/>
    <n v="0"/>
    <n v="0"/>
    <n v="0"/>
    <n v="0"/>
    <n v="0"/>
    <n v="0"/>
    <n v="0"/>
    <n v="0"/>
    <n v="1"/>
    <n v="0"/>
    <n v="0"/>
    <n v="0"/>
    <n v="0"/>
    <n v="0"/>
    <n v="0"/>
    <n v="0"/>
    <n v="0"/>
    <n v="0"/>
    <n v="0"/>
    <n v="0"/>
  </r>
  <r>
    <x v="11"/>
    <x v="11"/>
    <n v="0"/>
    <n v="0"/>
    <n v="150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2"/>
    <x v="12"/>
    <n v="0"/>
    <n v="0"/>
    <n v="0"/>
    <n v="0"/>
    <n v="0"/>
    <n v="0"/>
    <n v="0"/>
    <n v="0"/>
    <n v="0"/>
    <n v="0"/>
    <n v="0"/>
    <n v="0"/>
    <n v="0"/>
    <n v="0"/>
    <n v="0"/>
    <n v="0"/>
    <n v="0"/>
    <n v="0"/>
    <n v="0"/>
    <n v="0"/>
    <n v="0"/>
    <n v="0"/>
    <n v="0"/>
    <n v="0"/>
    <n v="0"/>
    <n v="0"/>
    <n v="0"/>
    <n v="0"/>
    <n v="0"/>
    <n v="0"/>
    <n v="0"/>
    <n v="0"/>
    <n v="0"/>
    <n v="0"/>
    <n v="0"/>
    <n v="0"/>
    <n v="0"/>
    <n v="0"/>
    <n v="0"/>
    <n v="2"/>
    <n v="0"/>
    <n v="0"/>
    <n v="0"/>
    <n v="0"/>
    <n v="0"/>
    <n v="0"/>
    <n v="0"/>
    <n v="0"/>
    <n v="0"/>
    <n v="0"/>
    <n v="0"/>
    <n v="0"/>
    <n v="0"/>
    <n v="0"/>
    <n v="0"/>
    <n v="0"/>
    <n v="0"/>
    <n v="0"/>
  </r>
  <r>
    <x v="13"/>
    <x v="13"/>
    <n v="0"/>
    <n v="0"/>
    <n v="0"/>
    <n v="0"/>
    <n v="0"/>
    <n v="0"/>
    <n v="0"/>
    <n v="0"/>
    <n v="0"/>
    <n v="0"/>
    <n v="0"/>
    <n v="0"/>
    <n v="0"/>
    <n v="0"/>
    <n v="0"/>
    <n v="0"/>
    <n v="1.4785714285714286"/>
    <n v="0"/>
    <n v="0"/>
    <n v="0"/>
    <n v="0"/>
    <n v="0"/>
    <n v="0"/>
    <n v="0"/>
    <n v="0"/>
    <n v="0"/>
    <n v="0"/>
    <n v="0"/>
    <n v="0"/>
    <n v="0"/>
    <n v="0"/>
    <n v="0"/>
    <n v="0"/>
    <n v="0"/>
    <n v="0"/>
    <n v="0"/>
    <n v="0"/>
    <n v="0"/>
    <n v="0"/>
    <n v="0"/>
    <n v="0"/>
    <n v="0"/>
    <n v="0"/>
    <n v="0"/>
    <n v="0"/>
    <n v="0"/>
    <n v="0"/>
    <n v="0"/>
    <n v="0"/>
    <n v="0"/>
    <n v="0"/>
    <n v="0"/>
    <n v="0"/>
    <n v="0"/>
    <n v="0"/>
    <n v="0"/>
    <n v="0"/>
    <n v="0"/>
  </r>
  <r>
    <x v="14"/>
    <x v="14"/>
    <n v="0"/>
    <n v="0"/>
    <n v="0"/>
    <n v="0"/>
    <n v="0"/>
    <n v="0"/>
    <n v="0"/>
    <n v="0"/>
    <n v="0"/>
    <n v="0"/>
    <n v="0"/>
    <n v="0"/>
    <n v="0"/>
    <n v="0"/>
    <n v="0"/>
    <n v="0"/>
    <n v="0.5"/>
    <n v="0"/>
    <n v="0"/>
    <n v="0"/>
    <n v="0"/>
    <n v="0"/>
    <n v="0"/>
    <n v="0"/>
    <n v="0"/>
    <n v="0"/>
    <n v="0"/>
    <n v="0"/>
    <n v="0"/>
    <n v="0"/>
    <n v="0"/>
    <n v="0"/>
    <n v="0"/>
    <n v="0"/>
    <n v="0"/>
    <n v="0"/>
    <n v="0"/>
    <n v="0"/>
    <n v="0"/>
    <n v="0"/>
    <n v="0"/>
    <n v="0"/>
    <n v="0"/>
    <n v="0"/>
    <n v="0"/>
    <n v="0"/>
    <n v="0"/>
    <n v="0"/>
    <n v="0"/>
    <n v="0"/>
    <n v="0"/>
    <n v="0"/>
    <n v="0"/>
    <n v="0"/>
    <n v="0"/>
    <n v="0"/>
    <n v="0"/>
    <n v="0"/>
  </r>
  <r>
    <x v="15"/>
    <x v="15"/>
    <n v="0"/>
    <n v="0"/>
    <n v="0"/>
    <n v="0"/>
    <n v="0"/>
    <n v="0"/>
    <n v="0"/>
    <n v="0"/>
    <n v="0"/>
    <n v="0"/>
    <n v="0"/>
    <n v="0"/>
    <n v="0"/>
    <n v="0"/>
    <n v="0"/>
    <n v="0"/>
    <n v="0"/>
    <n v="0"/>
    <n v="0"/>
    <n v="0"/>
    <n v="0"/>
    <n v="0"/>
    <n v="0"/>
    <n v="0"/>
    <n v="0"/>
    <n v="0"/>
    <n v="0"/>
    <n v="0"/>
    <n v="0"/>
    <n v="0"/>
    <n v="0"/>
    <n v="0"/>
    <n v="0"/>
    <n v="0"/>
    <n v="1.5"/>
    <n v="0"/>
    <n v="0"/>
    <n v="0"/>
    <n v="0"/>
    <n v="0"/>
    <n v="0"/>
    <n v="0"/>
    <n v="0"/>
    <n v="0"/>
    <n v="0"/>
    <n v="0"/>
    <n v="0"/>
    <n v="0"/>
    <n v="0"/>
    <n v="0"/>
    <n v="0"/>
    <n v="0"/>
    <n v="0"/>
    <n v="0"/>
    <n v="0"/>
    <n v="0"/>
    <n v="0"/>
    <n v="0"/>
  </r>
  <r>
    <x v="16"/>
    <x v="16"/>
    <n v="0"/>
    <n v="0"/>
    <n v="16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7"/>
    <x v="17"/>
    <n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x v="0"/>
    <n v="0"/>
    <n v="0"/>
    <n v="0"/>
    <n v="0"/>
    <n v="0"/>
    <n v="0"/>
    <n v="0"/>
    <n v="0"/>
    <n v="0"/>
    <n v="0"/>
    <n v="0"/>
    <n v="0"/>
    <n v="0"/>
    <n v="0"/>
    <n v="0"/>
    <n v="1100"/>
    <n v="0.19642857142857162"/>
    <n v="0"/>
    <n v="0"/>
    <n v="0"/>
    <n v="0"/>
    <n v="0"/>
    <n v="0"/>
    <n v="0"/>
    <n v="0"/>
    <n v="0"/>
    <n v="0"/>
    <n v="0"/>
    <n v="0"/>
    <n v="0"/>
    <n v="0"/>
    <n v="0"/>
    <n v="0"/>
    <n v="0"/>
    <n v="0"/>
    <n v="0"/>
    <n v="0"/>
    <n v="0"/>
    <n v="0"/>
    <n v="0"/>
    <n v="2.5"/>
    <n v="0"/>
    <n v="0"/>
    <n v="0"/>
    <n v="0"/>
    <n v="0"/>
    <n v="0"/>
    <n v="0"/>
    <n v="0"/>
    <n v="0"/>
    <n v="0"/>
    <n v="0"/>
    <n v="0"/>
    <n v="0"/>
    <n v="0"/>
    <n v="0"/>
    <n v="0"/>
    <n v="0"/>
  </r>
  <r>
    <x v="1"/>
    <x v="1"/>
    <n v="0"/>
    <n v="0"/>
    <n v="0"/>
    <n v="0"/>
    <n v="0"/>
    <n v="0"/>
    <n v="0"/>
    <n v="0"/>
    <n v="0"/>
    <n v="0"/>
    <n v="0"/>
    <n v="0"/>
    <n v="0"/>
    <n v="0"/>
    <n v="0"/>
    <n v="0"/>
    <n v="0"/>
    <n v="0"/>
    <n v="0"/>
    <n v="1"/>
    <n v="2.5"/>
    <n v="0"/>
    <n v="0"/>
    <n v="0"/>
    <n v="0"/>
    <n v="0"/>
    <n v="0"/>
    <n v="0"/>
    <n v="0"/>
    <n v="0"/>
    <n v="0"/>
    <n v="0"/>
    <n v="0"/>
    <n v="0"/>
    <n v="0"/>
    <n v="0"/>
    <n v="0"/>
    <n v="0"/>
    <n v="0"/>
    <n v="1"/>
    <n v="0"/>
    <n v="0"/>
    <n v="0"/>
    <n v="0"/>
    <n v="0"/>
    <n v="0"/>
    <n v="0"/>
    <n v="0"/>
    <n v="0"/>
    <n v="0"/>
    <n v="0"/>
    <n v="0"/>
    <n v="0"/>
    <n v="0"/>
    <n v="0"/>
    <n v="0"/>
    <n v="0"/>
    <n v="0"/>
  </r>
  <r>
    <x v="2"/>
    <x v="2"/>
    <n v="0"/>
    <n v="0"/>
    <n v="0"/>
    <n v="0"/>
    <n v="0"/>
    <n v="0"/>
    <n v="0"/>
    <n v="0"/>
    <n v="0"/>
    <n v="0"/>
    <n v="0"/>
    <n v="0"/>
    <n v="0"/>
    <n v="0"/>
    <n v="0"/>
    <n v="0"/>
    <n v="0.34285714285714253"/>
    <n v="0"/>
    <n v="0"/>
    <n v="0"/>
    <n v="0"/>
    <n v="0"/>
    <n v="0"/>
    <n v="0"/>
    <n v="0"/>
    <n v="0"/>
    <n v="0"/>
    <n v="0"/>
    <n v="0"/>
    <n v="0"/>
    <n v="0"/>
    <n v="0"/>
    <n v="0"/>
    <n v="0"/>
    <n v="0"/>
    <n v="0"/>
    <n v="0"/>
    <n v="0"/>
    <n v="0"/>
    <n v="0"/>
    <n v="0"/>
    <n v="0"/>
    <n v="0"/>
    <n v="0"/>
    <n v="0"/>
    <n v="0"/>
    <n v="0"/>
    <n v="0"/>
    <n v="0"/>
    <n v="0"/>
    <n v="0"/>
    <n v="0"/>
    <n v="0"/>
    <n v="0"/>
    <n v="0"/>
    <n v="0"/>
    <n v="0"/>
    <n v="0"/>
  </r>
  <r>
    <x v="3"/>
    <x v="3"/>
    <n v="0"/>
    <n v="0"/>
    <n v="0"/>
    <n v="0"/>
    <n v="0"/>
    <n v="0"/>
    <n v="0"/>
    <n v="0"/>
    <n v="0"/>
    <n v="0"/>
    <n v="0"/>
    <n v="0"/>
    <n v="0"/>
    <n v="0"/>
    <n v="0"/>
    <n v="1200"/>
    <n v="0.32142857142857117"/>
    <n v="0"/>
    <n v="4"/>
    <n v="2"/>
    <n v="0"/>
    <n v="0"/>
    <n v="2"/>
    <n v="0"/>
    <n v="0"/>
    <n v="0"/>
    <n v="0"/>
    <n v="0"/>
    <n v="0"/>
    <n v="0"/>
    <n v="0"/>
    <n v="5.5"/>
    <n v="1"/>
    <n v="0"/>
    <n v="3.5"/>
    <n v="0"/>
    <n v="0"/>
    <n v="0"/>
    <n v="7.5"/>
    <n v="0"/>
    <n v="2.5"/>
    <n v="4.55"/>
    <n v="0"/>
    <n v="0"/>
    <n v="0"/>
    <n v="0"/>
    <n v="0"/>
    <n v="0"/>
    <n v="0"/>
    <n v="0"/>
    <n v="0"/>
    <n v="0"/>
    <n v="0"/>
    <n v="0"/>
    <n v="0"/>
    <n v="0"/>
    <n v="0"/>
    <n v="0"/>
  </r>
  <r>
    <x v="4"/>
    <x v="4"/>
    <n v="0"/>
    <n v="0"/>
    <n v="0"/>
    <n v="0"/>
    <n v="0"/>
    <n v="0"/>
    <n v="0"/>
    <n v="0"/>
    <n v="0"/>
    <n v="0"/>
    <n v="0"/>
    <n v="0"/>
    <n v="0"/>
    <n v="0"/>
    <n v="0"/>
    <n v="0"/>
    <n v="0.53571428571428559"/>
    <n v="0"/>
    <n v="5.3333333333333321"/>
    <n v="0"/>
    <n v="0"/>
    <n v="1"/>
    <n v="0"/>
    <n v="0"/>
    <n v="0"/>
    <n v="0"/>
    <n v="0"/>
    <n v="0"/>
    <n v="0"/>
    <n v="1"/>
    <n v="1"/>
    <n v="5.5"/>
    <n v="1"/>
    <n v="1"/>
    <n v="2.25"/>
    <n v="0"/>
    <n v="0"/>
    <n v="0"/>
    <n v="7.5"/>
    <n v="0"/>
    <n v="0"/>
    <n v="0"/>
    <n v="0"/>
    <n v="0"/>
    <n v="0"/>
    <n v="5.25"/>
    <n v="5.166666666666667"/>
    <n v="0"/>
    <n v="0"/>
    <n v="0"/>
    <n v="0"/>
    <n v="0"/>
    <n v="0"/>
    <n v="0"/>
    <n v="0"/>
    <n v="0"/>
    <n v="0"/>
    <n v="0"/>
  </r>
  <r>
    <x v="5"/>
    <x v="5"/>
    <n v="0"/>
    <n v="0"/>
    <n v="0"/>
    <n v="0"/>
    <n v="0"/>
    <n v="0"/>
    <n v="0"/>
    <n v="0"/>
    <n v="0"/>
    <n v="0"/>
    <n v="0"/>
    <n v="0"/>
    <n v="0"/>
    <n v="0"/>
    <n v="0"/>
    <n v="0"/>
    <n v="0"/>
    <n v="0"/>
    <n v="3.6666666666666661"/>
    <n v="0"/>
    <n v="0"/>
    <n v="1.125"/>
    <n v="1"/>
    <n v="0"/>
    <n v="0"/>
    <n v="0"/>
    <n v="0"/>
    <n v="0"/>
    <n v="0"/>
    <n v="0"/>
    <n v="0"/>
    <n v="0"/>
    <n v="0"/>
    <n v="0"/>
    <n v="0"/>
    <n v="0"/>
    <n v="0"/>
    <n v="0"/>
    <n v="0"/>
    <n v="0"/>
    <n v="0"/>
    <n v="0"/>
    <n v="0"/>
    <n v="0"/>
    <n v="0"/>
    <n v="0"/>
    <n v="0"/>
    <n v="0"/>
    <n v="0"/>
    <n v="0"/>
    <n v="0"/>
    <n v="0"/>
    <n v="0"/>
    <n v="0"/>
    <n v="0"/>
    <n v="0"/>
    <n v="0"/>
    <n v="0"/>
  </r>
  <r>
    <x v="6"/>
    <x v="6"/>
    <n v="0"/>
    <n v="0"/>
    <n v="0"/>
    <n v="0"/>
    <n v="0"/>
    <n v="0"/>
    <n v="0.125"/>
    <n v="0.25"/>
    <n v="0.375"/>
    <n v="0"/>
    <n v="0"/>
    <n v="0"/>
    <n v="0"/>
    <n v="0"/>
    <n v="0"/>
    <n v="0"/>
    <n v="0"/>
    <n v="0"/>
    <n v="0"/>
    <n v="0"/>
    <n v="0"/>
    <n v="0"/>
    <n v="0"/>
    <n v="0"/>
    <n v="0"/>
    <n v="0"/>
    <n v="0"/>
    <n v="0"/>
    <n v="0"/>
    <n v="0"/>
    <n v="0"/>
    <n v="0"/>
    <n v="0"/>
    <n v="0"/>
    <n v="0"/>
    <n v="0"/>
    <n v="0"/>
    <n v="0"/>
    <n v="0"/>
    <n v="0"/>
    <n v="0"/>
    <n v="0"/>
    <n v="0"/>
    <n v="0"/>
    <n v="0"/>
    <n v="0"/>
    <n v="0"/>
    <n v="0"/>
    <n v="0"/>
    <n v="0"/>
    <n v="0"/>
    <n v="1.1666666666666667"/>
    <n v="0"/>
    <n v="0"/>
    <n v="0"/>
    <n v="0"/>
    <n v="0"/>
    <n v="0"/>
  </r>
  <r>
    <x v="7"/>
    <x v="7"/>
    <n v="0"/>
    <n v="0"/>
    <n v="0"/>
    <n v="0"/>
    <n v="0"/>
    <n v="0"/>
    <n v="0"/>
    <n v="0"/>
    <n v="0"/>
    <n v="0"/>
    <n v="0"/>
    <n v="0"/>
    <n v="0"/>
    <n v="0"/>
    <n v="0"/>
    <n v="0"/>
    <n v="0"/>
    <n v="0"/>
    <n v="0"/>
    <n v="0"/>
    <n v="0"/>
    <n v="0"/>
    <n v="0"/>
    <n v="0"/>
    <n v="0"/>
    <n v="0"/>
    <n v="0"/>
    <n v="0"/>
    <n v="0"/>
    <n v="0"/>
    <n v="0"/>
    <n v="0"/>
    <n v="0"/>
    <n v="0"/>
    <n v="0"/>
    <n v="0"/>
    <n v="0"/>
    <n v="0"/>
    <n v="0"/>
    <n v="0"/>
    <n v="0"/>
    <n v="0"/>
    <n v="0"/>
    <n v="0"/>
    <n v="0"/>
    <n v="0"/>
    <n v="0"/>
    <n v="0"/>
    <n v="0"/>
    <n v="0"/>
    <n v="7.75"/>
    <n v="0"/>
    <n v="7.75"/>
    <n v="0"/>
    <n v="7.75"/>
    <n v="0"/>
    <n v="0"/>
    <n v="0"/>
  </r>
  <r>
    <x v="8"/>
    <x v="8"/>
    <n v="0"/>
    <n v="0"/>
    <n v="0"/>
    <n v="0"/>
    <n v="0"/>
    <n v="0"/>
    <n v="0"/>
    <n v="0"/>
    <n v="0"/>
    <n v="0"/>
    <n v="0"/>
    <n v="0"/>
    <n v="0"/>
    <n v="0"/>
    <n v="0"/>
    <n v="15840"/>
    <n v="0"/>
    <n v="0"/>
    <n v="0"/>
    <n v="0"/>
    <n v="0"/>
    <n v="0"/>
    <n v="0"/>
    <n v="0"/>
    <n v="0"/>
    <n v="0"/>
    <n v="0"/>
    <n v="0"/>
    <n v="0"/>
    <n v="0"/>
    <n v="0"/>
    <n v="0"/>
    <n v="0"/>
    <n v="0"/>
    <n v="0"/>
    <n v="0"/>
    <n v="0"/>
    <n v="0"/>
    <n v="0"/>
    <n v="0"/>
    <n v="0"/>
    <n v="0"/>
    <n v="0"/>
    <n v="0"/>
    <n v="0"/>
    <n v="0"/>
    <n v="0"/>
    <n v="0"/>
    <n v="0"/>
    <n v="0"/>
    <n v="0"/>
    <n v="0"/>
    <n v="0"/>
    <n v="0"/>
    <n v="0"/>
    <n v="0"/>
    <n v="0"/>
    <n v="0"/>
  </r>
  <r>
    <x v="9"/>
    <x v="9"/>
    <n v="0"/>
    <n v="0"/>
    <n v="0"/>
    <n v="0"/>
    <n v="0"/>
    <n v="0"/>
    <n v="0"/>
    <n v="0"/>
    <n v="0"/>
    <n v="0"/>
    <n v="0"/>
    <n v="0"/>
    <n v="0"/>
    <n v="0"/>
    <n v="0"/>
    <n v="0"/>
    <n v="0"/>
    <n v="0.5"/>
    <n v="0"/>
    <n v="0"/>
    <n v="0"/>
    <n v="0"/>
    <n v="1.25"/>
    <n v="0"/>
    <n v="0"/>
    <n v="0"/>
    <n v="0"/>
    <n v="0"/>
    <n v="0"/>
    <n v="0"/>
    <n v="0"/>
    <n v="0"/>
    <n v="0"/>
    <n v="0"/>
    <n v="0"/>
    <n v="0"/>
    <n v="0"/>
    <n v="0"/>
    <n v="0"/>
    <n v="0"/>
    <n v="0"/>
    <n v="0"/>
    <n v="0"/>
    <n v="0"/>
    <n v="0"/>
    <n v="0"/>
    <n v="0"/>
    <n v="0"/>
    <n v="0"/>
    <n v="0"/>
    <n v="0"/>
    <n v="1.1666666666666667"/>
    <n v="0"/>
    <n v="0"/>
    <n v="0"/>
    <n v="1.75"/>
    <n v="0"/>
    <n v="0"/>
  </r>
  <r>
    <x v="10"/>
    <x v="10"/>
    <n v="0"/>
    <n v="0"/>
    <n v="0"/>
    <n v="0"/>
    <n v="0"/>
    <n v="0"/>
    <n v="0"/>
    <n v="0"/>
    <n v="0"/>
    <n v="0"/>
    <n v="0"/>
    <n v="0"/>
    <n v="0"/>
    <n v="0"/>
    <n v="0"/>
    <n v="0"/>
    <n v="0"/>
    <n v="0"/>
    <n v="2.666666666666667"/>
    <n v="0"/>
    <n v="0"/>
    <n v="0"/>
    <n v="0"/>
    <n v="0"/>
    <n v="0"/>
    <n v="0"/>
    <n v="0"/>
    <n v="0"/>
    <n v="0"/>
    <n v="0"/>
    <n v="0"/>
    <n v="0"/>
    <n v="0"/>
    <n v="0"/>
    <n v="0"/>
    <n v="0"/>
    <n v="0"/>
    <n v="0"/>
    <n v="0"/>
    <n v="0"/>
    <n v="0"/>
    <n v="0"/>
    <n v="0"/>
    <n v="0"/>
    <n v="0"/>
    <n v="0"/>
    <n v="0"/>
    <n v="0"/>
    <n v="0"/>
    <n v="0"/>
    <n v="0"/>
    <n v="0"/>
    <n v="0"/>
    <n v="1.125"/>
    <n v="0"/>
    <n v="0.75"/>
    <n v="0"/>
    <n v="0"/>
  </r>
  <r>
    <x v="11"/>
    <x v="11"/>
    <n v="0"/>
    <n v="0"/>
    <n v="0"/>
    <n v="0"/>
    <n v="0"/>
    <n v="0"/>
    <n v="0"/>
    <n v="0"/>
    <n v="0"/>
    <n v="0"/>
    <n v="0"/>
    <n v="0"/>
    <n v="0"/>
    <n v="0"/>
    <n v="0"/>
    <n v="0"/>
    <n v="0"/>
    <n v="0"/>
    <n v="0"/>
    <n v="0"/>
    <n v="0"/>
    <n v="0"/>
    <n v="0"/>
    <n v="0"/>
    <n v="0"/>
    <n v="0"/>
    <n v="0"/>
    <n v="2"/>
    <n v="0"/>
    <n v="0"/>
    <n v="0"/>
    <n v="0"/>
    <n v="0"/>
    <n v="0"/>
    <n v="0"/>
    <n v="0"/>
    <n v="0"/>
    <n v="0"/>
    <n v="0"/>
    <n v="0"/>
    <n v="2.5"/>
    <n v="0"/>
    <n v="0"/>
    <n v="0"/>
    <n v="0"/>
    <n v="0"/>
    <n v="0"/>
    <n v="0"/>
    <n v="0"/>
    <n v="0"/>
    <n v="0"/>
    <n v="0"/>
    <n v="0"/>
    <n v="0"/>
    <n v="0"/>
    <n v="0"/>
    <n v="0"/>
    <n v="0"/>
  </r>
  <r>
    <x v="12"/>
    <x v="12"/>
    <n v="0"/>
    <n v="0"/>
    <n v="0"/>
    <n v="0"/>
    <n v="0"/>
    <n v="0"/>
    <n v="0"/>
    <n v="0"/>
    <n v="0"/>
    <n v="0"/>
    <n v="800"/>
    <n v="1600"/>
    <n v="3200"/>
    <n v="3200"/>
    <n v="1600"/>
    <n v="0"/>
    <n v="0"/>
    <n v="0"/>
    <n v="0"/>
    <n v="0"/>
    <n v="0"/>
    <n v="0"/>
    <n v="0"/>
    <n v="0"/>
    <n v="0"/>
    <n v="0"/>
    <n v="0"/>
    <n v="0"/>
    <n v="0"/>
    <n v="0"/>
    <n v="0"/>
    <n v="0"/>
    <n v="0"/>
    <n v="0"/>
    <n v="0"/>
    <n v="0"/>
    <n v="0"/>
    <n v="0"/>
    <n v="0"/>
    <n v="0"/>
    <n v="0"/>
    <n v="0"/>
    <n v="0"/>
    <n v="0"/>
    <n v="0"/>
    <n v="0"/>
    <n v="0"/>
    <n v="0"/>
    <n v="0"/>
    <n v="0"/>
    <n v="0"/>
    <n v="0"/>
    <n v="0"/>
    <n v="0"/>
    <n v="0"/>
    <n v="0"/>
    <n v="0"/>
    <n v="0"/>
  </r>
  <r>
    <x v="13"/>
    <x v="13"/>
    <n v="0"/>
    <n v="0"/>
    <n v="0"/>
    <n v="0"/>
    <n v="0"/>
    <n v="0"/>
    <n v="0"/>
    <n v="0"/>
    <n v="0"/>
    <n v="0"/>
    <n v="0"/>
    <n v="0"/>
    <n v="0"/>
    <n v="0"/>
    <n v="0"/>
    <n v="760"/>
    <n v="0.10857142857142854"/>
    <n v="0"/>
    <n v="0"/>
    <n v="0"/>
    <n v="0"/>
    <n v="0"/>
    <n v="0"/>
    <n v="0"/>
    <n v="0"/>
    <n v="0"/>
    <n v="0"/>
    <n v="0"/>
    <n v="0"/>
    <n v="1"/>
    <n v="1"/>
    <n v="0"/>
    <n v="0"/>
    <n v="0"/>
    <n v="0"/>
    <n v="0"/>
    <n v="0"/>
    <n v="0"/>
    <n v="0"/>
    <n v="0"/>
    <n v="2.5"/>
    <n v="0"/>
    <n v="0"/>
    <n v="0"/>
    <n v="0"/>
    <n v="0"/>
    <n v="0"/>
    <n v="0"/>
    <n v="0"/>
    <n v="0"/>
    <n v="0"/>
    <n v="0"/>
    <n v="0"/>
    <n v="0"/>
    <n v="0"/>
    <n v="0"/>
    <n v="0"/>
    <n v="0"/>
  </r>
  <r>
    <x v="14"/>
    <x v="14"/>
    <n v="0"/>
    <n v="0"/>
    <n v="0"/>
    <n v="0"/>
    <n v="0"/>
    <n v="0"/>
    <n v="0"/>
    <n v="0"/>
    <n v="0"/>
    <n v="0"/>
    <n v="0"/>
    <n v="0"/>
    <n v="0"/>
    <n v="0"/>
    <n v="0"/>
    <n v="1360"/>
    <n v="0.57142857142857162"/>
    <n v="0"/>
    <n v="0"/>
    <n v="0"/>
    <n v="0"/>
    <n v="0"/>
    <n v="0"/>
    <n v="0"/>
    <n v="0"/>
    <n v="0"/>
    <n v="0"/>
    <n v="0"/>
    <n v="0"/>
    <n v="0"/>
    <n v="0"/>
    <n v="0"/>
    <n v="0"/>
    <n v="0"/>
    <n v="0"/>
    <n v="0"/>
    <n v="0"/>
    <n v="0"/>
    <n v="0"/>
    <n v="0"/>
    <n v="0"/>
    <n v="0"/>
    <n v="0"/>
    <n v="0"/>
    <n v="0"/>
    <n v="0"/>
    <n v="0"/>
    <n v="0"/>
    <n v="0"/>
    <n v="0"/>
    <n v="0"/>
    <n v="0"/>
    <n v="0"/>
    <n v="0"/>
    <n v="0"/>
    <n v="1"/>
    <n v="0"/>
    <n v="0"/>
  </r>
  <r>
    <x v="15"/>
    <x v="15"/>
    <n v="0"/>
    <n v="0"/>
    <n v="0"/>
    <n v="0"/>
    <n v="0"/>
    <n v="0"/>
    <n v="0"/>
    <n v="0"/>
    <n v="0"/>
    <n v="0"/>
    <n v="0"/>
    <n v="0"/>
    <n v="0"/>
    <n v="0"/>
    <n v="0"/>
    <n v="0"/>
    <n v="0.13419913419913421"/>
    <n v="0"/>
    <n v="0.10101010101010101"/>
    <n v="0"/>
    <n v="0"/>
    <n v="0"/>
    <n v="0"/>
    <n v="0"/>
    <n v="0"/>
    <n v="0"/>
    <n v="0"/>
    <n v="0"/>
    <n v="0.40404040404040398"/>
    <n v="0.70707070707070707"/>
    <n v="0.70707070707070707"/>
    <n v="0"/>
    <n v="0"/>
    <n v="0"/>
    <n v="0"/>
    <n v="0"/>
    <n v="0"/>
    <n v="0"/>
    <n v="0"/>
    <n v="0"/>
    <n v="5"/>
    <n v="0"/>
    <n v="0"/>
    <n v="0"/>
    <n v="0"/>
    <n v="0"/>
    <n v="0"/>
    <n v="0"/>
    <n v="0"/>
    <n v="0"/>
    <n v="0"/>
    <n v="0"/>
    <n v="0"/>
    <n v="0"/>
    <n v="0"/>
    <n v="0"/>
    <n v="0"/>
    <n v="0"/>
  </r>
  <r>
    <x v="16"/>
    <x v="16"/>
    <n v="0"/>
    <n v="0"/>
    <n v="0"/>
    <n v="0"/>
    <n v="0"/>
    <n v="0"/>
    <n v="0"/>
    <n v="0"/>
    <n v="0"/>
    <n v="0"/>
    <n v="0"/>
    <n v="-100"/>
    <n v="-300"/>
    <n v="-200"/>
    <n v="-100"/>
    <n v="0"/>
    <n v="0"/>
    <n v="0"/>
    <n v="0"/>
    <n v="0"/>
    <n v="0"/>
    <n v="0"/>
    <n v="0"/>
    <n v="0"/>
    <n v="0"/>
    <n v="0"/>
    <n v="0"/>
    <n v="0"/>
    <n v="0"/>
    <n v="0"/>
    <n v="0"/>
    <n v="0"/>
    <n v="0"/>
    <n v="0"/>
    <n v="0"/>
    <n v="0"/>
    <n v="0"/>
    <n v="0"/>
    <n v="2.5"/>
    <n v="0"/>
    <n v="2.5"/>
    <n v="6"/>
    <n v="0"/>
    <n v="0"/>
    <n v="0"/>
    <n v="0"/>
    <n v="0"/>
    <n v="0"/>
    <n v="0"/>
    <n v="0"/>
    <n v="0"/>
    <n v="0"/>
    <n v="0"/>
    <n v="0"/>
    <n v="0"/>
    <n v="0"/>
    <n v="0"/>
    <n v="0"/>
  </r>
  <r>
    <x v="17"/>
    <x v="17"/>
    <n v="0"/>
    <n v="0"/>
    <n v="0"/>
    <n v="0"/>
    <n v="0"/>
    <n v="0"/>
    <n v="0"/>
    <n v="0"/>
    <n v="0"/>
    <n v="0"/>
    <n v="0"/>
    <n v="0"/>
    <n v="0"/>
    <n v="0"/>
    <n v="0"/>
    <n v="0"/>
    <n v="1.0714285714285712"/>
    <n v="0"/>
    <n v="0"/>
    <n v="0"/>
    <n v="0"/>
    <n v="0"/>
    <n v="0"/>
    <n v="0"/>
    <n v="0"/>
    <n v="0"/>
    <n v="0"/>
    <n v="0"/>
    <n v="0"/>
    <n v="0"/>
    <n v="0"/>
    <n v="0"/>
    <n v="0"/>
    <n v="0"/>
    <n v="0"/>
    <n v="0"/>
    <n v="0"/>
    <n v="0"/>
    <n v="0"/>
    <n v="0"/>
    <n v="2.5"/>
    <n v="0"/>
    <n v="0"/>
    <n v="0"/>
    <n v="0"/>
    <n v="0"/>
    <n v="0"/>
    <n v="0"/>
    <n v="0"/>
    <n v="0"/>
    <n v="0"/>
    <n v="0"/>
    <n v="0"/>
    <n v="0"/>
    <n v="0"/>
    <n v="0"/>
    <n v="0"/>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x v="0"/>
    <n v="0"/>
    <n v="0"/>
    <n v="0"/>
    <n v="0"/>
    <n v="0"/>
    <n v="0"/>
    <n v="0"/>
    <n v="0"/>
    <n v="0"/>
    <n v="0"/>
    <n v="0"/>
    <n v="0"/>
    <n v="0"/>
    <n v="0"/>
    <n v="0"/>
    <n v="0"/>
    <n v="0"/>
    <n v="0"/>
    <n v="0.66666666666666652"/>
    <n v="0"/>
    <n v="0"/>
    <n v="0"/>
    <n v="0"/>
    <n v="0"/>
    <n v="0"/>
    <n v="0"/>
    <n v="0"/>
    <n v="0"/>
    <n v="0"/>
    <n v="2"/>
    <n v="2.4"/>
    <n v="0"/>
    <n v="0"/>
    <n v="0"/>
    <n v="0"/>
    <n v="0"/>
    <n v="0"/>
    <n v="0"/>
    <n v="0"/>
    <n v="0"/>
    <n v="0"/>
    <n v="0"/>
    <n v="0"/>
    <n v="0"/>
    <n v="0"/>
    <n v="0"/>
    <n v="0"/>
    <n v="0"/>
    <n v="0"/>
    <n v="0"/>
    <n v="0"/>
    <n v="0"/>
    <n v="0"/>
    <n v="0"/>
    <n v="0"/>
    <n v="0"/>
    <n v="0"/>
    <n v="0"/>
  </r>
  <r>
    <x v="1"/>
    <x v="1"/>
    <n v="0"/>
    <n v="0"/>
    <n v="0"/>
    <n v="0"/>
    <n v="0"/>
    <n v="0"/>
    <n v="0"/>
    <n v="0"/>
    <n v="0"/>
    <n v="0"/>
    <n v="0"/>
    <n v="0"/>
    <n v="0"/>
    <n v="0"/>
    <n v="0"/>
    <n v="66"/>
    <n v="4.7142857142857153E-2"/>
    <n v="0"/>
    <n v="7.5"/>
    <n v="0"/>
    <n v="0"/>
    <n v="0"/>
    <n v="0"/>
    <n v="0"/>
    <n v="0"/>
    <n v="0"/>
    <n v="0"/>
    <n v="0"/>
    <n v="0"/>
    <n v="1"/>
    <n v="1"/>
    <n v="0"/>
    <n v="0"/>
    <n v="0"/>
    <n v="0"/>
    <n v="0"/>
    <n v="0"/>
    <n v="0"/>
    <n v="0"/>
    <n v="0"/>
    <n v="0"/>
    <n v="0"/>
    <n v="0"/>
    <n v="0"/>
    <n v="0"/>
    <n v="0"/>
    <n v="0"/>
    <n v="0"/>
    <n v="0"/>
    <n v="0"/>
    <n v="0"/>
    <n v="0"/>
    <n v="0"/>
    <n v="0"/>
    <n v="0"/>
    <n v="0"/>
    <n v="0"/>
    <n v="0"/>
  </r>
  <r>
    <x v="2"/>
    <x v="2"/>
    <n v="0"/>
    <n v="0"/>
    <n v="0"/>
    <n v="0"/>
    <n v="0"/>
    <n v="0"/>
    <n v="0"/>
    <n v="0"/>
    <n v="0"/>
    <n v="0"/>
    <n v="0"/>
    <n v="0"/>
    <n v="0"/>
    <n v="0"/>
    <n v="0"/>
    <n v="4830"/>
    <n v="0"/>
    <n v="0"/>
    <n v="0"/>
    <n v="3"/>
    <n v="0"/>
    <n v="0"/>
    <n v="0"/>
    <n v="0"/>
    <n v="0"/>
    <n v="0"/>
    <n v="0"/>
    <n v="0"/>
    <n v="0"/>
    <n v="0"/>
    <n v="0"/>
    <n v="0"/>
    <n v="0"/>
    <n v="0"/>
    <n v="0"/>
    <n v="0"/>
    <n v="0"/>
    <n v="0"/>
    <n v="0"/>
    <n v="0.5"/>
    <n v="0"/>
    <n v="0"/>
    <n v="0"/>
    <n v="0"/>
    <n v="0"/>
    <n v="0"/>
    <n v="0"/>
    <n v="0"/>
    <n v="0"/>
    <n v="0"/>
    <n v="0"/>
    <n v="0"/>
    <n v="0"/>
    <n v="0"/>
    <n v="0"/>
    <n v="0"/>
    <n v="0"/>
    <n v="0"/>
  </r>
  <r>
    <x v="3"/>
    <x v="3"/>
    <n v="0"/>
    <n v="0"/>
    <n v="0"/>
    <n v="0"/>
    <n v="0"/>
    <n v="0"/>
    <n v="0"/>
    <n v="0"/>
    <n v="0"/>
    <n v="0"/>
    <n v="0"/>
    <n v="0"/>
    <n v="0"/>
    <n v="0"/>
    <n v="0"/>
    <n v="2000"/>
    <n v="0"/>
    <n v="0"/>
    <n v="0"/>
    <n v="0"/>
    <n v="0"/>
    <n v="0"/>
    <n v="0"/>
    <n v="0"/>
    <n v="0"/>
    <n v="0"/>
    <n v="0"/>
    <n v="0"/>
    <n v="0"/>
    <n v="0"/>
    <n v="0"/>
    <n v="0"/>
    <n v="0"/>
    <n v="0"/>
    <n v="0"/>
    <n v="0"/>
    <n v="0"/>
    <n v="0"/>
    <n v="0"/>
    <n v="0"/>
    <n v="0"/>
    <n v="0"/>
    <n v="0"/>
    <n v="0"/>
    <n v="0"/>
    <n v="0"/>
    <n v="0"/>
    <n v="0"/>
    <n v="0"/>
    <n v="0"/>
    <n v="0"/>
    <n v="0"/>
    <n v="0"/>
    <n v="4.5"/>
    <n v="0"/>
    <n v="0"/>
    <n v="0"/>
    <n v="0"/>
  </r>
  <r>
    <x v="4"/>
    <x v="4"/>
    <n v="0"/>
    <n v="0"/>
    <n v="0"/>
    <n v="0"/>
    <n v="0"/>
    <n v="0"/>
    <n v="0"/>
    <n v="0"/>
    <n v="0"/>
    <n v="0"/>
    <n v="0"/>
    <n v="0"/>
    <n v="0"/>
    <n v="0"/>
    <n v="0"/>
    <n v="0"/>
    <n v="0.628571428571429"/>
    <n v="0"/>
    <n v="2.6666666666666661"/>
    <n v="0"/>
    <n v="0"/>
    <n v="0"/>
    <n v="0"/>
    <n v="0"/>
    <n v="0"/>
    <n v="0"/>
    <n v="0"/>
    <n v="0"/>
    <n v="0"/>
    <n v="1"/>
    <n v="1"/>
    <n v="6.5"/>
    <n v="1"/>
    <n v="0"/>
    <n v="1.8149999999999999"/>
    <n v="1"/>
    <n v="1"/>
    <n v="9"/>
    <n v="2.5"/>
    <n v="0"/>
    <n v="0"/>
    <n v="0"/>
    <n v="0"/>
    <n v="0"/>
    <n v="0"/>
    <n v="0"/>
    <n v="0"/>
    <n v="0"/>
    <n v="0"/>
    <n v="0"/>
    <n v="0"/>
    <n v="0"/>
    <n v="0"/>
    <n v="0"/>
    <n v="0"/>
    <n v="0"/>
    <n v="0"/>
    <n v="0"/>
  </r>
  <r>
    <x v="5"/>
    <x v="5"/>
    <n v="0"/>
    <n v="0"/>
    <n v="0"/>
    <n v="0"/>
    <n v="0"/>
    <n v="0"/>
    <n v="0"/>
    <n v="0"/>
    <n v="0"/>
    <n v="0"/>
    <n v="0"/>
    <n v="0"/>
    <n v="0"/>
    <n v="0"/>
    <n v="0"/>
    <n v="0"/>
    <n v="0"/>
    <n v="0"/>
    <n v="0.5"/>
    <n v="0"/>
    <n v="0"/>
    <n v="0"/>
    <n v="0.5"/>
    <n v="0"/>
    <n v="0"/>
    <n v="0"/>
    <n v="0"/>
    <n v="0"/>
    <n v="0"/>
    <n v="1"/>
    <n v="1"/>
    <n v="0"/>
    <n v="0"/>
    <n v="0"/>
    <n v="0"/>
    <n v="0"/>
    <n v="0"/>
    <n v="0"/>
    <n v="0"/>
    <n v="0"/>
    <n v="0"/>
    <n v="0"/>
    <n v="0"/>
    <n v="0"/>
    <n v="0"/>
    <n v="0"/>
    <n v="0"/>
    <n v="0"/>
    <n v="2.5"/>
    <n v="0"/>
    <n v="0"/>
    <n v="0"/>
    <n v="0"/>
    <n v="0"/>
    <n v="0"/>
    <n v="0"/>
    <n v="0"/>
    <n v="0"/>
  </r>
  <r>
    <x v="6"/>
    <x v="6"/>
    <n v="0"/>
    <n v="0"/>
    <n v="0"/>
    <n v="0"/>
    <n v="0"/>
    <n v="0"/>
    <n v="0"/>
    <n v="0"/>
    <n v="0"/>
    <n v="0"/>
    <n v="0"/>
    <n v="0"/>
    <n v="0"/>
    <n v="0"/>
    <n v="0"/>
    <n v="1200"/>
    <n v="0.53571428571428559"/>
    <n v="0"/>
    <n v="6"/>
    <n v="0"/>
    <n v="0"/>
    <n v="0"/>
    <n v="0"/>
    <n v="0"/>
    <n v="0"/>
    <n v="0"/>
    <n v="0"/>
    <n v="0"/>
    <n v="0"/>
    <n v="5"/>
    <n v="7"/>
    <n v="0"/>
    <n v="0"/>
    <n v="0"/>
    <n v="0"/>
    <n v="0"/>
    <n v="0"/>
    <n v="0"/>
    <n v="0"/>
    <n v="0"/>
    <n v="0"/>
    <n v="0"/>
    <n v="0"/>
    <n v="0"/>
    <n v="0"/>
    <n v="0"/>
    <n v="0"/>
    <n v="0"/>
    <n v="0"/>
    <n v="0"/>
    <n v="0"/>
    <n v="0"/>
    <n v="0"/>
    <n v="0"/>
    <n v="0"/>
    <n v="0"/>
    <n v="0"/>
    <n v="0"/>
  </r>
  <r>
    <x v="7"/>
    <x v="7"/>
    <n v="0"/>
    <n v="0"/>
    <n v="0"/>
    <n v="0"/>
    <n v="0"/>
    <n v="0"/>
    <n v="0"/>
    <n v="0"/>
    <n v="0"/>
    <n v="0"/>
    <n v="0"/>
    <n v="0"/>
    <n v="0"/>
    <n v="0"/>
    <n v="0"/>
    <n v="0"/>
    <n v="0"/>
    <n v="0"/>
    <n v="0"/>
    <n v="0"/>
    <n v="0"/>
    <n v="0"/>
    <n v="0"/>
    <n v="0"/>
    <n v="0"/>
    <n v="0"/>
    <n v="0"/>
    <n v="0"/>
    <n v="0"/>
    <n v="0"/>
    <n v="0"/>
    <n v="0"/>
    <n v="0"/>
    <n v="0"/>
    <n v="0"/>
    <n v="0"/>
    <n v="0"/>
    <n v="0"/>
    <n v="0"/>
    <n v="0"/>
    <n v="0"/>
    <n v="4.25"/>
    <n v="0"/>
    <n v="0"/>
    <n v="0"/>
    <n v="0"/>
    <n v="0"/>
    <n v="0"/>
    <n v="0"/>
    <n v="0"/>
    <n v="0"/>
    <n v="0"/>
    <n v="0"/>
    <n v="0"/>
    <n v="0"/>
    <n v="0"/>
    <n v="0"/>
    <n v="0"/>
  </r>
  <r>
    <x v="8"/>
    <x v="8"/>
    <n v="0"/>
    <n v="0"/>
    <n v="0"/>
    <n v="0"/>
    <n v="0"/>
    <n v="0"/>
    <n v="0"/>
    <n v="0"/>
    <n v="0"/>
    <n v="0"/>
    <n v="0"/>
    <n v="0"/>
    <n v="0"/>
    <n v="0"/>
    <n v="0"/>
    <n v="0"/>
    <n v="0"/>
    <n v="0"/>
    <n v="0"/>
    <n v="0"/>
    <n v="0"/>
    <n v="0"/>
    <n v="3.5"/>
    <n v="0"/>
    <n v="0"/>
    <n v="0"/>
    <n v="0"/>
    <n v="0"/>
    <n v="0"/>
    <n v="0"/>
    <n v="0"/>
    <n v="0"/>
    <n v="0"/>
    <n v="0"/>
    <n v="0"/>
    <n v="0"/>
    <n v="0"/>
    <n v="0"/>
    <n v="0"/>
    <n v="0"/>
    <n v="0"/>
    <n v="4.5"/>
    <n v="0"/>
    <n v="0"/>
    <n v="0"/>
    <n v="0"/>
    <n v="0"/>
    <n v="0"/>
    <n v="0"/>
    <n v="0"/>
    <n v="0"/>
    <n v="0"/>
    <n v="0"/>
    <n v="0"/>
    <n v="0"/>
    <n v="0"/>
    <n v="0"/>
    <n v="0"/>
  </r>
  <r>
    <x v="9"/>
    <x v="9"/>
    <n v="0"/>
    <n v="0"/>
    <n v="0"/>
    <n v="0"/>
    <n v="0"/>
    <n v="0"/>
    <n v="0"/>
    <n v="0"/>
    <n v="0"/>
    <n v="0"/>
    <n v="0"/>
    <n v="0"/>
    <n v="0"/>
    <n v="0"/>
    <n v="0"/>
    <n v="1200"/>
    <n v="9.9999999999999645E-2"/>
    <n v="0"/>
    <n v="0"/>
    <n v="0"/>
    <n v="0"/>
    <n v="0"/>
    <n v="0"/>
    <n v="0"/>
    <n v="0"/>
    <n v="0"/>
    <n v="0"/>
    <n v="0"/>
    <n v="0"/>
    <n v="0"/>
    <n v="0"/>
    <n v="0"/>
    <n v="0"/>
    <n v="0"/>
    <n v="0"/>
    <n v="0"/>
    <n v="0"/>
    <n v="0"/>
    <n v="0"/>
    <n v="0"/>
    <n v="0"/>
    <n v="0"/>
    <n v="0"/>
    <n v="0"/>
    <n v="0"/>
    <n v="0"/>
    <n v="0"/>
    <n v="0"/>
    <n v="0"/>
    <n v="0"/>
    <n v="0"/>
    <n v="0"/>
    <n v="0"/>
    <n v="0"/>
    <n v="0"/>
    <n v="0"/>
    <n v="3"/>
    <n v="0"/>
  </r>
  <r>
    <x v="10"/>
    <x v="10"/>
    <n v="0"/>
    <n v="0"/>
    <n v="0"/>
    <n v="0"/>
    <n v="0"/>
    <n v="0"/>
    <n v="0"/>
    <n v="0"/>
    <n v="0"/>
    <n v="0"/>
    <n v="0"/>
    <n v="0"/>
    <n v="0"/>
    <n v="0"/>
    <n v="0"/>
    <n v="0"/>
    <n v="1.1714285714285717"/>
    <n v="0"/>
    <n v="0"/>
    <n v="0"/>
    <n v="0"/>
    <n v="0"/>
    <n v="0"/>
    <n v="0"/>
    <n v="0"/>
    <n v="0"/>
    <n v="0"/>
    <n v="0"/>
    <n v="0"/>
    <n v="0"/>
    <n v="0"/>
    <n v="0"/>
    <n v="0"/>
    <n v="0"/>
    <n v="0"/>
    <n v="0"/>
    <n v="0"/>
    <n v="0"/>
    <n v="0"/>
    <n v="0"/>
    <n v="0"/>
    <n v="0"/>
    <n v="0"/>
    <n v="0"/>
    <n v="0"/>
    <n v="0"/>
    <n v="0"/>
    <n v="0"/>
    <n v="0"/>
    <n v="0"/>
    <n v="0"/>
    <n v="0"/>
    <n v="0"/>
    <n v="0"/>
    <n v="0"/>
    <n v="0"/>
    <n v="0"/>
    <n v="0"/>
  </r>
  <r>
    <x v="11"/>
    <x v="11"/>
    <n v="0"/>
    <n v="0"/>
    <n v="0"/>
    <n v="0"/>
    <n v="0"/>
    <n v="0"/>
    <n v="0"/>
    <n v="0"/>
    <n v="0"/>
    <n v="0"/>
    <n v="0"/>
    <n v="0"/>
    <n v="0"/>
    <n v="0"/>
    <n v="0"/>
    <n v="0"/>
    <n v="0"/>
    <n v="0"/>
    <n v="0"/>
    <n v="0"/>
    <n v="0"/>
    <n v="0"/>
    <n v="0"/>
    <n v="0"/>
    <n v="0"/>
    <n v="0"/>
    <n v="0"/>
    <n v="0"/>
    <n v="1.333333333333333"/>
    <n v="0"/>
    <n v="0"/>
    <n v="0"/>
    <n v="0"/>
    <n v="0"/>
    <n v="0"/>
    <n v="0"/>
    <n v="0"/>
    <n v="0"/>
    <n v="0"/>
    <n v="0"/>
    <n v="0"/>
    <n v="0"/>
    <n v="0"/>
    <n v="0"/>
    <n v="0"/>
    <n v="0"/>
    <n v="0"/>
    <n v="0"/>
    <n v="0"/>
    <n v="0"/>
    <n v="0"/>
    <n v="0"/>
    <n v="0"/>
    <n v="0"/>
    <n v="0"/>
    <n v="0"/>
    <n v="0"/>
    <n v="0"/>
  </r>
  <r>
    <x v="12"/>
    <x v="12"/>
    <n v="0"/>
    <n v="0"/>
    <n v="0"/>
    <n v="0"/>
    <n v="0"/>
    <n v="2"/>
    <n v="1"/>
    <n v="0.5"/>
    <n v="0"/>
    <n v="0"/>
    <n v="0"/>
    <n v="0"/>
    <n v="0"/>
    <n v="0"/>
    <n v="0"/>
    <n v="0"/>
    <n v="0.4375"/>
    <n v="0"/>
    <n v="0"/>
    <n v="0"/>
    <n v="0"/>
    <n v="0"/>
    <n v="0"/>
    <n v="0"/>
    <n v="0"/>
    <n v="0"/>
    <n v="0"/>
    <n v="0"/>
    <n v="0"/>
    <n v="0"/>
    <n v="0"/>
    <n v="0"/>
    <n v="0"/>
    <n v="0"/>
    <n v="0"/>
    <n v="0"/>
    <n v="0"/>
    <n v="0"/>
    <n v="0"/>
    <n v="0"/>
    <n v="0"/>
    <n v="0"/>
    <n v="0"/>
    <n v="0"/>
    <n v="0"/>
    <n v="0"/>
    <n v="0"/>
    <n v="0"/>
    <n v="0"/>
    <n v="0"/>
    <n v="0"/>
    <n v="0"/>
    <n v="0"/>
    <n v="0"/>
    <n v="0"/>
    <n v="0"/>
    <n v="0"/>
    <n v="0"/>
  </r>
  <r>
    <x v="13"/>
    <x v="13"/>
    <n v="0"/>
    <n v="0"/>
    <n v="0"/>
    <n v="0"/>
    <n v="0"/>
    <n v="0"/>
    <n v="0"/>
    <n v="0"/>
    <n v="0"/>
    <n v="0"/>
    <n v="0"/>
    <n v="0"/>
    <n v="0"/>
    <n v="0"/>
    <n v="0"/>
    <n v="2500"/>
    <n v="0"/>
    <n v="0"/>
    <n v="0"/>
    <n v="0"/>
    <n v="0"/>
    <n v="0"/>
    <n v="0"/>
    <n v="0"/>
    <n v="0"/>
    <n v="0"/>
    <n v="0"/>
    <n v="0"/>
    <n v="0"/>
    <n v="0"/>
    <n v="0"/>
    <n v="0"/>
    <n v="0"/>
    <n v="0"/>
    <n v="0"/>
    <n v="0"/>
    <n v="0"/>
    <n v="0"/>
    <n v="0"/>
    <n v="0"/>
    <n v="0"/>
    <n v="0"/>
    <n v="0"/>
    <n v="0"/>
    <n v="0"/>
    <n v="0"/>
    <n v="0"/>
    <n v="0"/>
    <n v="0"/>
    <n v="0"/>
    <n v="0"/>
    <n v="0"/>
    <n v="0"/>
    <n v="0"/>
    <n v="0"/>
    <n v="0"/>
    <n v="0"/>
    <n v="0"/>
  </r>
  <r>
    <x v="14"/>
    <x v="14"/>
    <n v="0"/>
    <n v="0"/>
    <n v="0"/>
    <n v="0"/>
    <n v="0.66666666666666652"/>
    <n v="0.33333333333333326"/>
    <n v="0.66666666666666652"/>
    <n v="0.33333333333333326"/>
    <n v="0.33333333333333326"/>
    <n v="0"/>
    <n v="0"/>
    <n v="0"/>
    <n v="0"/>
    <n v="0"/>
    <n v="0"/>
    <n v="0"/>
    <n v="0"/>
    <n v="0"/>
    <n v="0"/>
    <n v="0"/>
    <n v="0"/>
    <n v="0"/>
    <n v="0"/>
    <n v="0"/>
    <n v="0"/>
    <n v="0"/>
    <n v="0"/>
    <n v="0"/>
    <n v="0"/>
    <n v="0"/>
    <n v="0"/>
    <n v="0"/>
    <n v="0"/>
    <n v="0"/>
    <n v="0"/>
    <n v="0"/>
    <n v="0"/>
    <n v="0"/>
    <n v="0"/>
    <n v="0"/>
    <n v="0"/>
    <n v="0"/>
    <n v="0"/>
    <n v="0"/>
    <n v="0"/>
    <n v="0"/>
    <n v="0"/>
    <n v="0"/>
    <n v="0"/>
    <n v="0"/>
    <n v="0"/>
    <n v="0"/>
    <n v="0"/>
    <n v="0"/>
    <n v="0"/>
    <n v="0"/>
    <n v="0"/>
    <n v="0"/>
  </r>
  <r>
    <x v="15"/>
    <x v="15"/>
    <n v="0"/>
    <n v="0"/>
    <n v="0"/>
    <n v="0"/>
    <n v="0"/>
    <n v="0"/>
    <n v="0"/>
    <n v="0"/>
    <n v="0"/>
    <n v="0"/>
    <n v="0"/>
    <n v="0"/>
    <n v="0"/>
    <n v="0"/>
    <n v="0"/>
    <n v="2000"/>
    <n v="0"/>
    <n v="0"/>
    <n v="0"/>
    <n v="0"/>
    <n v="0"/>
    <n v="0"/>
    <n v="0"/>
    <n v="0"/>
    <n v="0"/>
    <n v="0"/>
    <n v="0"/>
    <n v="0"/>
    <n v="0"/>
    <n v="0"/>
    <n v="0"/>
    <n v="0"/>
    <n v="0"/>
    <n v="0"/>
    <n v="0"/>
    <n v="0"/>
    <n v="0"/>
    <n v="0"/>
    <n v="0"/>
    <n v="0"/>
    <n v="0"/>
    <n v="0"/>
    <n v="0"/>
    <n v="0"/>
    <n v="0"/>
    <n v="0"/>
    <n v="0"/>
    <n v="0"/>
    <n v="0"/>
    <n v="0"/>
    <n v="0"/>
    <n v="1.8888888888888884"/>
    <n v="0"/>
    <n v="0"/>
    <n v="0"/>
    <n v="0"/>
    <n v="0"/>
    <n v="0"/>
  </r>
  <r>
    <x v="16"/>
    <x v="16"/>
    <n v="0"/>
    <n v="0"/>
    <n v="0"/>
    <n v="0"/>
    <n v="0"/>
    <n v="0"/>
    <n v="0"/>
    <n v="0"/>
    <n v="0"/>
    <n v="0"/>
    <n v="0"/>
    <n v="0"/>
    <n v="0"/>
    <n v="0"/>
    <n v="0"/>
    <n v="0"/>
    <n v="0"/>
    <n v="0"/>
    <n v="2"/>
    <n v="0"/>
    <n v="0"/>
    <n v="0"/>
    <n v="0"/>
    <n v="0"/>
    <n v="0"/>
    <n v="0"/>
    <n v="0"/>
    <n v="0"/>
    <n v="0"/>
    <n v="1"/>
    <n v="1"/>
    <n v="1"/>
    <n v="1"/>
    <n v="0"/>
    <n v="0"/>
    <n v="0"/>
    <n v="0"/>
    <n v="0"/>
    <n v="0"/>
    <n v="0"/>
    <n v="0"/>
    <n v="0"/>
    <n v="0"/>
    <n v="0"/>
    <n v="0"/>
    <n v="0"/>
    <n v="0"/>
    <n v="0"/>
    <n v="0"/>
    <n v="0"/>
    <n v="0"/>
    <n v="0"/>
    <n v="0"/>
    <n v="0"/>
    <n v="0"/>
    <n v="0"/>
    <n v="0"/>
    <n v="0"/>
  </r>
  <r>
    <x v="17"/>
    <x v="17"/>
    <n v="0"/>
    <n v="0"/>
    <n v="0"/>
    <n v="0"/>
    <n v="0"/>
    <n v="0"/>
    <n v="0"/>
    <n v="0"/>
    <n v="0"/>
    <n v="0"/>
    <n v="0"/>
    <n v="0"/>
    <n v="0"/>
    <n v="0"/>
    <n v="0"/>
    <n v="0"/>
    <n v="0.71428571428571441"/>
    <n v="0"/>
    <n v="6.333333333333333"/>
    <n v="0"/>
    <n v="0"/>
    <n v="0"/>
    <n v="0"/>
    <n v="0"/>
    <n v="0"/>
    <n v="0"/>
    <n v="0"/>
    <n v="0"/>
    <n v="0"/>
    <n v="5"/>
    <n v="5"/>
    <n v="0"/>
    <n v="0"/>
    <n v="0"/>
    <n v="0"/>
    <n v="0"/>
    <n v="0"/>
    <n v="0"/>
    <n v="0"/>
    <n v="0"/>
    <n v="0"/>
    <n v="0"/>
    <n v="0"/>
    <n v="0"/>
    <n v="0"/>
    <n v="0"/>
    <n v="0"/>
    <n v="0"/>
    <n v="0"/>
    <n v="0"/>
    <n v="0"/>
    <n v="0"/>
    <n v="0"/>
    <n v="0"/>
    <n v="0"/>
    <n v="0"/>
    <n v="0"/>
    <n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x v="0"/>
    <n v="5"/>
    <n v="3.4"/>
    <n v="1600"/>
    <n v="2.5"/>
    <n v="3"/>
    <n v="3"/>
    <n v="2.5"/>
    <n v="1.5"/>
    <n v="0.5"/>
    <n v="1"/>
    <n v="3600"/>
    <n v="3600"/>
    <n v="3600"/>
    <n v="3600"/>
    <n v="1800"/>
    <n v="0"/>
    <n v="3.5714285714285716"/>
    <n v="10"/>
    <n v="3.3333333333333335"/>
    <n v="2"/>
    <n v="1"/>
    <n v="0"/>
    <n v="1"/>
    <n v="0"/>
    <n v="6"/>
    <n v="1"/>
    <n v="1"/>
    <n v="0"/>
    <n v="5"/>
    <n v="0"/>
    <n v="0"/>
    <n v="0"/>
    <n v="0"/>
    <n v="0"/>
    <n v="0"/>
    <n v="0"/>
    <n v="0"/>
    <n v="0"/>
    <n v="0"/>
    <n v="0"/>
    <n v="0"/>
    <n v="0"/>
    <n v="0"/>
    <n v="0"/>
    <n v="0"/>
    <n v="0"/>
    <n v="0"/>
    <n v="0"/>
    <n v="0"/>
    <n v="0"/>
    <n v="0"/>
    <n v="0"/>
    <n v="0"/>
    <n v="1"/>
    <n v="0"/>
    <n v="1"/>
    <n v="3"/>
    <n v="0"/>
    <n v="15600"/>
    <n v="15600"/>
    <n v="15600"/>
    <n v="15600"/>
    <n v="14496"/>
    <n v="9170.9090909090901"/>
    <n v="4744.6153846153848"/>
    <n v="1498.6666666666667"/>
    <m/>
    <n v="12942.857142857143"/>
    <n v="8188.3116883116882"/>
    <n v="4236.2637362637361"/>
    <n v="3746.666666666667"/>
    <m/>
    <n v="0"/>
    <n v="0"/>
    <n v="0"/>
    <n v="0"/>
    <m/>
    <n v="2.8571428571428572"/>
    <n v="5.8091341991341983"/>
    <n v="0.80872497872497873"/>
    <n v="1.8"/>
    <n v="0"/>
    <n v="0"/>
    <n v="1.1111111111111112"/>
    <m/>
  </r>
  <r>
    <x v="1"/>
    <x v="1"/>
    <n v="3"/>
    <n v="3"/>
    <n v="4000"/>
    <n v="1.65"/>
    <n v="1"/>
    <n v="1"/>
    <n v="0.7"/>
    <n v="0.4"/>
    <n v="0.2"/>
    <n v="0"/>
    <n v="2000"/>
    <n v="2000"/>
    <n v="2000"/>
    <n v="2000"/>
    <n v="1000"/>
    <n v="0"/>
    <n v="4.4285714285714288"/>
    <n v="9"/>
    <n v="0"/>
    <n v="0"/>
    <n v="0"/>
    <n v="3.25"/>
    <n v="0"/>
    <n v="1"/>
    <n v="7"/>
    <n v="0"/>
    <n v="0"/>
    <n v="0"/>
    <n v="9"/>
    <n v="0"/>
    <n v="0"/>
    <n v="0"/>
    <n v="0"/>
    <n v="0"/>
    <n v="0"/>
    <n v="0"/>
    <n v="0"/>
    <n v="0"/>
    <n v="0"/>
    <n v="0"/>
    <n v="0"/>
    <n v="0"/>
    <n v="0"/>
    <n v="0"/>
    <n v="0"/>
    <n v="0"/>
    <n v="0"/>
    <n v="0"/>
    <n v="0"/>
    <n v="4"/>
    <n v="0"/>
    <n v="0"/>
    <n v="0"/>
    <n v="0"/>
    <n v="0"/>
    <n v="0"/>
    <n v="5"/>
    <n v="0"/>
    <n v="8600"/>
    <n v="8600"/>
    <n v="8600"/>
    <n v="8600"/>
    <n v="6160"/>
    <n v="3777.3584905660373"/>
    <n v="2042.8571428571429"/>
    <n v="986.20689655172418"/>
    <m/>
    <n v="6820"/>
    <n v="4182.0754716981128"/>
    <n v="2261.7346938775513"/>
    <n v="2218.9655172413795"/>
    <m/>
    <n v="0"/>
    <n v="0"/>
    <n v="0"/>
    <n v="0"/>
    <m/>
    <n v="4.4761904761904763"/>
    <n v="5.1286406109613658"/>
    <n v="3.6800771023004732"/>
    <n v="0"/>
    <n v="0"/>
    <n v="0"/>
    <n v="0"/>
    <m/>
  </r>
  <r>
    <x v="2"/>
    <x v="2"/>
    <n v="16"/>
    <n v="2.25"/>
    <n v="600"/>
    <n v="3.3"/>
    <n v="5"/>
    <n v="5"/>
    <n v="4"/>
    <n v="2.5"/>
    <n v="1.5"/>
    <n v="10"/>
    <n v="8640"/>
    <n v="8640"/>
    <n v="8640"/>
    <n v="8640"/>
    <n v="4320"/>
    <n v="0"/>
    <n v="4.2857142857142856"/>
    <n v="8"/>
    <n v="0"/>
    <n v="3"/>
    <n v="0"/>
    <n v="0"/>
    <n v="0"/>
    <n v="0"/>
    <n v="6"/>
    <n v="0"/>
    <n v="0"/>
    <n v="0"/>
    <n v="5"/>
    <n v="0"/>
    <n v="0"/>
    <n v="0"/>
    <n v="0"/>
    <n v="0"/>
    <n v="0"/>
    <n v="0"/>
    <n v="0"/>
    <n v="0"/>
    <n v="0"/>
    <n v="3"/>
    <n v="0"/>
    <n v="0"/>
    <n v="0"/>
    <n v="0"/>
    <n v="0"/>
    <n v="0"/>
    <n v="0"/>
    <n v="0"/>
    <n v="0"/>
    <n v="0"/>
    <n v="0"/>
    <n v="0"/>
    <n v="0"/>
    <n v="0"/>
    <n v="0"/>
    <n v="0"/>
    <n v="6"/>
    <n v="0"/>
    <n v="18540"/>
    <n v="18540"/>
    <n v="18540"/>
    <n v="18540"/>
    <n v="19368"/>
    <n v="9456"/>
    <n v="5268"/>
    <n v="3297.1764705882351"/>
    <m/>
    <n v="20751.428571428572"/>
    <n v="10131.428571428571"/>
    <n v="5644.2857142857147"/>
    <n v="6594.3529411764703"/>
    <m/>
    <n v="0"/>
    <n v="0"/>
    <n v="0"/>
    <n v="0"/>
    <m/>
    <n v="3.0952380952380949"/>
    <n v="6.2484761904761914"/>
    <n v="1.1978193277310925"/>
    <n v="0"/>
    <n v="0"/>
    <n v="0"/>
    <n v="3.3333333333333335"/>
    <m/>
  </r>
  <r>
    <x v="3"/>
    <x v="3"/>
    <n v="8"/>
    <n v="3.25"/>
    <n v="980"/>
    <n v="2.15"/>
    <n v="3"/>
    <n v="4"/>
    <n v="2"/>
    <n v="1.5"/>
    <n v="0.5"/>
    <n v="2.5"/>
    <n v="4000"/>
    <n v="4000"/>
    <n v="4000"/>
    <n v="4000"/>
    <n v="2000"/>
    <n v="0"/>
    <n v="4.2857142857142856"/>
    <n v="7"/>
    <n v="0"/>
    <n v="4"/>
    <n v="3"/>
    <n v="6.25"/>
    <n v="0"/>
    <n v="0"/>
    <n v="6"/>
    <n v="0"/>
    <n v="0"/>
    <n v="0"/>
    <n v="5"/>
    <n v="0"/>
    <n v="0"/>
    <n v="0"/>
    <n v="0"/>
    <n v="0"/>
    <n v="0"/>
    <n v="0"/>
    <n v="0"/>
    <n v="0"/>
    <n v="0"/>
    <n v="4"/>
    <n v="0"/>
    <n v="0"/>
    <n v="0"/>
    <n v="0"/>
    <n v="0"/>
    <n v="0"/>
    <n v="0"/>
    <n v="0"/>
    <n v="0"/>
    <n v="0"/>
    <n v="0"/>
    <n v="6.666666666666667"/>
    <n v="0"/>
    <n v="0"/>
    <n v="0"/>
    <n v="0"/>
    <n v="7"/>
    <n v="0"/>
    <n v="10321"/>
    <n v="10321"/>
    <n v="10321"/>
    <n v="10321"/>
    <n v="13978"/>
    <n v="3942.6666666666665"/>
    <n v="2825.6923076923076"/>
    <n v="1038.5333333333333"/>
    <m/>
    <n v="14976.428571428571"/>
    <n v="4224.2857142857138"/>
    <n v="3027.5274725274721"/>
    <n v="1817.4333333333334"/>
    <m/>
    <n v="0"/>
    <n v="0"/>
    <n v="0"/>
    <n v="0"/>
    <m/>
    <n v="3.0952380952380949"/>
    <n v="5.8590714285714283"/>
    <n v="6.9179354192104192"/>
    <n v="2.4"/>
    <n v="0"/>
    <n v="0"/>
    <n v="4.4444444444444446"/>
    <m/>
  </r>
  <r>
    <x v="4"/>
    <x v="4"/>
    <n v="9"/>
    <n v="3.4444444444444446"/>
    <n v="960"/>
    <n v="2.5"/>
    <n v="4"/>
    <n v="4"/>
    <n v="3.2"/>
    <n v="2.4"/>
    <n v="1.6"/>
    <n v="0"/>
    <n v="0"/>
    <n v="0"/>
    <n v="0"/>
    <n v="0"/>
    <n v="0"/>
    <n v="0"/>
    <n v="4.7142857142857144"/>
    <n v="7"/>
    <n v="6"/>
    <n v="3"/>
    <n v="0"/>
    <n v="0"/>
    <n v="0"/>
    <n v="0"/>
    <n v="6"/>
    <n v="0"/>
    <n v="0"/>
    <n v="0"/>
    <n v="9"/>
    <n v="7"/>
    <n v="7"/>
    <n v="0"/>
    <n v="0"/>
    <n v="0"/>
    <n v="0"/>
    <n v="0"/>
    <n v="0"/>
    <n v="0"/>
    <n v="0"/>
    <n v="0"/>
    <n v="0"/>
    <n v="0"/>
    <n v="0"/>
    <n v="0"/>
    <n v="0"/>
    <n v="0"/>
    <n v="0"/>
    <n v="0"/>
    <n v="0"/>
    <n v="0"/>
    <n v="0"/>
    <n v="0"/>
    <n v="0"/>
    <n v="0"/>
    <n v="0"/>
    <n v="0"/>
    <n v="6"/>
    <n v="0"/>
    <n v="9600"/>
    <n v="9600"/>
    <n v="9600"/>
    <n v="9600"/>
    <n v="7680"/>
    <n v="5296.5517241379312"/>
    <n v="3490.909090909091"/>
    <n v="2075.6756756756754"/>
    <m/>
    <n v="9051.4285714285725"/>
    <n v="6242.3645320197047"/>
    <n v="4114.2857142857138"/>
    <n v="3632.4324324324321"/>
    <m/>
    <n v="31680.000000000004"/>
    <n v="21848.275862068967"/>
    <n v="14399.999999999998"/>
    <n v="12713.513513513511"/>
    <m/>
    <n v="9.238095238095239"/>
    <n v="5.6907454844006562"/>
    <n v="0.64001420139351184"/>
    <n v="0"/>
    <n v="0"/>
    <n v="0"/>
    <n v="1.3333333333333333"/>
    <m/>
  </r>
  <r>
    <x v="5"/>
    <x v="5"/>
    <n v="15"/>
    <n v="4"/>
    <n v="600"/>
    <n v="3.3"/>
    <n v="4"/>
    <n v="5"/>
    <n v="4"/>
    <n v="3"/>
    <n v="0"/>
    <n v="3"/>
    <n v="1200"/>
    <n v="1200"/>
    <n v="1200"/>
    <n v="1200"/>
    <n v="1200"/>
    <n v="0"/>
    <n v="5.7142857142857144"/>
    <n v="7"/>
    <n v="5"/>
    <n v="5"/>
    <n v="3"/>
    <n v="0"/>
    <n v="10"/>
    <n v="0"/>
    <n v="6"/>
    <n v="0"/>
    <n v="0"/>
    <n v="0"/>
    <n v="5"/>
    <n v="0"/>
    <n v="0"/>
    <n v="0"/>
    <n v="0"/>
    <n v="0"/>
    <n v="0"/>
    <n v="0"/>
    <n v="0"/>
    <n v="0"/>
    <n v="0"/>
    <n v="1"/>
    <n v="0"/>
    <n v="0"/>
    <n v="0"/>
    <n v="0"/>
    <n v="0"/>
    <n v="0"/>
    <n v="0"/>
    <n v="0"/>
    <n v="0"/>
    <n v="0"/>
    <n v="0"/>
    <n v="0"/>
    <n v="0"/>
    <n v="1"/>
    <n v="0"/>
    <n v="10"/>
    <n v="7"/>
    <n v="0"/>
    <n v="9120"/>
    <n v="9120"/>
    <n v="9120"/>
    <n v="9120"/>
    <n v="11460"/>
    <n v="6336"/>
    <n v="3959.9999999999995"/>
    <n v="0"/>
    <m/>
    <n v="16371.428571428572"/>
    <n v="9051.4285714285725"/>
    <n v="5657.1428571428569"/>
    <n v="0"/>
    <m/>
    <n v="0"/>
    <n v="0"/>
    <n v="0"/>
    <n v="0"/>
    <m/>
    <n v="3.5714285714285716"/>
    <n v="7.0950476190476195"/>
    <n v="0.86333333333333329"/>
    <n v="1.44"/>
    <n v="0"/>
    <n v="0"/>
    <n v="3.1111111111111112"/>
    <m/>
  </r>
  <r>
    <x v="6"/>
    <x v="6"/>
    <n v="10"/>
    <n v="3.4"/>
    <n v="600"/>
    <n v="2.5"/>
    <n v="4"/>
    <n v="5"/>
    <n v="4"/>
    <n v="2"/>
    <n v="0"/>
    <n v="2"/>
    <n v="5760"/>
    <n v="5760"/>
    <n v="5760"/>
    <n v="0"/>
    <n v="3840"/>
    <n v="0"/>
    <n v="5.5714285714285712"/>
    <n v="6"/>
    <n v="0"/>
    <n v="4"/>
    <n v="0"/>
    <n v="0"/>
    <n v="3"/>
    <n v="0"/>
    <n v="5"/>
    <n v="5"/>
    <n v="5"/>
    <n v="0"/>
    <n v="7"/>
    <n v="0"/>
    <n v="0"/>
    <n v="0"/>
    <n v="0"/>
    <n v="0"/>
    <n v="0"/>
    <n v="0"/>
    <n v="0"/>
    <n v="0"/>
    <n v="0"/>
    <n v="2"/>
    <n v="0"/>
    <n v="0"/>
    <n v="0"/>
    <n v="0"/>
    <n v="0"/>
    <n v="0"/>
    <n v="0"/>
    <n v="0"/>
    <n v="0"/>
    <n v="0"/>
    <n v="0"/>
    <n v="0"/>
    <n v="0"/>
    <n v="2"/>
    <n v="0"/>
    <n v="3"/>
    <n v="7"/>
    <n v="0"/>
    <n v="11760"/>
    <n v="11760"/>
    <n v="11760"/>
    <n v="6000"/>
    <n v="15852"/>
    <n v="6643.2"/>
    <n v="2482.2857142857142"/>
    <n v="-341.33333333333331"/>
    <m/>
    <n v="22079.571428571428"/>
    <n v="9253.028571428571"/>
    <n v="3457.4693877551017"/>
    <n v="-512"/>
    <m/>
    <n v="0"/>
    <n v="0"/>
    <n v="0"/>
    <n v="0"/>
    <m/>
    <n v="4.1904761904761907"/>
    <n v="6.6825152380952373"/>
    <n v="0.95216859410430832"/>
    <n v="0"/>
    <n v="0"/>
    <n v="0"/>
    <n v="3.5555555555555554"/>
    <m/>
  </r>
  <r>
    <x v="7"/>
    <x v="7"/>
    <n v="4"/>
    <n v="2.5"/>
    <n v="1520"/>
    <n v="2.5"/>
    <n v="1"/>
    <n v="1"/>
    <n v="1"/>
    <n v="1"/>
    <n v="0"/>
    <n v="0"/>
    <n v="0"/>
    <n v="0"/>
    <n v="0"/>
    <n v="0"/>
    <n v="0"/>
    <n v="0"/>
    <n v="5.7142857142857144"/>
    <n v="6"/>
    <n v="0"/>
    <n v="7"/>
    <n v="0"/>
    <n v="0"/>
    <n v="0"/>
    <n v="0"/>
    <n v="6"/>
    <n v="0"/>
    <n v="0"/>
    <n v="0"/>
    <n v="5"/>
    <n v="0"/>
    <n v="0"/>
    <n v="0"/>
    <n v="0"/>
    <n v="0"/>
    <n v="0"/>
    <n v="0"/>
    <n v="0"/>
    <n v="0"/>
    <n v="0"/>
    <n v="0"/>
    <n v="0"/>
    <n v="7.5"/>
    <n v="0"/>
    <n v="0"/>
    <n v="0"/>
    <n v="0"/>
    <n v="0"/>
    <n v="0"/>
    <n v="0"/>
    <n v="0"/>
    <n v="0"/>
    <n v="0"/>
    <n v="0"/>
    <n v="0"/>
    <n v="0"/>
    <n v="0"/>
    <n v="7"/>
    <n v="0"/>
    <n v="3800"/>
    <n v="3800"/>
    <n v="3800"/>
    <n v="3800"/>
    <n v="3040"/>
    <n v="3040"/>
    <n v="3040"/>
    <n v="0"/>
    <m/>
    <n v="4342.8571428571431"/>
    <n v="4342.8571428571431"/>
    <n v="4342.8571428571431"/>
    <n v="0"/>
    <m/>
    <n v="0"/>
    <n v="0"/>
    <n v="0"/>
    <n v="0"/>
    <m/>
    <n v="3.5714285714285716"/>
    <n v="6.8038095238095231"/>
    <n v="0.36190476190476195"/>
    <n v="0"/>
    <n v="0"/>
    <n v="0"/>
    <n v="3.1111111111111112"/>
    <m/>
  </r>
  <r>
    <x v="8"/>
    <x v="8"/>
    <n v="9"/>
    <n v="2.3333333333333335"/>
    <n v="1320"/>
    <n v="1.65"/>
    <n v="6"/>
    <n v="3"/>
    <n v="2"/>
    <n v="1"/>
    <n v="0"/>
    <n v="2.5"/>
    <n v="4360"/>
    <n v="4360"/>
    <n v="4360"/>
    <n v="0"/>
    <n v="4360"/>
    <n v="0"/>
    <n v="3.7142857142857144"/>
    <n v="5"/>
    <n v="6.333333333333333"/>
    <n v="1"/>
    <n v="6"/>
    <n v="4.5"/>
    <n v="0"/>
    <n v="0"/>
    <n v="6"/>
    <n v="0"/>
    <n v="0"/>
    <n v="0"/>
    <n v="5"/>
    <n v="5"/>
    <n v="5"/>
    <n v="0"/>
    <n v="0"/>
    <n v="0"/>
    <n v="0"/>
    <n v="0"/>
    <n v="0"/>
    <n v="0"/>
    <n v="0"/>
    <n v="1"/>
    <n v="0"/>
    <n v="6.5"/>
    <n v="0"/>
    <n v="0"/>
    <n v="0"/>
    <n v="0"/>
    <n v="0"/>
    <n v="0"/>
    <n v="0"/>
    <n v="0"/>
    <n v="0"/>
    <n v="0"/>
    <n v="0"/>
    <n v="0"/>
    <n v="0"/>
    <n v="0"/>
    <n v="7"/>
    <n v="0"/>
    <n v="17428"/>
    <n v="17428"/>
    <n v="17428"/>
    <n v="13067.999999999998"/>
    <n v="5071.5555555555547"/>
    <n v="1936"/>
    <n v="871.2"/>
    <n v="-440.40404040404042"/>
    <m/>
    <n v="4709.3015873015866"/>
    <n v="1797.7142857142858"/>
    <n v="808.97142857142876"/>
    <n v="-550.50505050505058"/>
    <m/>
    <n v="11773.253968253966"/>
    <n v="4494.2857142857147"/>
    <n v="2022.428571428572"/>
    <n v="-1376.2626262626263"/>
    <m/>
    <n v="6.2380952380952381"/>
    <n v="3.7978529100529101"/>
    <n v="4.6879300625300626"/>
    <n v="3.1878649350649346"/>
    <n v="0"/>
    <n v="0"/>
    <n v="1.1111111111111112"/>
    <m/>
  </r>
  <r>
    <x v="9"/>
    <x v="9"/>
    <n v="3"/>
    <n v="3.3333333333333335"/>
    <n v="2320"/>
    <n v="3.3"/>
    <n v="1"/>
    <n v="1"/>
    <n v="1"/>
    <n v="0"/>
    <n v="0"/>
    <n v="1"/>
    <n v="2480"/>
    <n v="2480"/>
    <n v="2480"/>
    <n v="0"/>
    <n v="2480"/>
    <n v="0"/>
    <n v="9.7142857142857135"/>
    <n v="5"/>
    <n v="0"/>
    <n v="7"/>
    <n v="0"/>
    <n v="0"/>
    <n v="0"/>
    <n v="0"/>
    <n v="6"/>
    <n v="9"/>
    <n v="8"/>
    <n v="0"/>
    <n v="6"/>
    <n v="0"/>
    <n v="0"/>
    <n v="0"/>
    <n v="0"/>
    <n v="0"/>
    <n v="0"/>
    <n v="0"/>
    <n v="0"/>
    <n v="0"/>
    <n v="0"/>
    <n v="2"/>
    <n v="0"/>
    <n v="0"/>
    <n v="0"/>
    <n v="0"/>
    <n v="0"/>
    <n v="0"/>
    <n v="0"/>
    <n v="0"/>
    <n v="0"/>
    <n v="0"/>
    <n v="0"/>
    <n v="0"/>
    <n v="0"/>
    <n v="5"/>
    <n v="0"/>
    <n v="0"/>
    <n v="1"/>
    <n v="0"/>
    <n v="10136"/>
    <n v="10136"/>
    <n v="10136"/>
    <n v="7656"/>
    <n v="8968.5333333333328"/>
    <n v="6124.8"/>
    <n v="0"/>
    <n v="-551.11111111111109"/>
    <m/>
    <n v="21780.723809523806"/>
    <n v="14874.514285714286"/>
    <n v="0"/>
    <n v="-688.88888888888891"/>
    <m/>
    <n v="0"/>
    <n v="0"/>
    <n v="0"/>
    <n v="0"/>
    <m/>
    <n v="5.2380952380952381"/>
    <n v="9.6027936507936502"/>
    <n v="0.99906525573192229"/>
    <n v="0"/>
    <n v="0"/>
    <n v="0"/>
    <n v="5.5555555555555554"/>
    <m/>
  </r>
  <r>
    <x v="10"/>
    <x v="10"/>
    <n v="6"/>
    <n v="2.5"/>
    <n v="1800"/>
    <n v="2.5"/>
    <n v="1"/>
    <n v="1"/>
    <n v="1"/>
    <n v="0"/>
    <n v="0"/>
    <n v="0"/>
    <n v="0"/>
    <n v="0"/>
    <n v="0"/>
    <n v="0"/>
    <n v="0"/>
    <n v="0"/>
    <n v="5.8571428571428568"/>
    <n v="4"/>
    <n v="2"/>
    <n v="5"/>
    <n v="0"/>
    <n v="8.25"/>
    <n v="0"/>
    <n v="0"/>
    <n v="6"/>
    <n v="0"/>
    <n v="0"/>
    <n v="0"/>
    <n v="6"/>
    <n v="0"/>
    <n v="0"/>
    <n v="0"/>
    <n v="0"/>
    <n v="0"/>
    <n v="0"/>
    <n v="0"/>
    <n v="0"/>
    <n v="0"/>
    <n v="0"/>
    <n v="0"/>
    <n v="0"/>
    <n v="0"/>
    <n v="0"/>
    <n v="0"/>
    <n v="0"/>
    <n v="0"/>
    <n v="8"/>
    <n v="0"/>
    <n v="0"/>
    <n v="0"/>
    <n v="0"/>
    <n v="0"/>
    <n v="0"/>
    <n v="0"/>
    <n v="0"/>
    <n v="0"/>
    <n v="0"/>
    <n v="0"/>
    <n v="4500"/>
    <n v="4500"/>
    <n v="4500"/>
    <n v="4500"/>
    <n v="3600"/>
    <n v="3600"/>
    <n v="0"/>
    <n v="0"/>
    <m/>
    <n v="5271.4285714285706"/>
    <n v="5271.4285714285706"/>
    <n v="0"/>
    <n v="0"/>
    <m/>
    <n v="0"/>
    <n v="0"/>
    <n v="0"/>
    <n v="0"/>
    <m/>
    <n v="3.9523809523809526"/>
    <n v="5.8752380952380951"/>
    <n v="8.5428571428571427"/>
    <n v="0"/>
    <n v="0"/>
    <n v="0"/>
    <n v="2.2222222222222223"/>
    <m/>
  </r>
  <r>
    <x v="11"/>
    <x v="11"/>
    <n v="4"/>
    <n v="2.5"/>
    <n v="2480"/>
    <n v="2.5"/>
    <n v="1"/>
    <n v="1"/>
    <n v="0.5"/>
    <n v="0"/>
    <n v="0"/>
    <n v="0"/>
    <n v="0"/>
    <n v="0"/>
    <n v="0"/>
    <n v="0"/>
    <n v="0"/>
    <n v="0"/>
    <n v="7.1428571428571432"/>
    <n v="3"/>
    <n v="0"/>
    <n v="9"/>
    <n v="6"/>
    <n v="0"/>
    <n v="4"/>
    <n v="0"/>
    <n v="3"/>
    <n v="0"/>
    <n v="0"/>
    <n v="0"/>
    <n v="6"/>
    <n v="0"/>
    <n v="0"/>
    <n v="0"/>
    <n v="0"/>
    <n v="0"/>
    <n v="0"/>
    <n v="0"/>
    <n v="0"/>
    <n v="0"/>
    <n v="0"/>
    <n v="2"/>
    <n v="0"/>
    <n v="0"/>
    <n v="0"/>
    <n v="0"/>
    <n v="0"/>
    <n v="0"/>
    <n v="0"/>
    <n v="0"/>
    <n v="0"/>
    <n v="0"/>
    <n v="0"/>
    <n v="0"/>
    <n v="0"/>
    <n v="1"/>
    <n v="0"/>
    <n v="3"/>
    <n v="7"/>
    <n v="0"/>
    <n v="6200"/>
    <n v="6200"/>
    <n v="6200"/>
    <n v="6200"/>
    <n v="4960"/>
    <n v="2254.5454545454545"/>
    <n v="0"/>
    <n v="0"/>
    <m/>
    <n v="8857.1428571428569"/>
    <n v="4025.9740259740261"/>
    <n v="0"/>
    <n v="0"/>
    <m/>
    <n v="0"/>
    <n v="0"/>
    <n v="0"/>
    <n v="0"/>
    <m/>
    <n v="4.3809523809523805"/>
    <n v="7.4389610389610388"/>
    <n v="0.35786435786435788"/>
    <n v="2.4048484848484843"/>
    <n v="0"/>
    <n v="0"/>
    <n v="5.5555555555555554"/>
    <m/>
  </r>
  <r>
    <x v="12"/>
    <x v="12"/>
    <n v="5"/>
    <n v="3.2"/>
    <n v="1960"/>
    <n v="2.15"/>
    <n v="1"/>
    <n v="1"/>
    <n v="1"/>
    <n v="0.5"/>
    <n v="0"/>
    <n v="2.5"/>
    <n v="2400"/>
    <n v="4800"/>
    <n v="9600"/>
    <n v="9600"/>
    <n v="4800"/>
    <n v="0"/>
    <n v="5"/>
    <n v="6"/>
    <n v="0"/>
    <n v="1"/>
    <n v="2"/>
    <n v="4.25"/>
    <n v="0"/>
    <n v="0"/>
    <n v="6"/>
    <n v="0"/>
    <n v="0"/>
    <n v="0"/>
    <n v="5"/>
    <n v="0"/>
    <n v="0"/>
    <n v="4"/>
    <n v="1"/>
    <n v="0"/>
    <n v="6"/>
    <n v="7"/>
    <n v="10"/>
    <n v="0"/>
    <n v="2.5"/>
    <n v="9"/>
    <n v="0"/>
    <n v="0"/>
    <n v="0"/>
    <n v="0"/>
    <n v="0"/>
    <n v="0"/>
    <n v="0"/>
    <n v="0"/>
    <n v="0"/>
    <n v="0"/>
    <n v="0"/>
    <n v="0"/>
    <n v="0"/>
    <n v="0"/>
    <n v="0"/>
    <n v="0"/>
    <n v="7"/>
    <n v="0"/>
    <n v="6614"/>
    <n v="9014"/>
    <n v="13814"/>
    <n v="13814"/>
    <n v="5156.8"/>
    <n v="3371.2"/>
    <n v="4028.3636363636365"/>
    <n v="1600"/>
    <m/>
    <n v="6446"/>
    <n v="4214"/>
    <n v="5035.454545454546"/>
    <n v="2400"/>
    <m/>
    <n v="0"/>
    <n v="0"/>
    <n v="0"/>
    <n v="0"/>
    <m/>
    <n v="3.3333333333333335"/>
    <n v="4.8886666666666665"/>
    <n v="4.7526515151515154"/>
    <n v="3.1999999999999997"/>
    <n v="4.2666666666666666"/>
    <n v="8"/>
    <n v="6.4444444444444446"/>
    <m/>
  </r>
  <r>
    <x v="13"/>
    <x v="13"/>
    <n v="5"/>
    <n v="3.2"/>
    <n v="2000"/>
    <n v="1.65"/>
    <n v="1"/>
    <n v="1"/>
    <n v="1"/>
    <n v="0.5"/>
    <n v="0"/>
    <n v="1"/>
    <n v="1800"/>
    <n v="1800"/>
    <n v="1800"/>
    <n v="1800"/>
    <n v="1800"/>
    <n v="0"/>
    <n v="7.6428571428571432"/>
    <n v="1"/>
    <n v="6"/>
    <n v="1"/>
    <n v="3"/>
    <n v="0"/>
    <n v="0"/>
    <n v="0"/>
    <n v="0"/>
    <n v="0"/>
    <n v="0"/>
    <n v="0"/>
    <n v="9"/>
    <n v="6"/>
    <n v="6"/>
    <n v="0"/>
    <n v="0"/>
    <n v="0"/>
    <n v="0"/>
    <n v="0"/>
    <n v="0"/>
    <n v="0"/>
    <n v="0"/>
    <n v="7"/>
    <n v="0"/>
    <n v="0"/>
    <n v="0"/>
    <n v="0"/>
    <n v="0"/>
    <n v="0"/>
    <n v="0"/>
    <n v="0"/>
    <n v="0"/>
    <n v="0"/>
    <n v="0"/>
    <n v="0"/>
    <n v="0"/>
    <n v="0"/>
    <n v="0"/>
    <n v="0"/>
    <n v="6"/>
    <n v="0"/>
    <n v="5100"/>
    <n v="5100"/>
    <n v="5100"/>
    <n v="5100"/>
    <n v="3403.2"/>
    <n v="2640"/>
    <n v="1200"/>
    <n v="0"/>
    <m/>
    <n v="6502.5428571428574"/>
    <n v="5044.2857142857147"/>
    <n v="2292.8571428571431"/>
    <n v="0"/>
    <m/>
    <n v="19507.628571428573"/>
    <n v="15132.857142857145"/>
    <n v="6878.5714285714294"/>
    <n v="0"/>
    <m/>
    <n v="9.5476190476190474"/>
    <n v="4.9944180952380952"/>
    <n v="0.38443571428571427"/>
    <n v="0.98181818181818192"/>
    <n v="0"/>
    <n v="0"/>
    <n v="5.1111111111111107"/>
    <m/>
  </r>
  <r>
    <x v="14"/>
    <x v="14"/>
    <n v="6"/>
    <n v="2.3333333333333335"/>
    <n v="1360"/>
    <n v="1.65"/>
    <n v="2"/>
    <n v="1"/>
    <n v="2"/>
    <n v="1"/>
    <n v="1"/>
    <n v="2"/>
    <n v="4000"/>
    <n v="3000"/>
    <n v="2000"/>
    <n v="1000"/>
    <n v="2000"/>
    <n v="0"/>
    <n v="3.4285714285714284"/>
    <n v="7"/>
    <n v="0"/>
    <n v="1"/>
    <n v="7"/>
    <n v="4.75"/>
    <n v="1"/>
    <n v="0"/>
    <n v="6"/>
    <n v="0"/>
    <n v="0"/>
    <n v="0"/>
    <n v="5"/>
    <n v="0"/>
    <n v="0"/>
    <n v="4"/>
    <n v="1"/>
    <n v="0"/>
    <n v="2"/>
    <n v="6"/>
    <n v="1"/>
    <n v="10"/>
    <n v="5"/>
    <n v="1"/>
    <n v="0"/>
    <n v="0"/>
    <n v="0"/>
    <n v="0"/>
    <n v="0"/>
    <n v="0"/>
    <n v="0"/>
    <n v="0"/>
    <n v="0"/>
    <n v="0"/>
    <n v="0"/>
    <n v="0"/>
    <n v="0"/>
    <n v="0"/>
    <n v="0"/>
    <n v="0.5"/>
    <n v="7"/>
    <n v="0"/>
    <n v="8488"/>
    <n v="7488"/>
    <n v="6488"/>
    <n v="5488"/>
    <n v="3118.2222222222222"/>
    <n v="4297.0666666666666"/>
    <n v="1496"/>
    <n v="1090.4444444444446"/>
    <m/>
    <n v="2672.7619047619046"/>
    <n v="3683.2"/>
    <n v="1282.2857142857142"/>
    <n v="1908.2777777777781"/>
    <m/>
    <n v="0"/>
    <n v="0"/>
    <n v="0"/>
    <n v="0"/>
    <m/>
    <n v="2.8095238095238098"/>
    <n v="4.173770158730159"/>
    <n v="5.0151812610229278"/>
    <n v="7.0012133333333342"/>
    <n v="3.2"/>
    <n v="6.5"/>
    <n v="1.1111111111111112"/>
    <m/>
  </r>
  <r>
    <x v="15"/>
    <x v="15"/>
    <n v="7"/>
    <n v="2.2857142857142856"/>
    <n v="1800"/>
    <n v="2.5"/>
    <n v="1"/>
    <n v="1"/>
    <n v="1"/>
    <n v="0.5"/>
    <n v="0.5"/>
    <n v="2.5"/>
    <n v="4800"/>
    <n v="9600"/>
    <n v="800"/>
    <n v="0"/>
    <n v="3200"/>
    <n v="0"/>
    <n v="4.4285714285714288"/>
    <n v="7"/>
    <n v="0"/>
    <n v="1"/>
    <n v="1"/>
    <n v="0"/>
    <n v="0"/>
    <n v="1"/>
    <n v="7"/>
    <n v="0"/>
    <n v="0"/>
    <n v="0"/>
    <n v="5"/>
    <n v="0"/>
    <n v="0"/>
    <n v="4"/>
    <n v="1"/>
    <n v="0"/>
    <n v="7"/>
    <n v="4"/>
    <n v="4"/>
    <n v="4"/>
    <n v="7.5"/>
    <n v="0"/>
    <n v="5"/>
    <n v="0"/>
    <n v="0"/>
    <n v="0"/>
    <n v="0"/>
    <n v="0"/>
    <n v="0"/>
    <n v="0"/>
    <n v="0"/>
    <n v="0"/>
    <n v="0"/>
    <n v="6.333333333333333"/>
    <n v="0"/>
    <n v="0"/>
    <n v="0"/>
    <n v="0"/>
    <n v="7"/>
    <n v="0"/>
    <n v="9300"/>
    <n v="14100"/>
    <n v="5300"/>
    <n v="4500"/>
    <n v="6342.8571428571431"/>
    <n v="7257.1428571428578"/>
    <n v="701.2987012987013"/>
    <n v="389.61038961038963"/>
    <m/>
    <n v="7022.4489795918371"/>
    <n v="8034.6938775510216"/>
    <n v="776.43784786641925"/>
    <n v="681.81818181818187"/>
    <m/>
    <n v="0"/>
    <n v="0"/>
    <n v="0"/>
    <n v="0"/>
    <m/>
    <n v="3.1428571428571428"/>
    <n v="4.9971428571428573"/>
    <n v="0.45876108018965156"/>
    <n v="1.28"/>
    <n v="4.5333333333333332"/>
    <n v="7.125"/>
    <n v="0.44444444444444442"/>
    <m/>
  </r>
  <r>
    <x v="16"/>
    <x v="16"/>
    <n v="9"/>
    <n v="2.3333333333333335"/>
    <n v="1040"/>
    <n v="2.5"/>
    <n v="1.5"/>
    <n v="3"/>
    <n v="2.5"/>
    <n v="1.5"/>
    <n v="0.5"/>
    <n v="1.5"/>
    <n v="0"/>
    <n v="400"/>
    <n v="1200"/>
    <n v="800"/>
    <n v="400"/>
    <n v="0"/>
    <n v="4.4285714285714288"/>
    <n v="8"/>
    <n v="0"/>
    <n v="2"/>
    <n v="1"/>
    <n v="0"/>
    <n v="0"/>
    <n v="1"/>
    <n v="7"/>
    <n v="0"/>
    <n v="0"/>
    <n v="0"/>
    <n v="5"/>
    <n v="0"/>
    <n v="0"/>
    <n v="8"/>
    <n v="7"/>
    <n v="1"/>
    <n v="2"/>
    <n v="2"/>
    <n v="1"/>
    <n v="8"/>
    <n v="7.5"/>
    <n v="0"/>
    <n v="0"/>
    <n v="0"/>
    <n v="0"/>
    <n v="0"/>
    <n v="0"/>
    <n v="0"/>
    <n v="0"/>
    <n v="0"/>
    <n v="0"/>
    <n v="4"/>
    <n v="0"/>
    <n v="0"/>
    <n v="0"/>
    <n v="0"/>
    <n v="0"/>
    <n v="0"/>
    <n v="6"/>
    <n v="0"/>
    <n v="3900"/>
    <n v="4300"/>
    <n v="5100"/>
    <n v="4700"/>
    <n v="8914.2857142857138"/>
    <n v="6500"/>
    <n v="3493.3333333333335"/>
    <n v="948.14814814814815"/>
    <m/>
    <n v="9869.3877551020414"/>
    <n v="7196.4285714285716"/>
    <n v="3867.6190476190477"/>
    <n v="1896.2962962962963"/>
    <m/>
    <n v="0"/>
    <n v="0"/>
    <n v="0"/>
    <n v="0"/>
    <m/>
    <n v="3.1428571428571428"/>
    <n v="5.5974319727891153"/>
    <n v="0.63415921306794321"/>
    <n v="0.2"/>
    <n v="8.2666666666666675"/>
    <n v="6.5"/>
    <n v="0.88888888888888884"/>
    <m/>
  </r>
  <r>
    <x v="17"/>
    <x v="17"/>
    <n v="14"/>
    <n v="2.2142857142857144"/>
    <n v="640"/>
    <n v="3.3"/>
    <n v="3"/>
    <n v="4"/>
    <n v="3.5"/>
    <n v="2.5"/>
    <n v="0"/>
    <n v="0"/>
    <n v="0"/>
    <n v="0"/>
    <n v="0"/>
    <n v="0"/>
    <n v="0"/>
    <n v="0"/>
    <n v="5"/>
    <n v="7"/>
    <n v="5.666666666666667"/>
    <n v="3"/>
    <n v="0"/>
    <n v="0"/>
    <n v="0"/>
    <n v="0"/>
    <n v="6"/>
    <n v="0"/>
    <n v="0"/>
    <n v="0"/>
    <n v="9"/>
    <n v="0"/>
    <n v="0"/>
    <n v="0"/>
    <n v="0"/>
    <n v="0"/>
    <n v="0"/>
    <n v="0"/>
    <n v="0"/>
    <n v="0"/>
    <n v="0"/>
    <n v="0"/>
    <n v="0"/>
    <n v="0"/>
    <n v="0"/>
    <n v="0"/>
    <n v="0"/>
    <n v="4.5"/>
    <n v="0"/>
    <n v="0"/>
    <n v="0"/>
    <n v="0"/>
    <n v="0"/>
    <n v="0"/>
    <n v="0"/>
    <n v="0"/>
    <n v="0"/>
    <n v="0"/>
    <n v="6"/>
    <n v="0"/>
    <n v="6335.9999999999991"/>
    <n v="6335.9999999999991"/>
    <n v="6335.9999999999991"/>
    <n v="6335.9999999999991"/>
    <n v="8448"/>
    <n v="6570.6666666666661"/>
    <n v="3840"/>
    <n v="0"/>
    <m/>
    <n v="10560"/>
    <n v="8213.3333333333321"/>
    <n v="4800"/>
    <n v="0"/>
    <m/>
    <n v="0"/>
    <n v="0"/>
    <n v="0"/>
    <n v="0"/>
    <m/>
    <n v="4.666666666666667"/>
    <n v="5.9591111111111115"/>
    <n v="0.65481481481481485"/>
    <n v="0"/>
    <n v="0"/>
    <n v="0"/>
    <n v="1.3333333333333333"/>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n v="1"/>
    <x v="0"/>
    <m/>
    <m/>
    <m/>
    <m/>
    <n v="7"/>
    <m/>
    <m/>
    <m/>
    <m/>
    <m/>
    <m/>
    <m/>
    <m/>
    <m/>
    <m/>
    <m/>
    <m/>
    <m/>
    <m/>
    <n v="4"/>
    <n v="6"/>
    <n v="8"/>
    <n v="0"/>
    <n v="2.9966666666666666"/>
    <n v="6.6651851851851847"/>
  </r>
  <r>
    <n v="2"/>
    <x v="1"/>
    <m/>
    <m/>
    <m/>
    <m/>
    <n v="9"/>
    <m/>
    <m/>
    <m/>
    <m/>
    <m/>
    <m/>
    <m/>
    <m/>
    <m/>
    <m/>
    <m/>
    <m/>
    <m/>
    <m/>
    <n v="5"/>
    <n v="5"/>
    <n v="6"/>
    <n v="0"/>
    <n v="2.6633333333333336"/>
    <n v="5.8503703703703707"/>
  </r>
  <r>
    <n v="3"/>
    <x v="2"/>
    <m/>
    <m/>
    <m/>
    <m/>
    <n v="6"/>
    <m/>
    <m/>
    <m/>
    <m/>
    <m/>
    <m/>
    <m/>
    <m/>
    <m/>
    <m/>
    <m/>
    <m/>
    <m/>
    <m/>
    <n v="3"/>
    <n v="8"/>
    <n v="9"/>
    <n v="0"/>
    <n v="1.9966666666666666"/>
    <n v="7.1096296296296293"/>
  </r>
  <r>
    <n v="4"/>
    <x v="3"/>
    <m/>
    <m/>
    <m/>
    <m/>
    <n v="7"/>
    <m/>
    <m/>
    <m/>
    <m/>
    <m/>
    <m/>
    <m/>
    <m/>
    <m/>
    <m/>
    <m/>
    <m/>
    <m/>
    <m/>
    <n v="7"/>
    <n v="2"/>
    <n v="8"/>
    <n v="4"/>
    <n v="6.6633333333333331"/>
    <n v="7.1837037037037037"/>
  </r>
  <r>
    <n v="5"/>
    <x v="4"/>
    <m/>
    <m/>
    <m/>
    <m/>
    <n v="7"/>
    <m/>
    <m/>
    <m/>
    <m/>
    <m/>
    <m/>
    <m/>
    <m/>
    <m/>
    <m/>
    <m/>
    <m/>
    <m/>
    <m/>
    <n v="3"/>
    <n v="7"/>
    <n v="6"/>
    <n v="0"/>
    <n v="1.9966666666666666"/>
    <n v="5.9985185185185186"/>
  </r>
  <r>
    <n v="6"/>
    <x v="5"/>
    <m/>
    <m/>
    <m/>
    <m/>
    <n v="7"/>
    <m/>
    <m/>
    <m/>
    <m/>
    <m/>
    <m/>
    <m/>
    <m/>
    <m/>
    <m/>
    <m/>
    <m/>
    <m/>
    <m/>
    <n v="10"/>
    <n v="1"/>
    <n v="5"/>
    <n v="3"/>
    <n v="6.996666666666667"/>
    <n v="6.887407407407407"/>
  </r>
  <r>
    <n v="7"/>
    <x v="6"/>
    <m/>
    <m/>
    <m/>
    <m/>
    <n v="5"/>
    <m/>
    <m/>
    <m/>
    <m/>
    <m/>
    <m/>
    <m/>
    <m/>
    <m/>
    <m/>
    <m/>
    <m/>
    <m/>
    <m/>
    <n v="2"/>
    <n v="6"/>
    <n v="5"/>
    <n v="0"/>
    <n v="1.6633333333333336"/>
    <n v="4.9614814814814814"/>
  </r>
  <r>
    <n v="8"/>
    <x v="7"/>
    <m/>
    <m/>
    <m/>
    <m/>
    <n v="9"/>
    <m/>
    <m/>
    <m/>
    <m/>
    <m/>
    <m/>
    <m/>
    <m/>
    <m/>
    <m/>
    <m/>
    <m/>
    <m/>
    <m/>
    <n v="5"/>
    <n v="6"/>
    <n v="2"/>
    <n v="0"/>
    <n v="2.6633333333333336"/>
    <n v="5.405925925925926"/>
  </r>
  <r>
    <n v="9"/>
    <x v="8"/>
    <m/>
    <m/>
    <m/>
    <m/>
    <n v="8"/>
    <m/>
    <m/>
    <m/>
    <m/>
    <m/>
    <m/>
    <m/>
    <m/>
    <m/>
    <m/>
    <m/>
    <m/>
    <m/>
    <m/>
    <n v="7"/>
    <n v="3"/>
    <n v="4"/>
    <n v="0"/>
    <n v="3.996666666666667"/>
    <n v="5.5540740740740739"/>
  </r>
  <r>
    <n v="10"/>
    <x v="9"/>
    <m/>
    <m/>
    <m/>
    <m/>
    <n v="8"/>
    <m/>
    <m/>
    <m/>
    <m/>
    <m/>
    <m/>
    <m/>
    <m/>
    <m/>
    <m/>
    <m/>
    <m/>
    <m/>
    <m/>
    <n v="3"/>
    <n v="7"/>
    <n v="6"/>
    <n v="0"/>
    <n v="1.9966666666666666"/>
    <n v="5.9985185185185186"/>
  </r>
  <r>
    <n v="11"/>
    <x v="10"/>
    <m/>
    <m/>
    <m/>
    <m/>
    <n v="3"/>
    <m/>
    <m/>
    <m/>
    <m/>
    <m/>
    <m/>
    <m/>
    <m/>
    <m/>
    <m/>
    <m/>
    <m/>
    <m/>
    <m/>
    <n v="3"/>
    <n v="6"/>
    <n v="8"/>
    <n v="0"/>
    <n v="2.6633333333333336"/>
    <n v="6.2948148148148153"/>
  </r>
  <r>
    <n v="12"/>
    <x v="11"/>
    <m/>
    <m/>
    <m/>
    <m/>
    <n v="4"/>
    <m/>
    <m/>
    <m/>
    <m/>
    <m/>
    <m/>
    <m/>
    <m/>
    <m/>
    <m/>
    <m/>
    <m/>
    <m/>
    <m/>
    <n v="1"/>
    <n v="7"/>
    <n v="5"/>
    <n v="0"/>
    <n v="1.33"/>
    <n v="5.0355555555555558"/>
  </r>
  <r>
    <n v="13"/>
    <x v="12"/>
    <m/>
    <m/>
    <m/>
    <m/>
    <n v="5"/>
    <m/>
    <m/>
    <m/>
    <m/>
    <m/>
    <m/>
    <m/>
    <m/>
    <m/>
    <m/>
    <m/>
    <m/>
    <m/>
    <m/>
    <n v="7"/>
    <n v="8"/>
    <n v="6"/>
    <n v="0"/>
    <n v="1.9966666666666666"/>
    <n v="7.3318518518518516"/>
  </r>
  <r>
    <n v="14"/>
    <x v="13"/>
    <m/>
    <m/>
    <m/>
    <m/>
    <n v="6"/>
    <m/>
    <m/>
    <m/>
    <m/>
    <m/>
    <m/>
    <m/>
    <m/>
    <m/>
    <m/>
    <m/>
    <m/>
    <m/>
    <m/>
    <n v="3"/>
    <n v="8"/>
    <n v="9"/>
    <n v="0"/>
    <n v="1.9966666666666666"/>
    <n v="7.1096296296296293"/>
  </r>
  <r>
    <n v="15"/>
    <x v="14"/>
    <m/>
    <m/>
    <m/>
    <m/>
    <n v="7"/>
    <m/>
    <m/>
    <m/>
    <m/>
    <m/>
    <m/>
    <m/>
    <m/>
    <m/>
    <m/>
    <m/>
    <m/>
    <m/>
    <m/>
    <n v="8"/>
    <n v="4"/>
    <n v="5"/>
    <n v="6"/>
    <n v="8.33"/>
    <n v="8.3688888888888879"/>
  </r>
  <r>
    <n v="16"/>
    <x v="15"/>
    <m/>
    <m/>
    <m/>
    <m/>
    <n v="8"/>
    <m/>
    <m/>
    <m/>
    <m/>
    <m/>
    <m/>
    <m/>
    <m/>
    <m/>
    <m/>
    <m/>
    <m/>
    <m/>
    <m/>
    <n v="4"/>
    <n v="6"/>
    <n v="5"/>
    <n v="0"/>
    <n v="2.33"/>
    <n v="5.7022222222222219"/>
  </r>
  <r>
    <n v="17"/>
    <x v="16"/>
    <m/>
    <m/>
    <m/>
    <m/>
    <n v="6"/>
    <m/>
    <m/>
    <m/>
    <m/>
    <m/>
    <m/>
    <m/>
    <m/>
    <m/>
    <m/>
    <m/>
    <m/>
    <m/>
    <m/>
    <n v="5"/>
    <n v="7"/>
    <n v="6"/>
    <n v="0"/>
    <n v="2.6633333333333336"/>
    <n v="6.7392592592592599"/>
  </r>
  <r>
    <n v="18"/>
    <x v="17"/>
    <m/>
    <m/>
    <m/>
    <m/>
    <n v="8"/>
    <m/>
    <m/>
    <m/>
    <m/>
    <m/>
    <m/>
    <m/>
    <m/>
    <m/>
    <m/>
    <m/>
    <m/>
    <m/>
    <m/>
    <n v="7"/>
    <n v="3"/>
    <n v="4"/>
    <n v="0"/>
    <n v="3.996666666666667"/>
    <n v="5.5540740740740739"/>
  </r>
  <r>
    <n v="19"/>
    <x v="18"/>
    <m/>
    <m/>
    <m/>
    <m/>
    <n v="8"/>
    <m/>
    <m/>
    <m/>
    <m/>
    <m/>
    <m/>
    <m/>
    <m/>
    <m/>
    <m/>
    <m/>
    <m/>
    <m/>
    <m/>
    <n v="3"/>
    <n v="8"/>
    <n v="4"/>
    <n v="0"/>
    <n v="1.9966666666666666"/>
    <n v="5.9985185185185186"/>
  </r>
  <r>
    <n v="20"/>
    <x v="19"/>
    <m/>
    <m/>
    <m/>
    <m/>
    <n v="8"/>
    <m/>
    <m/>
    <m/>
    <m/>
    <m/>
    <m/>
    <m/>
    <m/>
    <m/>
    <m/>
    <m/>
    <m/>
    <m/>
    <m/>
    <n v="4"/>
    <n v="7"/>
    <n v="5"/>
    <n v="0"/>
    <n v="2.33"/>
    <n v="6.1466666666666665"/>
  </r>
  <r>
    <n v="21"/>
    <x v="20"/>
    <m/>
    <m/>
    <m/>
    <m/>
    <n v="6"/>
    <m/>
    <m/>
    <m/>
    <m/>
    <m/>
    <m/>
    <m/>
    <m/>
    <m/>
    <m/>
    <m/>
    <m/>
    <m/>
    <m/>
    <n v="4"/>
    <n v="5"/>
    <n v="6"/>
    <n v="0"/>
    <n v="2.33"/>
    <n v="5.48"/>
  </r>
  <r>
    <n v="22"/>
    <x v="21"/>
    <m/>
    <m/>
    <m/>
    <m/>
    <n v="8"/>
    <m/>
    <m/>
    <m/>
    <m/>
    <m/>
    <m/>
    <m/>
    <m/>
    <m/>
    <m/>
    <m/>
    <m/>
    <m/>
    <m/>
    <n v="4"/>
    <n v="6"/>
    <n v="4"/>
    <n v="3"/>
    <n v="4.33"/>
    <n v="6.3688888888888888"/>
  </r>
  <r>
    <n v="23"/>
    <x v="22"/>
    <m/>
    <m/>
    <m/>
    <m/>
    <n v="4"/>
    <m/>
    <m/>
    <m/>
    <m/>
    <m/>
    <m/>
    <m/>
    <m/>
    <m/>
    <m/>
    <m/>
    <m/>
    <m/>
    <m/>
    <n v="2"/>
    <n v="9"/>
    <n v="6"/>
    <n v="1"/>
    <n v="2.33"/>
    <n v="6.8133333333333335"/>
  </r>
  <r>
    <n v="24"/>
    <x v="23"/>
    <m/>
    <m/>
    <m/>
    <m/>
    <n v="6"/>
    <m/>
    <m/>
    <m/>
    <m/>
    <m/>
    <m/>
    <m/>
    <m/>
    <m/>
    <m/>
    <m/>
    <m/>
    <m/>
    <m/>
    <n v="7"/>
    <n v="7"/>
    <n v="5"/>
    <n v="0"/>
    <n v="3.33"/>
    <n v="7.2577777777777772"/>
  </r>
  <r>
    <n v="25"/>
    <x v="24"/>
    <m/>
    <m/>
    <m/>
    <m/>
    <n v="8"/>
    <m/>
    <m/>
    <m/>
    <m/>
    <m/>
    <m/>
    <m/>
    <m/>
    <m/>
    <m/>
    <m/>
    <m/>
    <m/>
    <m/>
    <n v="10"/>
    <n v="5"/>
    <n v="5"/>
    <n v="0"/>
    <n v="4.996666666666667"/>
    <n v="7.7762962962962963"/>
  </r>
  <r>
    <n v="26"/>
    <x v="25"/>
    <m/>
    <m/>
    <m/>
    <m/>
    <n v="8"/>
    <m/>
    <m/>
    <m/>
    <m/>
    <m/>
    <m/>
    <m/>
    <m/>
    <m/>
    <m/>
    <m/>
    <m/>
    <m/>
    <m/>
    <n v="7"/>
    <n v="2"/>
    <n v="5"/>
    <n v="0"/>
    <n v="4.6633333333333331"/>
    <n v="5.6281481481481483"/>
  </r>
  <r>
    <n v="27"/>
    <x v="26"/>
    <m/>
    <m/>
    <m/>
    <m/>
    <n v="8"/>
    <m/>
    <m/>
    <m/>
    <m/>
    <m/>
    <m/>
    <m/>
    <m/>
    <m/>
    <m/>
    <m/>
    <m/>
    <m/>
    <m/>
    <n v="3"/>
    <n v="8"/>
    <n v="6"/>
    <n v="0"/>
    <n v="1.9966666666666666"/>
    <n v="6.4429629629629623"/>
  </r>
  <r>
    <n v="28"/>
    <x v="27"/>
    <m/>
    <m/>
    <m/>
    <m/>
    <n v="8"/>
    <m/>
    <m/>
    <m/>
    <m/>
    <m/>
    <m/>
    <m/>
    <m/>
    <m/>
    <m/>
    <m/>
    <m/>
    <m/>
    <m/>
    <n v="2"/>
    <n v="10"/>
    <n v="7"/>
    <n v="0"/>
    <n v="1.6633333333333336"/>
    <n v="7.1837037037037037"/>
  </r>
  <r>
    <n v="29"/>
    <x v="28"/>
    <m/>
    <m/>
    <m/>
    <m/>
    <n v="7"/>
    <m/>
    <m/>
    <m/>
    <m/>
    <m/>
    <m/>
    <m/>
    <m/>
    <m/>
    <m/>
    <m/>
    <m/>
    <m/>
    <m/>
    <n v="4"/>
    <n v="1"/>
    <n v="5"/>
    <n v="6"/>
    <n v="7.663333333333334"/>
    <n v="5.8503703703703707"/>
  </r>
  <r>
    <n v="30"/>
    <x v="29"/>
    <m/>
    <m/>
    <m/>
    <m/>
    <n v="8"/>
    <m/>
    <m/>
    <m/>
    <m/>
    <m/>
    <m/>
    <m/>
    <m/>
    <m/>
    <m/>
    <m/>
    <m/>
    <m/>
    <m/>
    <n v="4"/>
    <n v="7"/>
    <n v="9"/>
    <n v="0"/>
    <n v="2.33"/>
    <n v="7.0355555555555558"/>
  </r>
  <r>
    <n v="31"/>
    <x v="30"/>
    <m/>
    <m/>
    <m/>
    <m/>
    <n v="4"/>
    <m/>
    <m/>
    <m/>
    <m/>
    <m/>
    <m/>
    <m/>
    <m/>
    <m/>
    <m/>
    <m/>
    <m/>
    <m/>
    <m/>
    <n v="3"/>
    <n v="7"/>
    <n v="4"/>
    <n v="0"/>
    <n v="1.9966666666666666"/>
    <n v="5.5540740740740739"/>
  </r>
  <r>
    <n v="32"/>
    <x v="31"/>
    <m/>
    <m/>
    <m/>
    <m/>
    <n v="9"/>
    <m/>
    <m/>
    <m/>
    <m/>
    <m/>
    <m/>
    <m/>
    <m/>
    <m/>
    <m/>
    <m/>
    <m/>
    <m/>
    <m/>
    <n v="6"/>
    <n v="8"/>
    <n v="5"/>
    <n v="7"/>
    <n v="6.996666666666667"/>
    <n v="9.1096296296296302"/>
  </r>
  <r>
    <n v="33"/>
    <x v="32"/>
    <m/>
    <m/>
    <m/>
    <m/>
    <n v="6"/>
    <m/>
    <m/>
    <m/>
    <m/>
    <m/>
    <m/>
    <m/>
    <m/>
    <m/>
    <m/>
    <m/>
    <m/>
    <m/>
    <m/>
    <n v="5"/>
    <n v="7"/>
    <n v="5"/>
    <n v="0"/>
    <n v="2.6633333333333336"/>
    <n v="6.5170370370370376"/>
  </r>
  <r>
    <n v="34"/>
    <x v="33"/>
    <m/>
    <m/>
    <m/>
    <m/>
    <n v="9"/>
    <m/>
    <m/>
    <m/>
    <m/>
    <m/>
    <m/>
    <m/>
    <m/>
    <m/>
    <m/>
    <m/>
    <m/>
    <m/>
    <m/>
    <n v="4"/>
    <n v="8"/>
    <n v="4"/>
    <n v="0"/>
    <n v="2.33"/>
    <n v="6.3688888888888888"/>
  </r>
  <r>
    <n v="35"/>
    <x v="34"/>
    <m/>
    <m/>
    <m/>
    <m/>
    <n v="8"/>
    <m/>
    <m/>
    <m/>
    <m/>
    <m/>
    <m/>
    <m/>
    <m/>
    <m/>
    <m/>
    <m/>
    <m/>
    <m/>
    <m/>
    <n v="2"/>
    <n v="8"/>
    <n v="4"/>
    <n v="0"/>
    <n v="1.6633333333333336"/>
    <n v="5.6281481481481483"/>
  </r>
  <r>
    <n v="36"/>
    <x v="35"/>
    <m/>
    <m/>
    <m/>
    <m/>
    <n v="8"/>
    <m/>
    <m/>
    <m/>
    <m/>
    <m/>
    <m/>
    <m/>
    <m/>
    <m/>
    <m/>
    <m/>
    <m/>
    <m/>
    <m/>
    <n v="9"/>
    <n v="4"/>
    <n v="5"/>
    <n v="0"/>
    <n v="3.996666666666667"/>
    <n v="6.6651851851851847"/>
  </r>
  <r>
    <n v="37"/>
    <x v="36"/>
    <m/>
    <m/>
    <m/>
    <m/>
    <n v="7"/>
    <m/>
    <m/>
    <m/>
    <m/>
    <m/>
    <m/>
    <m/>
    <m/>
    <m/>
    <m/>
    <m/>
    <m/>
    <m/>
    <m/>
    <n v="5"/>
    <n v="7"/>
    <n v="6"/>
    <n v="0"/>
    <n v="2.6633333333333336"/>
    <n v="6.7392592592592599"/>
  </r>
  <r>
    <n v="38"/>
    <x v="37"/>
    <m/>
    <m/>
    <m/>
    <m/>
    <n v="8"/>
    <m/>
    <m/>
    <m/>
    <m/>
    <m/>
    <m/>
    <m/>
    <m/>
    <m/>
    <m/>
    <m/>
    <m/>
    <m/>
    <m/>
    <n v="8"/>
    <n v="3"/>
    <n v="4"/>
    <n v="0"/>
    <n v="4.33"/>
    <n v="5.9244444444444442"/>
  </r>
  <r>
    <n v="39"/>
    <x v="38"/>
    <m/>
    <m/>
    <m/>
    <m/>
    <n v="9"/>
    <m/>
    <m/>
    <m/>
    <m/>
    <m/>
    <m/>
    <m/>
    <m/>
    <m/>
    <m/>
    <m/>
    <m/>
    <m/>
    <m/>
    <n v="3"/>
    <n v="10"/>
    <n v="6"/>
    <n v="0"/>
    <n v="1.9966666666666666"/>
    <n v="7.3318518518518516"/>
  </r>
  <r>
    <n v="40"/>
    <x v="39"/>
    <m/>
    <m/>
    <m/>
    <m/>
    <n v="7"/>
    <m/>
    <m/>
    <m/>
    <m/>
    <m/>
    <m/>
    <m/>
    <m/>
    <m/>
    <m/>
    <m/>
    <m/>
    <m/>
    <m/>
    <n v="5"/>
    <n v="7"/>
    <n v="5"/>
    <n v="0"/>
    <n v="2.6633333333333336"/>
    <n v="6.5170370370370376"/>
  </r>
  <r>
    <n v="41"/>
    <x v="40"/>
    <m/>
    <m/>
    <m/>
    <m/>
    <n v="9"/>
    <m/>
    <m/>
    <m/>
    <m/>
    <m/>
    <m/>
    <m/>
    <m/>
    <m/>
    <m/>
    <m/>
    <m/>
    <m/>
    <m/>
    <n v="7"/>
    <n v="4"/>
    <n v="5"/>
    <n v="0"/>
    <n v="3.33"/>
    <n v="5.9244444444444442"/>
  </r>
  <r>
    <n v="42"/>
    <x v="41"/>
    <m/>
    <m/>
    <m/>
    <m/>
    <n v="7"/>
    <m/>
    <m/>
    <m/>
    <m/>
    <m/>
    <m/>
    <m/>
    <m/>
    <m/>
    <m/>
    <m/>
    <m/>
    <m/>
    <m/>
    <n v="5"/>
    <n v="7"/>
    <n v="6"/>
    <n v="0"/>
    <n v="2.6633333333333336"/>
    <n v="6.7392592592592599"/>
  </r>
  <r>
    <n v="43"/>
    <x v="42"/>
    <m/>
    <m/>
    <m/>
    <m/>
    <n v="5"/>
    <m/>
    <m/>
    <m/>
    <m/>
    <m/>
    <m/>
    <m/>
    <m/>
    <m/>
    <m/>
    <m/>
    <m/>
    <m/>
    <m/>
    <n v="3"/>
    <n v="5"/>
    <n v="5"/>
    <n v="0"/>
    <n v="2.6633333333333336"/>
    <n v="5.1837037037037037"/>
  </r>
  <r>
    <n v="44"/>
    <x v="43"/>
    <m/>
    <m/>
    <m/>
    <m/>
    <n v="9"/>
    <m/>
    <m/>
    <m/>
    <m/>
    <m/>
    <m/>
    <m/>
    <m/>
    <m/>
    <m/>
    <m/>
    <m/>
    <m/>
    <m/>
    <n v="3"/>
    <n v="9"/>
    <n v="6"/>
    <n v="0"/>
    <n v="3.33"/>
    <n v="7.4799999999999995"/>
  </r>
  <r>
    <n v="45"/>
    <x v="44"/>
    <m/>
    <m/>
    <m/>
    <m/>
    <n v="5"/>
    <m/>
    <m/>
    <m/>
    <m/>
    <m/>
    <m/>
    <m/>
    <m/>
    <m/>
    <m/>
    <m/>
    <m/>
    <m/>
    <m/>
    <n v="2"/>
    <n v="5"/>
    <n v="5"/>
    <n v="7"/>
    <n v="6.33"/>
    <n v="6.5911111111111111"/>
  </r>
  <r>
    <n v="46"/>
    <x v="45"/>
    <m/>
    <m/>
    <m/>
    <m/>
    <n v="8"/>
    <m/>
    <m/>
    <m/>
    <m/>
    <m/>
    <m/>
    <m/>
    <m/>
    <m/>
    <m/>
    <m/>
    <m/>
    <m/>
    <m/>
    <n v="4"/>
    <n v="2"/>
    <n v="4"/>
    <n v="5"/>
    <n v="6.996666666666667"/>
    <n v="5.7762962962962963"/>
  </r>
  <r>
    <n v="47"/>
    <x v="46"/>
    <m/>
    <m/>
    <m/>
    <m/>
    <n v="9"/>
    <m/>
    <m/>
    <m/>
    <m/>
    <m/>
    <m/>
    <m/>
    <m/>
    <m/>
    <m/>
    <m/>
    <m/>
    <m/>
    <m/>
    <n v="3"/>
    <n v="7"/>
    <n v="4"/>
    <n v="0"/>
    <n v="1.9966666666666666"/>
    <n v="5.5540740740740739"/>
  </r>
  <r>
    <n v="48"/>
    <x v="47"/>
    <m/>
    <m/>
    <m/>
    <m/>
    <n v="8"/>
    <m/>
    <m/>
    <m/>
    <m/>
    <m/>
    <m/>
    <m/>
    <m/>
    <m/>
    <m/>
    <m/>
    <m/>
    <m/>
    <m/>
    <n v="7"/>
    <n v="3"/>
    <n v="6"/>
    <n v="6"/>
    <n v="7.9966666666666661"/>
    <n v="7.7762962962962963"/>
  </r>
  <r>
    <n v="49"/>
    <x v="48"/>
    <m/>
    <m/>
    <m/>
    <m/>
    <n v="7"/>
    <m/>
    <m/>
    <m/>
    <m/>
    <m/>
    <m/>
    <m/>
    <m/>
    <m/>
    <m/>
    <m/>
    <m/>
    <m/>
    <m/>
    <n v="5"/>
    <n v="1"/>
    <n v="4"/>
    <n v="4"/>
    <n v="6.6633333333333331"/>
    <n v="5.405925925925926"/>
  </r>
  <r>
    <n v="50"/>
    <x v="49"/>
    <m/>
    <m/>
    <m/>
    <m/>
    <n v="7"/>
    <m/>
    <m/>
    <m/>
    <m/>
    <m/>
    <m/>
    <m/>
    <m/>
    <m/>
    <m/>
    <m/>
    <m/>
    <m/>
    <m/>
    <n v="3"/>
    <n v="6"/>
    <n v="4"/>
    <n v="0"/>
    <n v="1.9966666666666666"/>
    <n v="5.1096296296296293"/>
  </r>
  <r>
    <n v="51"/>
    <x v="50"/>
    <m/>
    <m/>
    <m/>
    <m/>
    <n v="9"/>
    <m/>
    <m/>
    <m/>
    <m/>
    <m/>
    <m/>
    <m/>
    <m/>
    <m/>
    <m/>
    <m/>
    <m/>
    <m/>
    <m/>
    <n v="4"/>
    <n v="9"/>
    <n v="3"/>
    <n v="0"/>
    <n v="2.33"/>
    <n v="6.5911111111111111"/>
  </r>
  <r>
    <n v="52"/>
    <x v="51"/>
    <m/>
    <m/>
    <m/>
    <m/>
    <n v="8"/>
    <m/>
    <m/>
    <m/>
    <m/>
    <m/>
    <m/>
    <m/>
    <m/>
    <m/>
    <m/>
    <m/>
    <m/>
    <m/>
    <m/>
    <n v="4"/>
    <n v="7"/>
    <n v="5"/>
    <n v="0"/>
    <n v="3.6633333333333331"/>
    <n v="6.7392592592592599"/>
  </r>
  <r>
    <n v="53"/>
    <x v="52"/>
    <m/>
    <m/>
    <m/>
    <m/>
    <n v="9"/>
    <m/>
    <m/>
    <m/>
    <m/>
    <m/>
    <m/>
    <m/>
    <m/>
    <m/>
    <m/>
    <m/>
    <m/>
    <m/>
    <m/>
    <n v="4"/>
    <n v="7"/>
    <n v="5"/>
    <n v="0"/>
    <n v="2.33"/>
    <n v="6.1466666666666665"/>
  </r>
  <r>
    <n v="54"/>
    <x v="53"/>
    <m/>
    <m/>
    <m/>
    <m/>
    <n v="2"/>
    <m/>
    <m/>
    <m/>
    <m/>
    <m/>
    <m/>
    <m/>
    <m/>
    <m/>
    <m/>
    <m/>
    <m/>
    <m/>
    <m/>
    <n v="3"/>
    <n v="6"/>
    <n v="4"/>
    <n v="0"/>
    <n v="1.9966666666666666"/>
    <n v="5.1096296296296293"/>
  </r>
  <r>
    <n v="55"/>
    <x v="54"/>
    <m/>
    <m/>
    <m/>
    <m/>
    <n v="8"/>
    <m/>
    <m/>
    <m/>
    <m/>
    <m/>
    <m/>
    <m/>
    <m/>
    <m/>
    <m/>
    <m/>
    <m/>
    <m/>
    <m/>
    <n v="2"/>
    <n v="8"/>
    <n v="4"/>
    <n v="0"/>
    <n v="1.6633333333333336"/>
    <n v="5.6281481481481483"/>
  </r>
  <r>
    <n v="56"/>
    <x v="55"/>
    <m/>
    <m/>
    <m/>
    <m/>
    <n v="8"/>
    <m/>
    <m/>
    <m/>
    <m/>
    <m/>
    <m/>
    <m/>
    <m/>
    <m/>
    <m/>
    <m/>
    <m/>
    <m/>
    <m/>
    <n v="4"/>
    <n v="7"/>
    <n v="6"/>
    <n v="0"/>
    <n v="2.33"/>
    <n v="6.3688888888888888"/>
  </r>
  <r>
    <n v="57"/>
    <x v="56"/>
    <m/>
    <m/>
    <m/>
    <m/>
    <n v="8"/>
    <m/>
    <m/>
    <m/>
    <m/>
    <m/>
    <m/>
    <m/>
    <m/>
    <m/>
    <m/>
    <m/>
    <m/>
    <m/>
    <m/>
    <n v="4"/>
    <n v="8"/>
    <n v="5"/>
    <n v="0"/>
    <n v="2.33"/>
    <n v="6.5911111111111111"/>
  </r>
  <r>
    <n v="58"/>
    <x v="57"/>
    <m/>
    <m/>
    <m/>
    <m/>
    <n v="8"/>
    <m/>
    <m/>
    <m/>
    <m/>
    <m/>
    <m/>
    <m/>
    <m/>
    <m/>
    <m/>
    <m/>
    <m/>
    <m/>
    <m/>
    <n v="3"/>
    <n v="7"/>
    <n v="5"/>
    <n v="0"/>
    <n v="1.9966666666666666"/>
    <n v="5.7762962962962963"/>
  </r>
  <r>
    <n v="59"/>
    <x v="58"/>
    <m/>
    <m/>
    <m/>
    <m/>
    <n v="7"/>
    <m/>
    <m/>
    <m/>
    <m/>
    <m/>
    <m/>
    <m/>
    <m/>
    <m/>
    <m/>
    <m/>
    <m/>
    <m/>
    <m/>
    <n v="7"/>
    <n v="1"/>
    <n v="6"/>
    <n v="7"/>
    <n v="8.663333333333334"/>
    <n v="7.1837037037037037"/>
  </r>
  <r>
    <n v="60"/>
    <x v="59"/>
    <m/>
    <m/>
    <m/>
    <m/>
    <n v="7"/>
    <m/>
    <m/>
    <m/>
    <m/>
    <m/>
    <m/>
    <m/>
    <m/>
    <m/>
    <m/>
    <m/>
    <m/>
    <m/>
    <m/>
    <n v="6"/>
    <n v="8"/>
    <n v="6"/>
    <n v="8"/>
    <n v="8.9966666666666661"/>
    <n v="10.220740740740741"/>
  </r>
  <r>
    <n v="61"/>
    <x v="60"/>
    <m/>
    <m/>
    <m/>
    <m/>
    <n v="6"/>
    <m/>
    <m/>
    <m/>
    <m/>
    <m/>
    <m/>
    <m/>
    <m/>
    <m/>
    <m/>
    <m/>
    <m/>
    <m/>
    <m/>
    <n v="3"/>
    <n v="8"/>
    <n v="4"/>
    <n v="0"/>
    <n v="1.9966666666666666"/>
    <n v="5.9985185185185186"/>
  </r>
  <r>
    <n v="62"/>
    <x v="61"/>
    <m/>
    <m/>
    <m/>
    <m/>
    <n v="9"/>
    <m/>
    <m/>
    <m/>
    <m/>
    <m/>
    <m/>
    <m/>
    <m/>
    <m/>
    <m/>
    <m/>
    <m/>
    <m/>
    <m/>
    <n v="3"/>
    <n v="5"/>
    <n v="4"/>
    <n v="2"/>
    <n v="3.33"/>
    <n v="5.2577777777777781"/>
  </r>
  <r>
    <n v="63"/>
    <x v="62"/>
    <m/>
    <m/>
    <m/>
    <m/>
    <n v="8"/>
    <m/>
    <m/>
    <m/>
    <m/>
    <m/>
    <m/>
    <m/>
    <m/>
    <m/>
    <m/>
    <m/>
    <m/>
    <m/>
    <m/>
    <n v="4"/>
    <n v="7"/>
    <n v="5"/>
    <n v="0"/>
    <n v="2.33"/>
    <n v="6.1466666666666665"/>
  </r>
  <r>
    <n v="64"/>
    <x v="63"/>
    <m/>
    <m/>
    <m/>
    <m/>
    <n v="8"/>
    <m/>
    <m/>
    <m/>
    <m/>
    <m/>
    <m/>
    <m/>
    <m/>
    <m/>
    <m/>
    <m/>
    <m/>
    <m/>
    <m/>
    <n v="7"/>
    <n v="4"/>
    <n v="4"/>
    <n v="0"/>
    <n v="3.996666666666667"/>
    <n v="5.9985185185185186"/>
  </r>
  <r>
    <n v="65"/>
    <x v="64"/>
    <m/>
    <m/>
    <m/>
    <m/>
    <n v="8"/>
    <m/>
    <m/>
    <m/>
    <m/>
    <m/>
    <m/>
    <m/>
    <m/>
    <m/>
    <m/>
    <m/>
    <m/>
    <m/>
    <m/>
    <n v="4"/>
    <n v="7"/>
    <n v="4"/>
    <n v="7"/>
    <n v="6.996666666666667"/>
    <n v="7.9985185185185186"/>
  </r>
  <r>
    <n v="66"/>
    <x v="65"/>
    <m/>
    <m/>
    <m/>
    <m/>
    <n v="8"/>
    <m/>
    <m/>
    <m/>
    <m/>
    <m/>
    <m/>
    <m/>
    <m/>
    <m/>
    <m/>
    <m/>
    <m/>
    <m/>
    <m/>
    <n v="5"/>
    <n v="8"/>
    <n v="7"/>
    <n v="0"/>
    <n v="2.6633333333333336"/>
    <n v="7.405925925925926"/>
  </r>
  <r>
    <n v="67"/>
    <x v="66"/>
    <m/>
    <m/>
    <m/>
    <m/>
    <n v="8"/>
    <m/>
    <m/>
    <m/>
    <m/>
    <m/>
    <m/>
    <m/>
    <m/>
    <m/>
    <m/>
    <m/>
    <m/>
    <m/>
    <m/>
    <n v="3"/>
    <n v="6"/>
    <n v="4"/>
    <n v="0"/>
    <n v="1.9966666666666666"/>
    <n v="5.1096296296296293"/>
  </r>
  <r>
    <n v="68"/>
    <x v="67"/>
    <m/>
    <m/>
    <m/>
    <m/>
    <n v="8"/>
    <m/>
    <m/>
    <m/>
    <m/>
    <m/>
    <m/>
    <m/>
    <m/>
    <m/>
    <m/>
    <m/>
    <m/>
    <m/>
    <m/>
    <n v="7"/>
    <n v="3"/>
    <n v="5"/>
    <n v="0"/>
    <n v="3.996666666666667"/>
    <n v="5.7762962962962963"/>
  </r>
  <r>
    <n v="69"/>
    <x v="68"/>
    <m/>
    <m/>
    <m/>
    <m/>
    <n v="7"/>
    <m/>
    <m/>
    <m/>
    <m/>
    <m/>
    <m/>
    <m/>
    <m/>
    <m/>
    <m/>
    <m/>
    <m/>
    <m/>
    <m/>
    <n v="6"/>
    <n v="4"/>
    <n v="5"/>
    <n v="5"/>
    <n v="6.996666666666667"/>
    <n v="7.3318518518518516"/>
  </r>
  <r>
    <n v="70"/>
    <x v="69"/>
    <m/>
    <m/>
    <m/>
    <m/>
    <n v="8"/>
    <m/>
    <m/>
    <m/>
    <m/>
    <m/>
    <m/>
    <m/>
    <m/>
    <m/>
    <m/>
    <m/>
    <m/>
    <m/>
    <m/>
    <n v="4"/>
    <n v="7"/>
    <n v="5"/>
    <n v="0"/>
    <n v="2.33"/>
    <n v="6.1466666666666665"/>
  </r>
  <r>
    <n v="71"/>
    <x v="70"/>
    <m/>
    <m/>
    <m/>
    <m/>
    <n v="7"/>
    <m/>
    <m/>
    <m/>
    <m/>
    <m/>
    <m/>
    <m/>
    <m/>
    <m/>
    <m/>
    <m/>
    <m/>
    <m/>
    <m/>
    <n v="4"/>
    <n v="2"/>
    <n v="4"/>
    <n v="5"/>
    <n v="6.996666666666667"/>
    <n v="5.7762962962962963"/>
  </r>
  <r>
    <n v="72"/>
    <x v="71"/>
    <m/>
    <m/>
    <m/>
    <m/>
    <n v="8"/>
    <m/>
    <m/>
    <m/>
    <m/>
    <m/>
    <m/>
    <m/>
    <m/>
    <m/>
    <m/>
    <m/>
    <m/>
    <m/>
    <m/>
    <n v="4"/>
    <n v="6"/>
    <n v="5"/>
    <n v="4"/>
    <n v="4.996666666666667"/>
    <n v="6.887407407407407"/>
  </r>
  <r>
    <n v="73"/>
    <x v="72"/>
    <m/>
    <m/>
    <m/>
    <m/>
    <n v="7"/>
    <m/>
    <m/>
    <m/>
    <m/>
    <m/>
    <m/>
    <m/>
    <m/>
    <m/>
    <m/>
    <m/>
    <m/>
    <m/>
    <m/>
    <n v="5"/>
    <n v="1"/>
    <n v="6"/>
    <n v="9"/>
    <n v="9.9966666666666661"/>
    <n v="7.3318518518518516"/>
  </r>
  <r>
    <n v="74"/>
    <x v="73"/>
    <m/>
    <m/>
    <m/>
    <m/>
    <n v="8"/>
    <m/>
    <m/>
    <m/>
    <m/>
    <m/>
    <m/>
    <m/>
    <m/>
    <m/>
    <m/>
    <m/>
    <m/>
    <m/>
    <m/>
    <n v="4"/>
    <n v="7"/>
    <n v="7"/>
    <n v="0"/>
    <n v="2.33"/>
    <n v="6.5911111111111111"/>
  </r>
  <r>
    <n v="75"/>
    <x v="74"/>
    <m/>
    <m/>
    <m/>
    <m/>
    <n v="3"/>
    <m/>
    <m/>
    <m/>
    <m/>
    <m/>
    <m/>
    <m/>
    <m/>
    <m/>
    <m/>
    <m/>
    <m/>
    <m/>
    <m/>
    <n v="4"/>
    <n v="6"/>
    <n v="5"/>
    <n v="6"/>
    <n v="6.996666666666667"/>
    <n v="7.7762962962962963"/>
  </r>
  <r>
    <n v="76"/>
    <x v="75"/>
    <m/>
    <m/>
    <m/>
    <m/>
    <n v="8"/>
    <m/>
    <m/>
    <m/>
    <m/>
    <m/>
    <m/>
    <m/>
    <m/>
    <m/>
    <m/>
    <m/>
    <m/>
    <m/>
    <m/>
    <n v="3"/>
    <n v="7"/>
    <n v="5"/>
    <n v="0"/>
    <n v="1.9966666666666666"/>
    <n v="5.7762962962962963"/>
  </r>
  <r>
    <n v="77"/>
    <x v="76"/>
    <m/>
    <m/>
    <m/>
    <m/>
    <n v="8"/>
    <m/>
    <m/>
    <m/>
    <m/>
    <m/>
    <m/>
    <m/>
    <m/>
    <m/>
    <m/>
    <m/>
    <m/>
    <m/>
    <m/>
    <n v="7"/>
    <n v="4"/>
    <n v="2"/>
    <n v="4"/>
    <n v="6.6633333333333331"/>
    <n v="6.7392592592592599"/>
  </r>
  <r>
    <n v="78"/>
    <x v="77"/>
    <m/>
    <m/>
    <m/>
    <m/>
    <n v="8"/>
    <m/>
    <m/>
    <m/>
    <m/>
    <m/>
    <m/>
    <m/>
    <m/>
    <m/>
    <m/>
    <m/>
    <m/>
    <m/>
    <m/>
    <n v="3"/>
    <n v="7"/>
    <n v="5"/>
    <n v="0"/>
    <n v="1.9966666666666666"/>
    <n v="5.7762962962962963"/>
  </r>
  <r>
    <n v="79"/>
    <x v="78"/>
    <m/>
    <m/>
    <m/>
    <m/>
    <n v="6"/>
    <m/>
    <m/>
    <m/>
    <m/>
    <m/>
    <m/>
    <m/>
    <m/>
    <m/>
    <m/>
    <m/>
    <m/>
    <m/>
    <m/>
    <n v="4"/>
    <n v="6"/>
    <n v="5"/>
    <n v="0"/>
    <n v="2.9966666666666666"/>
    <n v="5.9985185185185186"/>
  </r>
  <r>
    <n v="80"/>
    <x v="79"/>
    <m/>
    <m/>
    <m/>
    <m/>
    <n v="8"/>
    <m/>
    <m/>
    <m/>
    <m/>
    <m/>
    <m/>
    <m/>
    <m/>
    <m/>
    <m/>
    <m/>
    <m/>
    <m/>
    <m/>
    <n v="4"/>
    <n v="7"/>
    <n v="3"/>
    <n v="0"/>
    <n v="2.9966666666666666"/>
    <n v="5.9985185185185186"/>
  </r>
  <r>
    <n v="81"/>
    <x v="80"/>
    <m/>
    <m/>
    <m/>
    <m/>
    <n v="7"/>
    <m/>
    <m/>
    <m/>
    <m/>
    <m/>
    <m/>
    <m/>
    <m/>
    <m/>
    <m/>
    <m/>
    <m/>
    <m/>
    <m/>
    <n v="4"/>
    <n v="1"/>
    <n v="5"/>
    <n v="6"/>
    <n v="6.996666666666667"/>
    <n v="5.5540740740740739"/>
  </r>
  <r>
    <n v="82"/>
    <x v="81"/>
    <m/>
    <m/>
    <m/>
    <m/>
    <n v="8"/>
    <m/>
    <m/>
    <m/>
    <m/>
    <m/>
    <m/>
    <m/>
    <m/>
    <m/>
    <m/>
    <m/>
    <m/>
    <m/>
    <m/>
    <n v="4"/>
    <n v="6"/>
    <n v="5"/>
    <n v="4"/>
    <n v="5.6633333333333331"/>
    <n v="7.1837037037037037"/>
  </r>
  <r>
    <n v="83"/>
    <x v="82"/>
    <m/>
    <m/>
    <m/>
    <m/>
    <n v="3"/>
    <m/>
    <m/>
    <m/>
    <m/>
    <m/>
    <m/>
    <m/>
    <m/>
    <m/>
    <m/>
    <m/>
    <m/>
    <m/>
    <m/>
    <n v="3"/>
    <n v="7"/>
    <n v="5"/>
    <n v="0"/>
    <n v="2.6633333333333336"/>
    <n v="6.072592592592593"/>
  </r>
  <r>
    <n v="84"/>
    <x v="83"/>
    <m/>
    <m/>
    <m/>
    <m/>
    <n v="7"/>
    <m/>
    <m/>
    <m/>
    <m/>
    <m/>
    <m/>
    <m/>
    <m/>
    <m/>
    <m/>
    <m/>
    <m/>
    <m/>
    <m/>
    <n v="5"/>
    <n v="1"/>
    <n v="5"/>
    <n v="6"/>
    <n v="7.9966666666666661"/>
    <n v="6.2207407407407409"/>
  </r>
  <r>
    <n v="85"/>
    <x v="84"/>
    <m/>
    <m/>
    <m/>
    <m/>
    <n v="8"/>
    <m/>
    <m/>
    <m/>
    <m/>
    <m/>
    <m/>
    <m/>
    <m/>
    <m/>
    <m/>
    <m/>
    <m/>
    <m/>
    <m/>
    <n v="4"/>
    <n v="6"/>
    <n v="3"/>
    <n v="0"/>
    <n v="2.9966666666666666"/>
    <n v="5.5540740740740739"/>
  </r>
  <r>
    <n v="86"/>
    <x v="85"/>
    <m/>
    <m/>
    <m/>
    <m/>
    <n v="8"/>
    <m/>
    <m/>
    <m/>
    <m/>
    <m/>
    <m/>
    <m/>
    <m/>
    <m/>
    <m/>
    <m/>
    <m/>
    <m/>
    <m/>
    <n v="3"/>
    <n v="7"/>
    <n v="7"/>
    <n v="0"/>
    <n v="1.9966666666666666"/>
    <n v="6.2207407407407409"/>
  </r>
  <r>
    <n v="87"/>
    <x v="86"/>
    <m/>
    <m/>
    <m/>
    <m/>
    <n v="7"/>
    <m/>
    <m/>
    <m/>
    <m/>
    <m/>
    <m/>
    <m/>
    <m/>
    <m/>
    <m/>
    <m/>
    <m/>
    <m/>
    <m/>
    <n v="3"/>
    <n v="6"/>
    <n v="6"/>
    <n v="7"/>
    <n v="7.9966666666666661"/>
    <n v="8.2207407407407409"/>
  </r>
  <r>
    <n v="88"/>
    <x v="87"/>
    <m/>
    <m/>
    <m/>
    <m/>
    <n v="8"/>
    <m/>
    <m/>
    <m/>
    <m/>
    <m/>
    <m/>
    <m/>
    <m/>
    <m/>
    <m/>
    <m/>
    <m/>
    <m/>
    <m/>
    <n v="4"/>
    <n v="7"/>
    <n v="4"/>
    <n v="9"/>
    <n v="9.663333333333334"/>
    <n v="9.1837037037037046"/>
  </r>
  <r>
    <n v="89"/>
    <x v="88"/>
    <m/>
    <m/>
    <m/>
    <m/>
    <n v="9"/>
    <m/>
    <m/>
    <m/>
    <m/>
    <m/>
    <m/>
    <m/>
    <m/>
    <m/>
    <m/>
    <m/>
    <m/>
    <m/>
    <m/>
    <n v="5"/>
    <n v="4"/>
    <n v="3"/>
    <n v="0"/>
    <n v="3.33"/>
    <n v="5.0355555555555558"/>
  </r>
  <r>
    <n v="90"/>
    <x v="89"/>
    <m/>
    <m/>
    <m/>
    <m/>
    <n v="7"/>
    <m/>
    <m/>
    <m/>
    <m/>
    <m/>
    <m/>
    <m/>
    <m/>
    <m/>
    <m/>
    <m/>
    <m/>
    <m/>
    <m/>
    <n v="3"/>
    <n v="7"/>
    <n v="6"/>
    <n v="0"/>
    <n v="1.9966666666666666"/>
    <n v="5.9985185185185186"/>
  </r>
  <r>
    <n v="91"/>
    <x v="90"/>
    <m/>
    <m/>
    <m/>
    <m/>
    <n v="6"/>
    <m/>
    <m/>
    <m/>
    <m/>
    <m/>
    <m/>
    <m/>
    <m/>
    <m/>
    <m/>
    <m/>
    <m/>
    <m/>
    <m/>
    <n v="7"/>
    <n v="6"/>
    <n v="7"/>
    <n v="0"/>
    <n v="3.996666666666667"/>
    <n v="7.5540740740740739"/>
  </r>
  <r>
    <n v="92"/>
    <x v="91"/>
    <m/>
    <m/>
    <m/>
    <m/>
    <n v="8"/>
    <m/>
    <m/>
    <m/>
    <m/>
    <m/>
    <m/>
    <m/>
    <m/>
    <m/>
    <m/>
    <m/>
    <m/>
    <m/>
    <m/>
    <n v="3"/>
    <n v="7"/>
    <n v="5"/>
    <n v="2"/>
    <n v="2.9966666666666666"/>
    <n v="6.2207407407407409"/>
  </r>
  <r>
    <n v="93"/>
    <x v="92"/>
    <m/>
    <m/>
    <m/>
    <m/>
    <n v="7"/>
    <m/>
    <m/>
    <m/>
    <m/>
    <m/>
    <m/>
    <m/>
    <m/>
    <m/>
    <m/>
    <m/>
    <m/>
    <m/>
    <m/>
    <n v="4"/>
    <n v="6"/>
    <n v="7"/>
    <n v="0"/>
    <n v="2.9966666666666666"/>
    <n v="6.4429629629629623"/>
  </r>
  <r>
    <n v="94"/>
    <x v="93"/>
    <m/>
    <m/>
    <m/>
    <m/>
    <n v="8"/>
    <m/>
    <m/>
    <m/>
    <m/>
    <m/>
    <m/>
    <m/>
    <m/>
    <m/>
    <m/>
    <m/>
    <m/>
    <m/>
    <m/>
    <n v="4"/>
    <n v="4"/>
    <n v="6"/>
    <n v="8"/>
    <n v="8.9966666666666661"/>
    <n v="7.9985185185185186"/>
  </r>
  <r>
    <n v="95"/>
    <x v="94"/>
    <m/>
    <m/>
    <m/>
    <m/>
    <n v="8"/>
    <m/>
    <m/>
    <m/>
    <m/>
    <m/>
    <m/>
    <m/>
    <m/>
    <m/>
    <m/>
    <m/>
    <m/>
    <m/>
    <m/>
    <n v="3"/>
    <n v="4"/>
    <n v="5"/>
    <n v="7"/>
    <n v="7.9966666666666661"/>
    <n v="7.1096296296296293"/>
  </r>
  <r>
    <n v="96"/>
    <x v="95"/>
    <m/>
    <m/>
    <m/>
    <m/>
    <n v="5"/>
    <m/>
    <m/>
    <m/>
    <m/>
    <m/>
    <m/>
    <m/>
    <m/>
    <m/>
    <m/>
    <m/>
    <m/>
    <m/>
    <m/>
    <n v="8"/>
    <n v="3"/>
    <n v="5"/>
    <n v="0"/>
    <n v="3.6633333333333331"/>
    <n v="5.8503703703703707"/>
  </r>
  <r>
    <n v="97"/>
    <x v="96"/>
    <m/>
    <m/>
    <m/>
    <m/>
    <n v="7"/>
    <m/>
    <m/>
    <m/>
    <m/>
    <m/>
    <m/>
    <m/>
    <m/>
    <m/>
    <m/>
    <m/>
    <m/>
    <m/>
    <m/>
    <n v="5"/>
    <n v="2"/>
    <n v="4"/>
    <n v="3"/>
    <n v="5.996666666666667"/>
    <n v="5.5540740740740739"/>
  </r>
  <r>
    <n v="98"/>
    <x v="97"/>
    <m/>
    <m/>
    <m/>
    <m/>
    <n v="9"/>
    <m/>
    <m/>
    <m/>
    <m/>
    <m/>
    <m/>
    <m/>
    <m/>
    <m/>
    <m/>
    <m/>
    <m/>
    <m/>
    <m/>
    <n v="3"/>
    <n v="9"/>
    <n v="6"/>
    <n v="0"/>
    <n v="1.9966666666666666"/>
    <n v="6.887407407407407"/>
  </r>
  <r>
    <n v="99"/>
    <x v="98"/>
    <m/>
    <m/>
    <m/>
    <m/>
    <n v="8"/>
    <m/>
    <m/>
    <m/>
    <m/>
    <m/>
    <m/>
    <m/>
    <m/>
    <m/>
    <m/>
    <m/>
    <m/>
    <m/>
    <m/>
    <n v="5"/>
    <n v="4"/>
    <n v="6"/>
    <n v="8"/>
    <n v="9.33"/>
    <n v="8.36888888888888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915797-9D3A-4DD6-8170-51DC2950370D}" name="Tabela dinâmica1" cacheId="266"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9:G109" firstHeaderRow="0" firstDataRow="1" firstDataCol="1"/>
  <pivotFields count="27">
    <pivotField compact="0" outline="0" showAll="0"/>
    <pivotField axis="axisRow" compact="0" outline="0" showAll="0">
      <items count="100">
        <item x="12"/>
        <item x="80"/>
        <item x="89"/>
        <item x="43"/>
        <item x="35"/>
        <item x="6"/>
        <item x="26"/>
        <item x="34"/>
        <item x="44"/>
        <item x="25"/>
        <item x="19"/>
        <item x="31"/>
        <item x="4"/>
        <item x="3"/>
        <item x="63"/>
        <item x="58"/>
        <item x="54"/>
        <item x="16"/>
        <item x="69"/>
        <item x="92"/>
        <item x="68"/>
        <item x="73"/>
        <item x="33"/>
        <item x="2"/>
        <item x="93"/>
        <item x="86"/>
        <item x="14"/>
        <item x="67"/>
        <item x="95"/>
        <item x="10"/>
        <item x="28"/>
        <item x="5"/>
        <item x="20"/>
        <item x="60"/>
        <item x="59"/>
        <item x="78"/>
        <item x="24"/>
        <item x="32"/>
        <item x="50"/>
        <item x="83"/>
        <item x="84"/>
        <item x="64"/>
        <item x="29"/>
        <item x="30"/>
        <item x="18"/>
        <item x="40"/>
        <item x="17"/>
        <item x="79"/>
        <item x="61"/>
        <item x="9"/>
        <item x="75"/>
        <item x="98"/>
        <item x="96"/>
        <item x="94"/>
        <item x="42"/>
        <item x="87"/>
        <item x="72"/>
        <item x="36"/>
        <item x="56"/>
        <item x="77"/>
        <item x="39"/>
        <item x="38"/>
        <item x="51"/>
        <item x="46"/>
        <item x="90"/>
        <item x="71"/>
        <item x="70"/>
        <item x="81"/>
        <item x="52"/>
        <item x="74"/>
        <item x="48"/>
        <item x="27"/>
        <item x="1"/>
        <item x="76"/>
        <item x="62"/>
        <item x="23"/>
        <item x="41"/>
        <item x="15"/>
        <item x="97"/>
        <item x="22"/>
        <item x="7"/>
        <item x="13"/>
        <item x="8"/>
        <item x="65"/>
        <item x="57"/>
        <item x="37"/>
        <item x="88"/>
        <item x="45"/>
        <item x="0"/>
        <item x="85"/>
        <item x="53"/>
        <item x="55"/>
        <item x="21"/>
        <item x="49"/>
        <item x="11"/>
        <item x="47"/>
        <item x="91"/>
        <item x="66"/>
        <item x="8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numFmtId="2" outline="0" showAll="0"/>
    <pivotField dataField="1" compact="0" numFmtId="2" outline="0" showAll="0"/>
  </pivotFields>
  <rowFields count="1">
    <field x="1"/>
  </rowFields>
  <rowItems count="1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t="grand">
      <x/>
    </i>
  </rowItems>
  <colFields count="1">
    <field x="-2"/>
  </colFields>
  <colItems count="6">
    <i>
      <x/>
    </i>
    <i i="1">
      <x v="1"/>
    </i>
    <i i="2">
      <x v="2"/>
    </i>
    <i i="3">
      <x v="3"/>
    </i>
    <i i="4">
      <x v="4"/>
    </i>
    <i i="5">
      <x v="5"/>
    </i>
  </colItems>
  <dataFields count="6">
    <dataField name="Soma de Durability" fld="21" baseField="0" baseItem="0"/>
    <dataField name="Soma de Distância-Ataque" fld="22" baseField="0" baseItem="0"/>
    <dataField name="Soma de C Durability" fld="23" baseField="0" baseItem="0"/>
    <dataField name="Soma de Ataque-Surpresa" fld="24" baseField="0" baseItem="0"/>
    <dataField name="Soma de Aproximação-Fácil" fld="25" baseField="0" baseItem="0" numFmtId="2"/>
    <dataField name="Soma de C Distância-ataque" fld="26" baseField="0" baseItem="0" numFmtId="2"/>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D922FA-2CF3-4034-888D-7EE2F785F282}" name="Tabela dinâmica3" cacheId="264" dataOnRows="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E4:H64" firstHeaderRow="1" firstDataRow="3" firstDataCol="1"/>
  <pivotFields count="60">
    <pivotField axis="axisCol" compact="0" outline="0" showAll="0">
      <items count="19">
        <item x="9"/>
        <item x="4"/>
        <item x="13"/>
        <item x="6"/>
        <item x="8"/>
        <item x="16"/>
        <item x="14"/>
        <item x="2"/>
        <item x="17"/>
        <item x="11"/>
        <item x="3"/>
        <item x="12"/>
        <item x="10"/>
        <item x="5"/>
        <item x="1"/>
        <item x="7"/>
        <item x="15"/>
        <item x="0"/>
        <item t="default"/>
      </items>
    </pivotField>
    <pivotField axis="axisCol" compact="0" outline="0" showAll="0">
      <items count="19">
        <item h="1" x="1"/>
        <item h="1" x="8"/>
        <item h="1" x="16"/>
        <item h="1" x="9"/>
        <item h="1" x="5"/>
        <item h="1" x="11"/>
        <item h="1" x="15"/>
        <item h="1" x="4"/>
        <item h="1" x="17"/>
        <item h="1" x="13"/>
        <item h="1" x="0"/>
        <item h="1" x="12"/>
        <item h="1" x="7"/>
        <item h="1" x="2"/>
        <item h="1" x="10"/>
        <item h="1" x="6"/>
        <item h="1" x="3"/>
        <item x="14"/>
        <item t="default"/>
      </items>
    </pivotField>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2"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s>
  <rowFields count="1">
    <field x="-2"/>
  </rowFields>
  <rowItems count="58">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rowItems>
  <colFields count="2">
    <field x="1"/>
    <field x="0"/>
  </colFields>
  <colItems count="3">
    <i>
      <x v="17"/>
      <x v="6"/>
    </i>
    <i t="default">
      <x v="17"/>
    </i>
    <i t="grand">
      <x/>
    </i>
  </colItems>
  <dataFields count="58">
    <dataField name="Soma de PROJETEIS-PARA-SUPER" fld="2" baseField="0" baseItem="0" numFmtId="164"/>
    <dataField name="Soma de SUPERS-PARA-HIPERCARGA" fld="3" baseField="0" baseItem="0" numFmtId="164"/>
    <dataField name="Soma de DANO-PROJETIL" fld="4" baseField="0" baseItem="0" numFmtId="164"/>
    <dataField name="Soma de TIROS-DADOS-EM-5-SEGUNDOS" fld="5" baseField="0" baseItem="0" numFmtId="164"/>
    <dataField name="Soma de MÉDIA-PROJETEIS-POR-TIRO" fld="6" baseField="0" baseItem="0" numFmtId="164"/>
    <dataField name="Soma de CURTO-ALCANCE-QUANT-PROJETIL-MEDIO" fld="7" baseField="0" baseItem="0" numFmtId="164"/>
    <dataField name="Soma de MEDIO-ALCANCE-QUANT-PROJETIL-MEDIO" fld="8" baseField="0" baseItem="0" numFmtId="164"/>
    <dataField name="Soma de LONGO-ALCANCE-QUANT-PROJETIL-MEDIO" fld="9" baseField="0" baseItem="0" numFmtId="164"/>
    <dataField name="Soma de MTLONGO-ALCANCE-QUANT-PROJETIL-MEDIO" fld="10" baseField="0" baseItem="0" numFmtId="164"/>
    <dataField name="Soma de CARREGAMENTO-SUPER-AO-ACERTAR-EM-PROJETEIS" fld="11" baseField="0" baseItem="0" numFmtId="164"/>
    <dataField name="Soma de CURTO-ALCANCE-DANO-SUPER-MEDIO" fld="12" baseField="0" baseItem="0" numFmtId="164"/>
    <dataField name="Soma de MEDIO-ALCANCE-DANO-SUPER-MEDIO" fld="13" baseField="0" baseItem="0" numFmtId="164"/>
    <dataField name="Soma de LONGO-ALCANCE-DANO-SUPER-MEDIO" fld="14" baseField="0" baseItem="0" numFmtId="164"/>
    <dataField name="Soma de MT-LONGO-ALCANCE-DANO-SUPER-MEDIO" fld="15" baseField="0" baseItem="0" numFmtId="164"/>
    <dataField name="Soma de MÉDIA-DANO-POR-SUPER" fld="16" baseField="0" baseItem="0" numFmtId="164"/>
    <dataField name="Soma de DANO-OCASIONAL" fld="17" baseField="0" baseItem="0" numFmtId="164"/>
    <dataField name="Soma de Durability" fld="18" baseField="0" baseItem="0" numFmtId="2"/>
    <dataField name="Soma de Distância-Ataque" fld="19" baseField="0" baseItem="0" numFmtId="164"/>
    <dataField name="Soma de Botão-de-Fuga" fld="20" baseField="0" baseItem="0" numFmtId="164"/>
    <dataField name="Soma de Ataque-amplo" fld="21" baseField="0" baseItem="0" numFmtId="164"/>
    <dataField name="Soma de FREQUENCIA-DANO-INDIRETO" fld="22" baseField="0" baseItem="0" numFmtId="164"/>
    <dataField name="Soma de NEGACAO-DE-AREA" fld="23" baseField="0" baseItem="0" numFmtId="164"/>
    <dataField name="Soma de MANIPULACAO-DA-POSICAO-DE-INIMIGOS" fld="24" baseField="0" baseItem="0" numFmtId="164"/>
    <dataField name="Soma de ANDA-SOBRE-AGUA" fld="25" baseField="0" baseItem="0" numFmtId="164"/>
    <dataField name="Soma de COMBATER-INIMIGOS-SOBRE-AGUA" fld="26" baseField="0" baseItem="0" numFmtId="164"/>
    <dataField name="Soma de POTENCIAL-DESTRUIÇÃO-DE-MUROS" fld="27" baseField="0" baseItem="0" numFmtId="164"/>
    <dataField name="Soma de POTENCIAL-DESTRUIÇÃO-DE-MOITAS" fld="28" baseField="0" baseItem="0" numFmtId="164"/>
    <dataField name="Soma de POTENCIAL-DE-CRIACAO-DE-COVER" fld="29" baseField="0" baseItem="0" numFmtId="164"/>
    <dataField name="Soma de VELOCIDADE-MOVIMENTO" fld="30" baseField="0" baseItem="0" numFmtId="164"/>
    <dataField name="Soma de FORÇA-ATK-SURP" fld="31" baseField="0" baseItem="0" numFmtId="164"/>
    <dataField name="Soma de Ataque-Surpresa" fld="32" baseField="0" baseItem="0" numFmtId="164"/>
    <dataField name="Soma de FREQUÊNCIA-GERAÇÃO-DE-PETS" fld="33" baseField="0" baseItem="0" numFmtId="164"/>
    <dataField name="Soma de ACÚMULO-PETS" fld="34" baseField="0" baseItem="0" numFmtId="164"/>
    <dataField name="Soma de VIDA-DETERIORÁVEL-PETS" fld="35" baseField="0" baseItem="0" numFmtId="164"/>
    <dataField name="Soma de RESISTÊNCIA-PETS" fld="36" baseField="0" baseItem="0" numFmtId="164"/>
    <dataField name="Soma de DANO-PETS" fld="37" baseField="0" baseItem="0" numFmtId="164"/>
    <dataField name="Soma de ALCANCE-PETS" fld="38" baseField="0" baseItem="0" numFmtId="164"/>
    <dataField name="Soma de VELOCIDADE-PETS" fld="39" baseField="0" baseItem="0" numFmtId="164"/>
    <dataField name="Soma de PROXIMIDADE-PETS" fld="40" baseField="0" baseItem="0" numFmtId="164"/>
    <dataField name="Soma de DANO-AUMENTADO-QUANDO-AGRUPADO" fld="41" baseField="0" baseItem="0" numFmtId="164"/>
    <dataField name="Soma de CIRCUNSTANCIABILIDADE" fld="42" baseField="0" baseItem="0" numFmtId="164"/>
    <dataField name="Soma de HP-SUPORTE" fld="43" baseField="0" baseItem="0" numFmtId="164"/>
    <dataField name="Soma de HP-ENFRAQUECIMENTO" fld="44" baseField="0" baseItem="0" numFmtId="164"/>
    <dataField name="Soma de ESCUDO-SUPORTE" fld="49" baseField="0" baseItem="0" numFmtId="164"/>
    <dataField name="Soma de DANO-SUPORTE" fld="45" baseField="0" baseItem="0" numFmtId="164"/>
    <dataField name="Soma de DANO-ENFRAQUECIMENTO" fld="46" baseField="0" baseItem="0" numFmtId="164"/>
    <dataField name="Soma de SPEED-SUPORTE" fld="47" baseField="0" baseItem="0" numFmtId="164"/>
    <dataField name="Soma de INVISIBILIDADE-SUPORTE" fld="48" baseField="0" baseItem="0" numFmtId="164"/>
    <dataField name="Soma de POSICIONAMENTO-SUPORTE" fld="50" baseField="0" baseItem="0" numFmtId="164"/>
    <dataField name="Soma de VENENO-DEBUFF" fld="51" baseField="0" baseItem="0" numFmtId="164"/>
    <dataField name="Soma de COUNTER-VENENO-DEBUFF" fld="52" baseField="0" baseItem="0" numFmtId="164"/>
    <dataField name="Soma de STUN-DEBUFF" fld="55" baseField="0" baseItem="0" numFmtId="164"/>
    <dataField name="Soma de COUNTER-STUN-DEBUFF" fld="56" baseField="0" baseItem="0" numFmtId="164"/>
    <dataField name="Soma de LENTIDAO-DEBUFF" fld="53" baseField="0" baseItem="0" numFmtId="164"/>
    <dataField name="Soma de COUNTER-LENTIDAO-DEBUFF" fld="54" baseField="0" baseItem="0" numFmtId="164"/>
    <dataField name="Soma de BLOQUEIO-DE-INIMIGOS" fld="59" baseField="0" baseItem="0" numFmtId="164"/>
    <dataField name="Soma de CANCELAMENTO-ATAQUES" fld="57" baseField="0" baseItem="0" numFmtId="164"/>
    <dataField name="Soma de COUNTER-CANCELAMENTO-ATAQUES" fld="58" baseField="0" baseItem="0" numFmtId="164"/>
  </dataFields>
  <formats count="80">
    <format dxfId="438">
      <pivotArea outline="0" collapsedLevelsAreSubtotals="1" fieldPosition="0"/>
    </format>
    <format dxfId="439">
      <pivotArea field="1" type="button" dataOnly="0" labelOnly="1" outline="0" axis="axisCol" fieldPosition="0"/>
    </format>
    <format dxfId="440">
      <pivotArea field="0" type="button" dataOnly="0" labelOnly="1" outline="0" axis="axisCol" fieldPosition="1"/>
    </format>
    <format dxfId="441">
      <pivotArea type="topRight" dataOnly="0" labelOnly="1" outline="0" fieldPosition="0"/>
    </format>
    <format dxfId="442">
      <pivotArea dataOnly="0" labelOnly="1" outline="0" fieldPosition="0">
        <references count="1">
          <reference field="1" count="0"/>
        </references>
      </pivotArea>
    </format>
    <format dxfId="443">
      <pivotArea dataOnly="0" labelOnly="1" outline="0" fieldPosition="0">
        <references count="1">
          <reference field="1" count="0" defaultSubtotal="1"/>
        </references>
      </pivotArea>
    </format>
    <format dxfId="444">
      <pivotArea dataOnly="0" labelOnly="1" grandCol="1" outline="0" fieldPosition="0"/>
    </format>
    <format dxfId="445">
      <pivotArea dataOnly="0" labelOnly="1" outline="0" fieldPosition="0">
        <references count="2">
          <reference field="0" count="1">
            <x v="14"/>
          </reference>
          <reference field="1" count="0" selected="0"/>
        </references>
      </pivotArea>
    </format>
    <format dxfId="446">
      <pivotArea outline="0" collapsedLevelsAreSubtotals="1" fieldPosition="0"/>
    </format>
    <format dxfId="447">
      <pivotArea field="1" type="button" dataOnly="0" labelOnly="1" outline="0" axis="axisCol" fieldPosition="0"/>
    </format>
    <format dxfId="448">
      <pivotArea field="0" type="button" dataOnly="0" labelOnly="1" outline="0" axis="axisCol" fieldPosition="1"/>
    </format>
    <format dxfId="449">
      <pivotArea type="topRight" dataOnly="0" labelOnly="1" outline="0" fieldPosition="0"/>
    </format>
    <format dxfId="450">
      <pivotArea dataOnly="0" labelOnly="1" outline="0" fieldPosition="0">
        <references count="1">
          <reference field="1" count="0"/>
        </references>
      </pivotArea>
    </format>
    <format dxfId="451">
      <pivotArea dataOnly="0" labelOnly="1" outline="0" fieldPosition="0">
        <references count="1">
          <reference field="1" count="0" defaultSubtotal="1"/>
        </references>
      </pivotArea>
    </format>
    <format dxfId="452">
      <pivotArea dataOnly="0" labelOnly="1" grandCol="1" outline="0" fieldPosition="0"/>
    </format>
    <format dxfId="453">
      <pivotArea dataOnly="0" labelOnly="1" outline="0" fieldPosition="0">
        <references count="2">
          <reference field="0" count="1">
            <x v="14"/>
          </reference>
          <reference field="1" count="0" selected="0"/>
        </references>
      </pivotArea>
    </format>
    <format dxfId="454">
      <pivotArea outline="0" collapsedLevelsAreSubtotals="1" fieldPosition="0"/>
    </format>
    <format dxfId="455">
      <pivotArea field="1" type="button" dataOnly="0" labelOnly="1" outline="0" axis="axisCol" fieldPosition="0"/>
    </format>
    <format dxfId="456">
      <pivotArea field="0" type="button" dataOnly="0" labelOnly="1" outline="0" axis="axisCol" fieldPosition="1"/>
    </format>
    <format dxfId="457">
      <pivotArea type="topRight" dataOnly="0" labelOnly="1" outline="0" fieldPosition="0"/>
    </format>
    <format dxfId="458">
      <pivotArea dataOnly="0" labelOnly="1" outline="0" fieldPosition="0">
        <references count="1">
          <reference field="1" count="0"/>
        </references>
      </pivotArea>
    </format>
    <format dxfId="459">
      <pivotArea dataOnly="0" labelOnly="1" outline="0" fieldPosition="0">
        <references count="1">
          <reference field="1" count="0" defaultSubtotal="1"/>
        </references>
      </pivotArea>
    </format>
    <format dxfId="460">
      <pivotArea dataOnly="0" labelOnly="1" grandCol="1" outline="0" fieldPosition="0"/>
    </format>
    <format dxfId="461">
      <pivotArea dataOnly="0" labelOnly="1" outline="0" fieldPosition="0">
        <references count="2">
          <reference field="0" count="1">
            <x v="14"/>
          </reference>
          <reference field="1" count="0" selected="0"/>
        </references>
      </pivotArea>
    </format>
    <format dxfId="462">
      <pivotArea outline="0" collapsedLevelsAreSubtotals="1" fieldPosition="0"/>
    </format>
    <format dxfId="463">
      <pivotArea field="1" type="button" dataOnly="0" labelOnly="1" outline="0" axis="axisCol" fieldPosition="0"/>
    </format>
    <format dxfId="464">
      <pivotArea field="0" type="button" dataOnly="0" labelOnly="1" outline="0" axis="axisCol" fieldPosition="1"/>
    </format>
    <format dxfId="465">
      <pivotArea type="topRight" dataOnly="0" labelOnly="1" outline="0" fieldPosition="0"/>
    </format>
    <format dxfId="466">
      <pivotArea dataOnly="0" labelOnly="1" outline="0" fieldPosition="0">
        <references count="1">
          <reference field="1" count="0"/>
        </references>
      </pivotArea>
    </format>
    <format dxfId="467">
      <pivotArea dataOnly="0" labelOnly="1" outline="0" fieldPosition="0">
        <references count="1">
          <reference field="1" count="0" defaultSubtotal="1"/>
        </references>
      </pivotArea>
    </format>
    <format dxfId="468">
      <pivotArea dataOnly="0" labelOnly="1" grandCol="1" outline="0" fieldPosition="0"/>
    </format>
    <format dxfId="469">
      <pivotArea dataOnly="0" labelOnly="1" outline="0" fieldPosition="0">
        <references count="2">
          <reference field="0" count="1">
            <x v="14"/>
          </reference>
          <reference field="1" count="0" selected="0"/>
        </references>
      </pivotArea>
    </format>
    <format dxfId="470">
      <pivotArea outline="0" collapsedLevelsAreSubtotals="1" fieldPosition="0"/>
    </format>
    <format dxfId="471">
      <pivotArea field="1" type="button" dataOnly="0" labelOnly="1" outline="0" axis="axisCol" fieldPosition="0"/>
    </format>
    <format dxfId="472">
      <pivotArea field="0" type="button" dataOnly="0" labelOnly="1" outline="0" axis="axisCol" fieldPosition="1"/>
    </format>
    <format dxfId="473">
      <pivotArea type="topRight" dataOnly="0" labelOnly="1" outline="0" fieldPosition="0"/>
    </format>
    <format dxfId="474">
      <pivotArea dataOnly="0" labelOnly="1" outline="0" fieldPosition="0">
        <references count="1">
          <reference field="1" count="0"/>
        </references>
      </pivotArea>
    </format>
    <format dxfId="475">
      <pivotArea dataOnly="0" labelOnly="1" outline="0" fieldPosition="0">
        <references count="1">
          <reference field="1" count="0" defaultSubtotal="1"/>
        </references>
      </pivotArea>
    </format>
    <format dxfId="476">
      <pivotArea dataOnly="0" labelOnly="1" grandCol="1" outline="0" fieldPosition="0"/>
    </format>
    <format dxfId="477">
      <pivotArea dataOnly="0" labelOnly="1" outline="0" fieldPosition="0">
        <references count="2">
          <reference field="0" count="1">
            <x v="14"/>
          </reference>
          <reference field="1" count="0" selected="0"/>
        </references>
      </pivotArea>
    </format>
    <format dxfId="478">
      <pivotArea outline="0" collapsedLevelsAreSubtotals="1" fieldPosition="0"/>
    </format>
    <format dxfId="479">
      <pivotArea field="1" type="button" dataOnly="0" labelOnly="1" outline="0" axis="axisCol" fieldPosition="0"/>
    </format>
    <format dxfId="480">
      <pivotArea field="0" type="button" dataOnly="0" labelOnly="1" outline="0" axis="axisCol" fieldPosition="1"/>
    </format>
    <format dxfId="481">
      <pivotArea type="topRight" dataOnly="0" labelOnly="1" outline="0" fieldPosition="0"/>
    </format>
    <format dxfId="482">
      <pivotArea dataOnly="0" labelOnly="1" outline="0" fieldPosition="0">
        <references count="1">
          <reference field="1" count="0"/>
        </references>
      </pivotArea>
    </format>
    <format dxfId="483">
      <pivotArea dataOnly="0" labelOnly="1" outline="0" fieldPosition="0">
        <references count="1">
          <reference field="1" count="0" defaultSubtotal="1"/>
        </references>
      </pivotArea>
    </format>
    <format dxfId="484">
      <pivotArea dataOnly="0" labelOnly="1" grandCol="1" outline="0" fieldPosition="0"/>
    </format>
    <format dxfId="485">
      <pivotArea dataOnly="0" labelOnly="1" outline="0" fieldPosition="0">
        <references count="2">
          <reference field="0" count="1">
            <x v="14"/>
          </reference>
          <reference field="1" count="0" selected="0"/>
        </references>
      </pivotArea>
    </format>
    <format dxfId="486">
      <pivotArea outline="0" collapsedLevelsAreSubtotals="1" fieldPosition="0"/>
    </format>
    <format dxfId="487">
      <pivotArea field="1" type="button" dataOnly="0" labelOnly="1" outline="0" axis="axisCol" fieldPosition="0"/>
    </format>
    <format dxfId="488">
      <pivotArea field="0" type="button" dataOnly="0" labelOnly="1" outline="0" axis="axisCol" fieldPosition="1"/>
    </format>
    <format dxfId="489">
      <pivotArea type="topRight" dataOnly="0" labelOnly="1" outline="0" fieldPosition="0"/>
    </format>
    <format dxfId="490">
      <pivotArea dataOnly="0" labelOnly="1" outline="0" fieldPosition="0">
        <references count="1">
          <reference field="1" count="0"/>
        </references>
      </pivotArea>
    </format>
    <format dxfId="491">
      <pivotArea dataOnly="0" labelOnly="1" outline="0" fieldPosition="0">
        <references count="1">
          <reference field="1" count="0" defaultSubtotal="1"/>
        </references>
      </pivotArea>
    </format>
    <format dxfId="492">
      <pivotArea dataOnly="0" labelOnly="1" grandCol="1" outline="0" fieldPosition="0"/>
    </format>
    <format dxfId="493">
      <pivotArea dataOnly="0" labelOnly="1" outline="0" fieldPosition="0">
        <references count="2">
          <reference field="0" count="1">
            <x v="14"/>
          </reference>
          <reference field="1" count="0" selected="0"/>
        </references>
      </pivotArea>
    </format>
    <format dxfId="494">
      <pivotArea outline="0" collapsedLevelsAreSubtotals="1" fieldPosition="0"/>
    </format>
    <format dxfId="495">
      <pivotArea field="1" type="button" dataOnly="0" labelOnly="1" outline="0" axis="axisCol" fieldPosition="0"/>
    </format>
    <format dxfId="496">
      <pivotArea field="0" type="button" dataOnly="0" labelOnly="1" outline="0" axis="axisCol" fieldPosition="1"/>
    </format>
    <format dxfId="497">
      <pivotArea type="topRight" dataOnly="0" labelOnly="1" outline="0" fieldPosition="0"/>
    </format>
    <format dxfId="498">
      <pivotArea dataOnly="0" labelOnly="1" outline="0" fieldPosition="0">
        <references count="1">
          <reference field="1" count="0"/>
        </references>
      </pivotArea>
    </format>
    <format dxfId="499">
      <pivotArea dataOnly="0" labelOnly="1" outline="0" fieldPosition="0">
        <references count="1">
          <reference field="1" count="0" defaultSubtotal="1"/>
        </references>
      </pivotArea>
    </format>
    <format dxfId="500">
      <pivotArea dataOnly="0" labelOnly="1" grandCol="1" outline="0" fieldPosition="0"/>
    </format>
    <format dxfId="501">
      <pivotArea dataOnly="0" labelOnly="1" outline="0" fieldPosition="0">
        <references count="2">
          <reference field="0" count="1">
            <x v="14"/>
          </reference>
          <reference field="1" count="0" selected="0"/>
        </references>
      </pivotArea>
    </format>
    <format dxfId="502">
      <pivotArea outline="0" collapsedLevelsAreSubtotals="1" fieldPosition="0"/>
    </format>
    <format dxfId="503">
      <pivotArea field="1" type="button" dataOnly="0" labelOnly="1" outline="0" axis="axisCol" fieldPosition="0"/>
    </format>
    <format dxfId="504">
      <pivotArea field="0" type="button" dataOnly="0" labelOnly="1" outline="0" axis="axisCol" fieldPosition="1"/>
    </format>
    <format dxfId="505">
      <pivotArea type="topRight" dataOnly="0" labelOnly="1" outline="0" fieldPosition="0"/>
    </format>
    <format dxfId="506">
      <pivotArea dataOnly="0" labelOnly="1" outline="0" fieldPosition="0">
        <references count="1">
          <reference field="1" count="0"/>
        </references>
      </pivotArea>
    </format>
    <format dxfId="507">
      <pivotArea dataOnly="0" labelOnly="1" outline="0" fieldPosition="0">
        <references count="1">
          <reference field="1" count="0" defaultSubtotal="1"/>
        </references>
      </pivotArea>
    </format>
    <format dxfId="508">
      <pivotArea dataOnly="0" labelOnly="1" grandCol="1" outline="0" fieldPosition="0"/>
    </format>
    <format dxfId="509">
      <pivotArea dataOnly="0" labelOnly="1" outline="0" fieldPosition="0">
        <references count="2">
          <reference field="0" count="1">
            <x v="14"/>
          </reference>
          <reference field="1" count="0" selected="0"/>
        </references>
      </pivotArea>
    </format>
    <format dxfId="510">
      <pivotArea outline="0" collapsedLevelsAreSubtotals="1" fieldPosition="0"/>
    </format>
    <format dxfId="511">
      <pivotArea field="1" type="button" dataOnly="0" labelOnly="1" outline="0" axis="axisCol" fieldPosition="0"/>
    </format>
    <format dxfId="512">
      <pivotArea field="0" type="button" dataOnly="0" labelOnly="1" outline="0" axis="axisCol" fieldPosition="1"/>
    </format>
    <format dxfId="513">
      <pivotArea type="topRight" dataOnly="0" labelOnly="1" outline="0" fieldPosition="0"/>
    </format>
    <format dxfId="514">
      <pivotArea dataOnly="0" labelOnly="1" outline="0" fieldPosition="0">
        <references count="1">
          <reference field="1" count="0"/>
        </references>
      </pivotArea>
    </format>
    <format dxfId="515">
      <pivotArea dataOnly="0" labelOnly="1" outline="0" fieldPosition="0">
        <references count="1">
          <reference field="1" count="0" defaultSubtotal="1"/>
        </references>
      </pivotArea>
    </format>
    <format dxfId="516">
      <pivotArea dataOnly="0" labelOnly="1" grandCol="1" outline="0" fieldPosition="0"/>
    </format>
    <format dxfId="517">
      <pivotArea dataOnly="0" labelOnly="1" outline="0" fieldPosition="0">
        <references count="2">
          <reference field="0" count="1">
            <x v="5"/>
          </reference>
          <reference field="1" count="0" selected="0"/>
        </references>
      </pivotArea>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478ECF-330C-4DD4-9CAA-AE9E6A8F30D0}" name="Tabela dinâmica1" cacheId="265" dataOnRows="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4:C90" firstHeaderRow="1" firstDataRow="2" firstDataCol="1" rowPageCount="1" colPageCount="1"/>
  <pivotFields count="87">
    <pivotField axis="axisPage" compact="0" outline="0" showAll="0">
      <items count="19">
        <item x="6"/>
        <item x="7"/>
        <item x="14"/>
        <item x="2"/>
        <item x="12"/>
        <item x="11"/>
        <item x="9"/>
        <item x="0"/>
        <item x="5"/>
        <item x="1"/>
        <item x="8"/>
        <item x="13"/>
        <item x="17"/>
        <item x="16"/>
        <item x="15"/>
        <item x="3"/>
        <item x="4"/>
        <item x="10"/>
        <item t="default"/>
      </items>
    </pivotField>
    <pivotField axis="axisCol" compact="0" outline="0" showAll="0">
      <items count="19">
        <item h="1" x="1"/>
        <item h="1" x="8"/>
        <item h="1" x="16"/>
        <item h="1" x="9"/>
        <item h="1" x="5"/>
        <item h="1" x="11"/>
        <item h="1" x="15"/>
        <item h="1" x="4"/>
        <item h="1" x="17"/>
        <item h="1" x="13"/>
        <item h="1" x="0"/>
        <item h="1" x="12"/>
        <item h="1" x="7"/>
        <item h="1" x="2"/>
        <item h="1" x="10"/>
        <item h="1" x="6"/>
        <item h="1" x="3"/>
        <item x="14"/>
        <item t="default"/>
      </items>
    </pivotField>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outline="0" showAll="0"/>
  </pivotFields>
  <rowFields count="1">
    <field x="-2"/>
  </rowFields>
  <rowItems count="85">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i i="60">
      <x v="60"/>
    </i>
    <i i="61">
      <x v="61"/>
    </i>
    <i i="62">
      <x v="62"/>
    </i>
    <i i="63">
      <x v="63"/>
    </i>
    <i i="64">
      <x v="64"/>
    </i>
    <i i="65">
      <x v="65"/>
    </i>
    <i i="66">
      <x v="66"/>
    </i>
    <i i="67">
      <x v="67"/>
    </i>
    <i i="68">
      <x v="68"/>
    </i>
    <i i="69">
      <x v="69"/>
    </i>
    <i i="70">
      <x v="70"/>
    </i>
    <i i="71">
      <x v="71"/>
    </i>
    <i i="72">
      <x v="72"/>
    </i>
    <i i="73">
      <x v="73"/>
    </i>
    <i i="74">
      <x v="74"/>
    </i>
    <i i="75">
      <x v="75"/>
    </i>
    <i i="76">
      <x v="76"/>
    </i>
    <i i="77">
      <x v="77"/>
    </i>
    <i i="78">
      <x v="78"/>
    </i>
    <i i="79">
      <x v="79"/>
    </i>
    <i i="80">
      <x v="80"/>
    </i>
    <i i="81">
      <x v="81"/>
    </i>
    <i i="82">
      <x v="82"/>
    </i>
    <i i="83">
      <x v="83"/>
    </i>
    <i i="84">
      <x v="84"/>
    </i>
  </rowItems>
  <colFields count="1">
    <field x="1"/>
  </colFields>
  <colItems count="2">
    <i>
      <x v="17"/>
    </i>
    <i t="grand">
      <x/>
    </i>
  </colItems>
  <pageFields count="1">
    <pageField fld="0" hier="-1"/>
  </pageFields>
  <dataFields count="85">
    <dataField name="Soma de PROJETEIS-PARA-SUPER" fld="2" baseField="0" baseItem="0" numFmtId="164"/>
    <dataField name="Soma de SUPERS-PARA-HIPERCARGA" fld="3" baseField="0" baseItem="0" numFmtId="164"/>
    <dataField name="Soma de DANO-PROJETIL" fld="4" baseField="0" baseItem="0" numFmtId="164"/>
    <dataField name="Soma de TIROS-DADOS-EM-5-SEGUNDOS" fld="5" baseField="0" baseItem="0" numFmtId="164"/>
    <dataField name="Soma de MÉDIA-PROJETEIS-POR-TIRO" fld="6" baseField="0" baseItem="0" numFmtId="164"/>
    <dataField name="Soma de CURTO-ALCANCE-QUANT-PROJETIL-MEDIO" fld="7" baseField="0" baseItem="0" numFmtId="164"/>
    <dataField name="Soma de MEDIO-ALCANCE-QUANT-PROJETIL-MEDIO" fld="8" baseField="0" baseItem="0" numFmtId="164"/>
    <dataField name="Soma de LONGO-ALCANCE-QUANT-PROJETIL-MEDIO" fld="9" baseField="0" baseItem="0" numFmtId="164"/>
    <dataField name="Soma de MTLONGO-ALCANCE-QUANT-PROJETIL-MEDIO" fld="10" baseField="0" baseItem="0" numFmtId="164"/>
    <dataField name="Soma de CARREGAMENTO-SUPER-AO-ACERTAR-EM-PROJETEIS" fld="11" baseField="0" baseItem="0" numFmtId="164"/>
    <dataField name="Soma de CURTO-ALCANCE-DANO-SUPER-MEDIO" fld="12" baseField="0" baseItem="0" numFmtId="164"/>
    <dataField name="Soma de MEDIO-ALCANCE-DANO-SUPER-MEDIO" fld="13" baseField="0" baseItem="0" numFmtId="164"/>
    <dataField name="Soma de LONGO-ALCANCE-DANO-SUPER-MEDIO" fld="14" baseField="0" baseItem="0" numFmtId="164"/>
    <dataField name="Soma de MT-LONGO-ALCANCE-DANO-SUPER-MEDIO" fld="15" baseField="0" baseItem="0" numFmtId="164"/>
    <dataField name="Soma de MÉDIA-DANO-POR-SUPER" fld="16" baseField="0" baseItem="0" numFmtId="164"/>
    <dataField name="Soma de DANO-OCASIONAL" fld="17" baseField="0" baseItem="0" numFmtId="164"/>
    <dataField name="Soma de Durability" fld="18" baseField="0" baseItem="0" numFmtId="164"/>
    <dataField name="Soma de Distância-Ataque" fld="19" baseField="0" baseItem="0" numFmtId="164"/>
    <dataField name="Soma de Botão-de-Fuga" fld="20" baseField="0" baseItem="0" numFmtId="164"/>
    <dataField name="Soma de Ataque-amplo" fld="21" baseField="0" baseItem="0" numFmtId="164"/>
    <dataField name="Soma de FREQUENCIA-DANO-INDIRETO" fld="22" baseField="0" baseItem="0" numFmtId="164"/>
    <dataField name="Soma de NEGACAO-DE-AREA" fld="23" baseField="0" baseItem="0" numFmtId="164"/>
    <dataField name="Soma de MANIPULACAO-DA-POSICAO-DE-INIMIGOS" fld="24" baseField="0" baseItem="0" numFmtId="164"/>
    <dataField name="Soma de ANDA-SOBRE-AGUA" fld="25" baseField="0" baseItem="0" numFmtId="164"/>
    <dataField name="Soma de COMBATER-INIMIGOS-SOBRE-AGUA" fld="26" baseField="0" baseItem="0" numFmtId="164"/>
    <dataField name="Soma de POTENCIAL-DESTRUIÇÃO-DE-MUROS" fld="27" baseField="0" baseItem="0" numFmtId="164"/>
    <dataField name="Soma de POTENCIAL-DESTRUIÇÃO-DE-MOITAS" fld="28" baseField="0" baseItem="0" numFmtId="164"/>
    <dataField name="Soma de POTENCIAL-DE-CRIACAO-DE-COVER" fld="29" baseField="0" baseItem="0" numFmtId="164"/>
    <dataField name="Soma de VELOCIDADE-MOVIMENTO" fld="30" baseField="0" baseItem="0" numFmtId="164"/>
    <dataField name="Soma de FORÇA-ATK-SURP" fld="31" baseField="0" baseItem="0" numFmtId="164"/>
    <dataField name="Soma de Ataque-Surpresa" fld="32" baseField="0" baseItem="0" numFmtId="164"/>
    <dataField name="Soma de FREQUÊNCIA-GERAÇÃO-DE-PETS" fld="33" baseField="0" baseItem="0" numFmtId="164"/>
    <dataField name="Soma de ACÚMULO-PETS" fld="34" baseField="0" baseItem="0" numFmtId="164"/>
    <dataField name="Soma de VIDA-DETERIORÁVEL-PETS" fld="35" baseField="0" baseItem="0" numFmtId="164"/>
    <dataField name="Soma de RESISTÊNCIA-PETS" fld="36" baseField="0" baseItem="0" numFmtId="164"/>
    <dataField name="Soma de DANO-PETS" fld="37" baseField="0" baseItem="0" numFmtId="164"/>
    <dataField name="Soma de ALCANCE-PETS" fld="38" baseField="0" baseItem="0" numFmtId="164"/>
    <dataField name="Soma de VELOCIDADE-PETS" fld="39" baseField="0" baseItem="0" numFmtId="164"/>
    <dataField name="Soma de PROXIMIDADE-PETS" fld="40" baseField="0" baseItem="0" numFmtId="164"/>
    <dataField name="Soma de DANO-AUMENTADO-QUANDO-AGRUPADO" fld="41" baseField="0" baseItem="0" numFmtId="164"/>
    <dataField name="Soma de CISCUNSTANCIABILIDADE" fld="42" baseField="0" baseItem="0" numFmtId="164"/>
    <dataField name="Soma de HP-SUPORTE" fld="43" baseField="0" baseItem="0" numFmtId="164"/>
    <dataField name="Soma de HP-ENFRAQUECIMENTO" fld="44" baseField="0" baseItem="0" numFmtId="164"/>
    <dataField name="Soma de ESCUDO-SUPORTE" fld="49" baseField="0" baseItem="0" numFmtId="164"/>
    <dataField name="Soma de DANO-SUPORTE" fld="45" baseField="0" baseItem="0" numFmtId="164"/>
    <dataField name="Soma de DANO-ENFRAQUECIMENTO" fld="46" baseField="0" baseItem="0" numFmtId="164"/>
    <dataField name="Soma de SPEED-SUPORTE" fld="47" baseField="0" baseItem="0" numFmtId="164"/>
    <dataField name="Soma de INVISIBILIDADE-SUPORTE" fld="48" baseField="0" baseItem="0" numFmtId="164"/>
    <dataField name="Soma de POSICIONAMENTO-SUPORTE" fld="50" baseField="0" baseItem="0" numFmtId="164"/>
    <dataField name="Soma de VENENO-DEBUFF" fld="51" baseField="0" baseItem="0" numFmtId="164"/>
    <dataField name="Soma de COUNTER-VENENO-DEBUFF" fld="52" baseField="0" baseItem="0" numFmtId="164"/>
    <dataField name="Soma de STUN-DEBUFF" fld="55" baseField="0" baseItem="0" numFmtId="164"/>
    <dataField name="Soma de COUNTER-STUN-DEBUFF" fld="56" baseField="0" baseItem="0" numFmtId="164"/>
    <dataField name="Soma de LENTIDAO-DEBUFF" fld="53" baseField="0" baseItem="0" numFmtId="164"/>
    <dataField name="Soma de COUNTER-LENTIDAO-DEBUFF" fld="54" baseField="0" baseItem="0" numFmtId="164"/>
    <dataField name="Soma de BLOQUEIO-DE-INIMIGOS" fld="59" baseField="0" baseItem="0" numFmtId="164"/>
    <dataField name="Soma de CANCELAMENTO-ATAQUES" fld="57" baseField="0" baseItem="0" numFmtId="164"/>
    <dataField name="Soma de COUNTER-CANCELAMENTO-ATAQUES" fld="58" baseField="0" baseItem="0" numFmtId="164"/>
    <dataField name="Contagem de ESPAÇO" fld="68" subtotal="count" baseField="0" baseItem="0"/>
    <dataField name="Contagem de ESPAÇO2" fld="73" subtotal="count" baseField="0" baseItem="0"/>
    <dataField name="Contagem de ESPAÇO3" fld="78" subtotal="count" baseField="0" baseItem="0"/>
    <dataField name="Contagem de ESPAÇO4" fld="86" subtotal="count" baseField="0" baseItem="0"/>
    <dataField name="Soma de CURTO-ALCANCE-5-SEC-DANO-TOTAL-1-SUPER" fld="60" baseField="0" baseItem="0" numFmtId="164"/>
    <dataField name="Soma de MEDIO-ALCANCE-5-SEC-DANO-TOTAL-1-SUPER" fld="61" baseField="0" baseItem="0" numFmtId="164"/>
    <dataField name="Soma de LONGO-ALCANCE-5-SEC-DANO-TOTAL-1-SUPER" fld="62" baseField="0" baseItem="0" numFmtId="164"/>
    <dataField name="Soma de MT-LONGO-ALCANCE-5-SEC-DANO-TOTAL-1-SUPER" fld="63" baseField="0" baseItem="0" numFmtId="164"/>
    <dataField name="Soma de CURTO-ALCANCE-5-SEC-DANO-MEDIO" fld="64" baseField="0" baseItem="0" numFmtId="164"/>
    <dataField name="Soma de MEDIO-ALCANCE-5-SEC-DANO-MEDIO" fld="65" baseField="0" baseItem="0" numFmtId="164"/>
    <dataField name="Soma de LONGO-ALCANCE-5-SEC-DANO-MEDIO" fld="66" baseField="0" baseItem="0" numFmtId="164"/>
    <dataField name="Soma de MT-LONGO-ALCANCE-5-SEC-DANO-MEDIO" fld="67" baseField="0" baseItem="0" numFmtId="164"/>
    <dataField name="Soma de CURTO-ALCANCE-DANO-RESISTENCIA" fld="69" baseField="0" baseItem="0" numFmtId="164"/>
    <dataField name="Soma de MEDIO-ALCANCE-DANO-RESISTENCIA" fld="70" baseField="0" baseItem="0" numFmtId="164"/>
    <dataField name="Soma de LONGO-ALCANCE-DANO-RESISTENCIA" fld="71" baseField="0" baseItem="0" numFmtId="164"/>
    <dataField name="Soma de MT-LONGO-ALCANCE-DANO-RESISTENCIA" fld="72" baseField="0" baseItem="0" numFmtId="164"/>
    <dataField name="Soma de CURTO-ALCANCE-ATK-SURPRESA" fld="74" baseField="0" baseItem="0" numFmtId="164"/>
    <dataField name="Soma de MEDIO-ALCANCE-ATK-SURPRESA" fld="75" baseField="0" baseItem="0" numFmtId="164"/>
    <dataField name="Soma de LONGO-ALCANCE-ATK-SURPRESA" fld="76" baseField="0" baseItem="0" numFmtId="164"/>
    <dataField name="Soma de MT-LONGO-ALCANCE-ATK-SURPRESA" fld="77" baseField="0" baseItem="0" numFmtId="164"/>
    <dataField name="Soma de Aproximação-Fácil" fld="79" baseField="0" baseItem="0" numFmtId="164"/>
    <dataField name="Soma de Controle-ativo-de-Área" fld="80" baseField="0" baseItem="0" numFmtId="164"/>
    <dataField name="Soma de CONTROLE DE AREA" fld="81" baseField="0" baseItem="0" numFmtId="164"/>
    <dataField name="Soma de DANO INDIRETO" fld="82" baseField="0" baseItem="0" numFmtId="164"/>
    <dataField name="Soma de Geração multiplos pets" fld="83" baseField="0" baseItem="0" numFmtId="164"/>
    <dataField name="Soma de Geração resistentes pets" fld="84" baseField="0" baseItem="0" numFmtId="164"/>
    <dataField name="Soma de Punição-Agrupamento" fld="85" baseField="0" baseItem="0" numFmtId="164"/>
  </dataFields>
  <formats count="69">
    <format dxfId="369">
      <pivotArea outline="0" fieldPosition="0">
        <references count="2">
          <reference field="4294967294" count="1" selected="0">
            <x v="0"/>
          </reference>
          <reference field="1" count="0" selected="0"/>
        </references>
      </pivotArea>
    </format>
    <format dxfId="370">
      <pivotArea outline="0" fieldPosition="0">
        <references count="2">
          <reference field="4294967294" count="1" selected="0">
            <x v="0"/>
          </reference>
          <reference field="1" count="0" selected="0"/>
        </references>
      </pivotArea>
    </format>
    <format dxfId="371">
      <pivotArea outline="0" fieldPosition="0">
        <references count="2">
          <reference field="4294967294" count="1" selected="0">
            <x v="0"/>
          </reference>
          <reference field="1" count="0" selected="0"/>
        </references>
      </pivotArea>
    </format>
    <format dxfId="372">
      <pivotArea outline="0" fieldPosition="0">
        <references count="2">
          <reference field="4294967294" count="1" selected="0">
            <x v="0"/>
          </reference>
          <reference field="1" count="0" selected="0"/>
        </references>
      </pivotArea>
    </format>
    <format dxfId="373">
      <pivotArea outline="0" fieldPosition="0">
        <references count="2">
          <reference field="4294967294" count="1" selected="0">
            <x v="0"/>
          </reference>
          <reference field="1" count="0" selected="0"/>
        </references>
      </pivotArea>
    </format>
    <format dxfId="374">
      <pivotArea outline="0" fieldPosition="0">
        <references count="2">
          <reference field="4294967294" count="1" selected="0">
            <x v="0"/>
          </reference>
          <reference field="1" count="0" selected="0"/>
        </references>
      </pivotArea>
    </format>
    <format dxfId="375">
      <pivotArea outline="0" fieldPosition="0">
        <references count="2">
          <reference field="4294967294" count="1" selected="0">
            <x v="0"/>
          </reference>
          <reference field="1" count="0" selected="0"/>
        </references>
      </pivotArea>
    </format>
    <format dxfId="376">
      <pivotArea outline="0" collapsedLevelsAreSubtotals="1" fieldPosition="0"/>
    </format>
    <format dxfId="377">
      <pivotArea dataOnly="0" labelOnly="1" outline="0" fieldPosition="0">
        <references count="1">
          <reference field="0" count="0"/>
        </references>
      </pivotArea>
    </format>
    <format dxfId="378">
      <pivotArea field="1" type="button" dataOnly="0" labelOnly="1" outline="0" axis="axisCol" fieldPosition="0"/>
    </format>
    <format dxfId="379">
      <pivotArea type="topRight" dataOnly="0" labelOnly="1" outline="0" fieldPosition="0"/>
    </format>
    <format dxfId="380">
      <pivotArea dataOnly="0" labelOnly="1" outline="0" fieldPosition="0">
        <references count="1">
          <reference field="1" count="0"/>
        </references>
      </pivotArea>
    </format>
    <format dxfId="381">
      <pivotArea dataOnly="0" labelOnly="1" grandCol="1" outline="0" fieldPosition="0"/>
    </format>
    <format dxfId="382">
      <pivotArea outline="0" collapsedLevelsAreSubtotals="1" fieldPosition="0"/>
    </format>
    <format dxfId="383">
      <pivotArea dataOnly="0" labelOnly="1" outline="0" fieldPosition="0">
        <references count="1">
          <reference field="0" count="0"/>
        </references>
      </pivotArea>
    </format>
    <format dxfId="384">
      <pivotArea field="1" type="button" dataOnly="0" labelOnly="1" outline="0" axis="axisCol" fieldPosition="0"/>
    </format>
    <format dxfId="385">
      <pivotArea type="topRight" dataOnly="0" labelOnly="1" outline="0" fieldPosition="0"/>
    </format>
    <format dxfId="386">
      <pivotArea dataOnly="0" labelOnly="1" outline="0" fieldPosition="0">
        <references count="1">
          <reference field="1" count="0"/>
        </references>
      </pivotArea>
    </format>
    <format dxfId="387">
      <pivotArea dataOnly="0" labelOnly="1" grandCol="1" outline="0" fieldPosition="0"/>
    </format>
    <format dxfId="388">
      <pivotArea outline="0" collapsedLevelsAreSubtotals="1" fieldPosition="0"/>
    </format>
    <format dxfId="389">
      <pivotArea dataOnly="0" labelOnly="1" outline="0" fieldPosition="0">
        <references count="1">
          <reference field="0" count="0"/>
        </references>
      </pivotArea>
    </format>
    <format dxfId="390">
      <pivotArea field="1" type="button" dataOnly="0" labelOnly="1" outline="0" axis="axisCol" fieldPosition="0"/>
    </format>
    <format dxfId="391">
      <pivotArea type="topRight" dataOnly="0" labelOnly="1" outline="0" fieldPosition="0"/>
    </format>
    <format dxfId="392">
      <pivotArea dataOnly="0" labelOnly="1" outline="0" fieldPosition="0">
        <references count="1">
          <reference field="1" count="0"/>
        </references>
      </pivotArea>
    </format>
    <format dxfId="393">
      <pivotArea dataOnly="0" labelOnly="1" grandCol="1" outline="0" fieldPosition="0"/>
    </format>
    <format dxfId="394">
      <pivotArea outline="0" collapsedLevelsAreSubtotals="1" fieldPosition="0"/>
    </format>
    <format dxfId="395">
      <pivotArea dataOnly="0" labelOnly="1" outline="0" fieldPosition="0">
        <references count="1">
          <reference field="0" count="0"/>
        </references>
      </pivotArea>
    </format>
    <format dxfId="396">
      <pivotArea field="1" type="button" dataOnly="0" labelOnly="1" outline="0" axis="axisCol" fieldPosition="0"/>
    </format>
    <format dxfId="397">
      <pivotArea type="topRight" dataOnly="0" labelOnly="1" outline="0" fieldPosition="0"/>
    </format>
    <format dxfId="398">
      <pivotArea dataOnly="0" labelOnly="1" outline="0" fieldPosition="0">
        <references count="1">
          <reference field="1" count="0"/>
        </references>
      </pivotArea>
    </format>
    <format dxfId="399">
      <pivotArea dataOnly="0" labelOnly="1" grandCol="1" outline="0" fieldPosition="0"/>
    </format>
    <format dxfId="400">
      <pivotArea outline="0" collapsedLevelsAreSubtotals="1" fieldPosition="0"/>
    </format>
    <format dxfId="401">
      <pivotArea dataOnly="0" labelOnly="1" outline="0" fieldPosition="0">
        <references count="1">
          <reference field="0" count="0"/>
        </references>
      </pivotArea>
    </format>
    <format dxfId="402">
      <pivotArea field="1" type="button" dataOnly="0" labelOnly="1" outline="0" axis="axisCol" fieldPosition="0"/>
    </format>
    <format dxfId="403">
      <pivotArea type="topRight" dataOnly="0" labelOnly="1" outline="0" fieldPosition="0"/>
    </format>
    <format dxfId="404">
      <pivotArea dataOnly="0" labelOnly="1" outline="0" fieldPosition="0">
        <references count="1">
          <reference field="1" count="0"/>
        </references>
      </pivotArea>
    </format>
    <format dxfId="405">
      <pivotArea dataOnly="0" labelOnly="1" grandCol="1" outline="0" fieldPosition="0"/>
    </format>
    <format dxfId="406">
      <pivotArea outline="0" collapsedLevelsAreSubtotals="1" fieldPosition="0"/>
    </format>
    <format dxfId="407">
      <pivotArea dataOnly="0" labelOnly="1" outline="0" fieldPosition="0">
        <references count="1">
          <reference field="0" count="0"/>
        </references>
      </pivotArea>
    </format>
    <format dxfId="408">
      <pivotArea field="1" type="button" dataOnly="0" labelOnly="1" outline="0" axis="axisCol" fieldPosition="0"/>
    </format>
    <format dxfId="409">
      <pivotArea type="topRight" dataOnly="0" labelOnly="1" outline="0" fieldPosition="0"/>
    </format>
    <format dxfId="410">
      <pivotArea dataOnly="0" labelOnly="1" outline="0" fieldPosition="0">
        <references count="1">
          <reference field="1" count="0"/>
        </references>
      </pivotArea>
    </format>
    <format dxfId="411">
      <pivotArea dataOnly="0" labelOnly="1" grandCol="1" outline="0" fieldPosition="0"/>
    </format>
    <format dxfId="412">
      <pivotArea outline="0" collapsedLevelsAreSubtotals="1" fieldPosition="0"/>
    </format>
    <format dxfId="413">
      <pivotArea dataOnly="0" labelOnly="1" outline="0" fieldPosition="0">
        <references count="1">
          <reference field="0" count="0"/>
        </references>
      </pivotArea>
    </format>
    <format dxfId="414">
      <pivotArea field="1" type="button" dataOnly="0" labelOnly="1" outline="0" axis="axisCol" fieldPosition="0"/>
    </format>
    <format dxfId="415">
      <pivotArea type="topRight" dataOnly="0" labelOnly="1" outline="0" fieldPosition="0"/>
    </format>
    <format dxfId="416">
      <pivotArea dataOnly="0" labelOnly="1" outline="0" fieldPosition="0">
        <references count="1">
          <reference field="1" count="0"/>
        </references>
      </pivotArea>
    </format>
    <format dxfId="417">
      <pivotArea dataOnly="0" labelOnly="1" grandCol="1" outline="0" fieldPosition="0"/>
    </format>
    <format dxfId="418">
      <pivotArea outline="0" collapsedLevelsAreSubtotals="1" fieldPosition="0"/>
    </format>
    <format dxfId="419">
      <pivotArea dataOnly="0" labelOnly="1" outline="0" fieldPosition="0">
        <references count="1">
          <reference field="0" count="0"/>
        </references>
      </pivotArea>
    </format>
    <format dxfId="420">
      <pivotArea field="1" type="button" dataOnly="0" labelOnly="1" outline="0" axis="axisCol" fieldPosition="0"/>
    </format>
    <format dxfId="421">
      <pivotArea type="topRight" dataOnly="0" labelOnly="1" outline="0" fieldPosition="0"/>
    </format>
    <format dxfId="422">
      <pivotArea dataOnly="0" labelOnly="1" outline="0" fieldPosition="0">
        <references count="1">
          <reference field="1" count="0"/>
        </references>
      </pivotArea>
    </format>
    <format dxfId="423">
      <pivotArea dataOnly="0" labelOnly="1" grandCol="1" outline="0" fieldPosition="0"/>
    </format>
    <format dxfId="424">
      <pivotArea outline="0" collapsedLevelsAreSubtotals="1" fieldPosition="0"/>
    </format>
    <format dxfId="425">
      <pivotArea dataOnly="0" labelOnly="1" outline="0" fieldPosition="0">
        <references count="1">
          <reference field="0" count="0"/>
        </references>
      </pivotArea>
    </format>
    <format dxfId="426">
      <pivotArea field="1" type="button" dataOnly="0" labelOnly="1" outline="0" axis="axisCol" fieldPosition="0"/>
    </format>
    <format dxfId="427">
      <pivotArea type="topRight" dataOnly="0" labelOnly="1" outline="0" fieldPosition="0"/>
    </format>
    <format dxfId="428">
      <pivotArea dataOnly="0" labelOnly="1" outline="0" fieldPosition="0">
        <references count="1">
          <reference field="1" count="0"/>
        </references>
      </pivotArea>
    </format>
    <format dxfId="429">
      <pivotArea dataOnly="0" labelOnly="1" grandCol="1" outline="0" fieldPosition="0"/>
    </format>
    <format dxfId="430">
      <pivotArea outline="0" fieldPosition="0">
        <references count="2">
          <reference field="4294967294" count="1" selected="0">
            <x v="0"/>
          </reference>
          <reference field="1" count="0" selected="0"/>
        </references>
      </pivotArea>
    </format>
    <format dxfId="431">
      <pivotArea outline="0" fieldPosition="0">
        <references count="2">
          <reference field="4294967294" count="1" selected="0">
            <x v="0"/>
          </reference>
          <reference field="1" count="0" selected="0"/>
        </references>
      </pivotArea>
    </format>
    <format dxfId="432">
      <pivotArea outline="0" collapsedLevelsAreSubtotals="1" fieldPosition="0"/>
    </format>
    <format dxfId="433">
      <pivotArea dataOnly="0" labelOnly="1" outline="0" fieldPosition="0">
        <references count="1">
          <reference field="0" count="0"/>
        </references>
      </pivotArea>
    </format>
    <format dxfId="434">
      <pivotArea field="1" type="button" dataOnly="0" labelOnly="1" outline="0" axis="axisCol" fieldPosition="0"/>
    </format>
    <format dxfId="435">
      <pivotArea type="topRight" dataOnly="0" labelOnly="1" outline="0" fieldPosition="0"/>
    </format>
    <format dxfId="436">
      <pivotArea dataOnly="0" labelOnly="1" outline="0" fieldPosition="0">
        <references count="1">
          <reference field="1" count="0"/>
        </references>
      </pivotArea>
    </format>
    <format dxfId="437">
      <pivotArea dataOnly="0" labelOnly="1" grandCol="1" outline="0" fieldPosition="0"/>
    </format>
  </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C2C3B7-F1AB-4F78-8085-D94E3CE087AF}" name="Tabela dinâmica7" cacheId="260" dataOnRows="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Y4:AB64" firstHeaderRow="1" firstDataRow="3" firstDataCol="1"/>
  <pivotFields count="60">
    <pivotField axis="axisCol" compact="0" outline="0" showAll="0">
      <items count="19">
        <item x="0"/>
        <item x="5"/>
        <item x="13"/>
        <item x="3"/>
        <item x="15"/>
        <item x="6"/>
        <item x="8"/>
        <item x="16"/>
        <item x="14"/>
        <item x="1"/>
        <item x="4"/>
        <item x="7"/>
        <item x="12"/>
        <item x="11"/>
        <item x="9"/>
        <item x="10"/>
        <item x="2"/>
        <item x="17"/>
        <item t="default"/>
      </items>
    </pivotField>
    <pivotField axis="axisCol" compact="0" outline="0" showAll="0">
      <items count="19">
        <item h="1" x="1"/>
        <item h="1" x="8"/>
        <item h="1" x="16"/>
        <item h="1" x="9"/>
        <item h="1" x="5"/>
        <item h="1" x="11"/>
        <item h="1" x="15"/>
        <item h="1" x="4"/>
        <item h="1" x="17"/>
        <item h="1" x="13"/>
        <item h="1" x="0"/>
        <item h="1" x="12"/>
        <item h="1" x="7"/>
        <item h="1" x="2"/>
        <item h="1" x="10"/>
        <item h="1" x="6"/>
        <item h="1" x="3"/>
        <item x="14"/>
        <item t="default"/>
      </items>
    </pivotField>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2"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s>
  <rowFields count="1">
    <field x="-2"/>
  </rowFields>
  <rowItems count="58">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rowItems>
  <colFields count="2">
    <field x="1"/>
    <field x="0"/>
  </colFields>
  <colItems count="3">
    <i>
      <x v="17"/>
      <x v="8"/>
    </i>
    <i t="default">
      <x v="17"/>
    </i>
    <i t="grand">
      <x/>
    </i>
  </colItems>
  <dataFields count="58">
    <dataField name="Soma de PROJETEIS-PARA-SUPER" fld="2" baseField="0" baseItem="0" numFmtId="164"/>
    <dataField name="Soma de SUPERS-PARA-HIPERCARGA" fld="3" baseField="0" baseItem="0" numFmtId="164"/>
    <dataField name="Soma de DANO-PROJETIL" fld="4" baseField="0" baseItem="0" numFmtId="164"/>
    <dataField name="Soma de TIROS-DADOS-EM-5-SEGUNDOS" fld="5" baseField="0" baseItem="0" numFmtId="164"/>
    <dataField name="Soma de MÉDIA-PROJETEIS-POR-TIRO" fld="6" baseField="0" baseItem="0" numFmtId="164"/>
    <dataField name="Soma de CURTO-ALCANCE-QUANT-PROJETIL-MEDIO" fld="7" baseField="0" baseItem="0" numFmtId="164"/>
    <dataField name="Soma de MEDIO-ALCANCE-QUANT-PROJETIL-MEDIO" fld="8" baseField="0" baseItem="0" numFmtId="164"/>
    <dataField name="Soma de LONGO-ALCANCE-QUANT-PROJETIL-MEDIO" fld="9" baseField="0" baseItem="0" numFmtId="164"/>
    <dataField name="Soma de MTLONGO-ALCANCE-QUANT-PROJETIL-MEDIO" fld="10" baseField="0" baseItem="0" numFmtId="164"/>
    <dataField name="Soma de CARREGAMENTO-SUPER-AO-ACERTAR-EM-PROJETEIS" fld="11" baseField="0" baseItem="0" numFmtId="164"/>
    <dataField name="Soma de CURTO-ALCANCE-DANO-SUPER-MEDIO" fld="12" baseField="0" baseItem="0" numFmtId="164"/>
    <dataField name="Soma de MEDIO-ALCANCE-DANO-SUPER-MEDIO" fld="13" baseField="0" baseItem="0" numFmtId="164"/>
    <dataField name="Soma de LONGO-ALCANCE-DANO-SUPER-MEDIO" fld="14" baseField="0" baseItem="0" numFmtId="164"/>
    <dataField name="Soma de MT-LONGO-ALCANCE-DANO-SUPER-MEDIO" fld="15" baseField="0" baseItem="0" numFmtId="164"/>
    <dataField name="Soma de MÉDIA-DANO-POR-SUPER" fld="16" baseField="0" baseItem="0" numFmtId="164"/>
    <dataField name="Soma de DANO-OCASIONAL" fld="17" baseField="0" baseItem="0" numFmtId="164"/>
    <dataField name="Soma de Durability" fld="18" baseField="0" baseItem="0" numFmtId="2"/>
    <dataField name="Soma de Distância-Ataque" fld="19" baseField="0" baseItem="0" numFmtId="164"/>
    <dataField name="Soma de Botão-de-Fuga" fld="20" baseField="0" baseItem="0" numFmtId="164"/>
    <dataField name="Soma de Ataque-amplo" fld="21" baseField="0" baseItem="0" numFmtId="164"/>
    <dataField name="Soma de FREQUENCIA-DANO-INDIRETO" fld="22" baseField="0" baseItem="0" numFmtId="164"/>
    <dataField name="Soma de NEGACAO-DE-AREA" fld="23" baseField="0" baseItem="0" numFmtId="164"/>
    <dataField name="Soma de MANIPULACAO-DA-POSICAO-DE-INIMIGOS" fld="24" baseField="0" baseItem="0" numFmtId="164"/>
    <dataField name="Soma de ANDA-SOBRE-AGUA" fld="25" baseField="0" baseItem="0" numFmtId="164"/>
    <dataField name="Soma de COMBATER-INIMIGOS-SOBRE-AGUA" fld="26" baseField="0" baseItem="0" numFmtId="164"/>
    <dataField name="Soma de POTENCIAL-DESTRUIÇÃO-DE-MUROS" fld="27" baseField="0" baseItem="0" numFmtId="164"/>
    <dataField name="Soma de POTENCIAL-DESTRUIÇÃO-DE-MOITAS" fld="28" baseField="0" baseItem="0" numFmtId="164"/>
    <dataField name="Soma de POTENCIAL-DE-CRIACAO-DE-COVER" fld="29" baseField="0" baseItem="0" numFmtId="164"/>
    <dataField name="Soma de VELOCIDADE-MOVIMENTO" fld="30" baseField="0" baseItem="0" numFmtId="164"/>
    <dataField name="Soma de FORÇA-ATK-SURP" fld="31" baseField="0" baseItem="0" numFmtId="164"/>
    <dataField name="Soma de Ataque-Surpresa" fld="32" baseField="0" baseItem="0" numFmtId="164"/>
    <dataField name="Soma de FREQUÊNCIA-GERAÇÃO-DE-PETS" fld="33" baseField="0" baseItem="0" numFmtId="164"/>
    <dataField name="Soma de ACÚMULO-PETS" fld="34" baseField="0" baseItem="0" numFmtId="164"/>
    <dataField name="Soma de VIDA-DETERIORÁVEL-PETS" fld="35" baseField="0" baseItem="0" numFmtId="164"/>
    <dataField name="Soma de RESISTÊNCIA-PETS" fld="36" baseField="0" baseItem="0" numFmtId="164"/>
    <dataField name="Soma de DANO-PETS" fld="37" baseField="0" baseItem="0" numFmtId="164"/>
    <dataField name="Soma de ALCANCE-PETS" fld="38" baseField="0" baseItem="0" numFmtId="164"/>
    <dataField name="Soma de VELOCIDADE-PETS" fld="39" baseField="0" baseItem="0" numFmtId="164"/>
    <dataField name="Soma de PROXIMIDADE-PETS" fld="40" baseField="0" baseItem="0" numFmtId="164"/>
    <dataField name="Soma de DANO-AUMENTADO-QUANDO-AGRUPADO" fld="41" baseField="0" baseItem="0" numFmtId="164"/>
    <dataField name="Soma de CIRCUNSTANCIABILIDADE" fld="42" baseField="0" baseItem="0" numFmtId="164"/>
    <dataField name="Soma de HP-SUPORTE" fld="43" baseField="0" baseItem="0" numFmtId="164"/>
    <dataField name="Soma de HP-ENFRAQUECIMENTO" fld="44" baseField="0" baseItem="0" numFmtId="164"/>
    <dataField name="Soma de ESCUDO-SUPORTE" fld="49" baseField="0" baseItem="0" numFmtId="164"/>
    <dataField name="Soma de DANO-SUPORTE" fld="45" baseField="0" baseItem="0" numFmtId="164"/>
    <dataField name="Soma de DANO-ENFRAQUECIMENTO" fld="46" baseField="0" baseItem="0" numFmtId="164"/>
    <dataField name="Soma de SPEED-SUPORTE" fld="47" baseField="0" baseItem="0" numFmtId="164"/>
    <dataField name="Soma de INVISIBILIDADE-SUPORTE" fld="48" baseField="0" baseItem="0" numFmtId="164"/>
    <dataField name="Soma de POSICIONAMENTO-SUPORTE" fld="50" baseField="0" baseItem="0" numFmtId="164"/>
    <dataField name="Soma de VENENO-DEBUFF" fld="51" baseField="0" baseItem="0" numFmtId="164"/>
    <dataField name="Soma de COUNTER-VENENO-DEBUFF" fld="52" baseField="0" baseItem="0" numFmtId="164"/>
    <dataField name="Soma de STUN-DEBUFF" fld="55" baseField="0" baseItem="0" numFmtId="164"/>
    <dataField name="Soma de COUNTER-STUN-DEBUFF" fld="56" baseField="0" baseItem="0" numFmtId="164"/>
    <dataField name="Soma de LENTIDAO-DEBUFF" fld="53" baseField="0" baseItem="0" numFmtId="164"/>
    <dataField name="Soma de COUNTER-LENTIDAO-DEBUFF" fld="54" baseField="0" baseItem="0" numFmtId="164"/>
    <dataField name="Soma de BLOQUEIO-DE-INIMIGOS" fld="59" baseField="0" baseItem="0" numFmtId="164"/>
    <dataField name="Soma de CANCELAMENTO-ATAQUES" fld="57" baseField="0" baseItem="0" numFmtId="164"/>
    <dataField name="Soma de COUNTER-CANCELAMENTO-ATAQUES" fld="58" baseField="0" baseItem="0" numFmtId="164"/>
  </dataFields>
  <formats count="80">
    <format dxfId="289">
      <pivotArea outline="0" collapsedLevelsAreSubtotals="1" fieldPosition="0"/>
    </format>
    <format dxfId="290">
      <pivotArea field="1" type="button" dataOnly="0" labelOnly="1" outline="0" axis="axisCol" fieldPosition="0"/>
    </format>
    <format dxfId="291">
      <pivotArea field="0" type="button" dataOnly="0" labelOnly="1" outline="0" axis="axisCol" fieldPosition="1"/>
    </format>
    <format dxfId="292">
      <pivotArea type="topRight" dataOnly="0" labelOnly="1" outline="0" fieldPosition="0"/>
    </format>
    <format dxfId="293">
      <pivotArea dataOnly="0" labelOnly="1" outline="0" fieldPosition="0">
        <references count="1">
          <reference field="1" count="0"/>
        </references>
      </pivotArea>
    </format>
    <format dxfId="294">
      <pivotArea dataOnly="0" labelOnly="1" outline="0" fieldPosition="0">
        <references count="1">
          <reference field="1" count="0" defaultSubtotal="1"/>
        </references>
      </pivotArea>
    </format>
    <format dxfId="295">
      <pivotArea dataOnly="0" labelOnly="1" grandCol="1" outline="0" fieldPosition="0"/>
    </format>
    <format dxfId="296">
      <pivotArea dataOnly="0" labelOnly="1" outline="0" fieldPosition="0">
        <references count="2">
          <reference field="0" count="1">
            <x v="9"/>
          </reference>
          <reference field="1" count="0" selected="0"/>
        </references>
      </pivotArea>
    </format>
    <format dxfId="297">
      <pivotArea outline="0" collapsedLevelsAreSubtotals="1" fieldPosition="0"/>
    </format>
    <format dxfId="298">
      <pivotArea field="1" type="button" dataOnly="0" labelOnly="1" outline="0" axis="axisCol" fieldPosition="0"/>
    </format>
    <format dxfId="299">
      <pivotArea field="0" type="button" dataOnly="0" labelOnly="1" outline="0" axis="axisCol" fieldPosition="1"/>
    </format>
    <format dxfId="300">
      <pivotArea type="topRight" dataOnly="0" labelOnly="1" outline="0" fieldPosition="0"/>
    </format>
    <format dxfId="301">
      <pivotArea dataOnly="0" labelOnly="1" outline="0" fieldPosition="0">
        <references count="1">
          <reference field="1" count="0"/>
        </references>
      </pivotArea>
    </format>
    <format dxfId="302">
      <pivotArea dataOnly="0" labelOnly="1" outline="0" fieldPosition="0">
        <references count="1">
          <reference field="1" count="0" defaultSubtotal="1"/>
        </references>
      </pivotArea>
    </format>
    <format dxfId="303">
      <pivotArea dataOnly="0" labelOnly="1" grandCol="1" outline="0" fieldPosition="0"/>
    </format>
    <format dxfId="304">
      <pivotArea dataOnly="0" labelOnly="1" outline="0" fieldPosition="0">
        <references count="2">
          <reference field="0" count="1">
            <x v="9"/>
          </reference>
          <reference field="1" count="0" selected="0"/>
        </references>
      </pivotArea>
    </format>
    <format dxfId="305">
      <pivotArea outline="0" collapsedLevelsAreSubtotals="1" fieldPosition="0"/>
    </format>
    <format dxfId="306">
      <pivotArea field="1" type="button" dataOnly="0" labelOnly="1" outline="0" axis="axisCol" fieldPosition="0"/>
    </format>
    <format dxfId="307">
      <pivotArea field="0" type="button" dataOnly="0" labelOnly="1" outline="0" axis="axisCol" fieldPosition="1"/>
    </format>
    <format dxfId="308">
      <pivotArea type="topRight" dataOnly="0" labelOnly="1" outline="0" fieldPosition="0"/>
    </format>
    <format dxfId="309">
      <pivotArea dataOnly="0" labelOnly="1" outline="0" fieldPosition="0">
        <references count="1">
          <reference field="1" count="0"/>
        </references>
      </pivotArea>
    </format>
    <format dxfId="310">
      <pivotArea dataOnly="0" labelOnly="1" outline="0" fieldPosition="0">
        <references count="1">
          <reference field="1" count="0" defaultSubtotal="1"/>
        </references>
      </pivotArea>
    </format>
    <format dxfId="311">
      <pivotArea dataOnly="0" labelOnly="1" grandCol="1" outline="0" fieldPosition="0"/>
    </format>
    <format dxfId="312">
      <pivotArea dataOnly="0" labelOnly="1" outline="0" fieldPosition="0">
        <references count="2">
          <reference field="0" count="1">
            <x v="9"/>
          </reference>
          <reference field="1" count="0" selected="0"/>
        </references>
      </pivotArea>
    </format>
    <format dxfId="313">
      <pivotArea outline="0" collapsedLevelsAreSubtotals="1" fieldPosition="0"/>
    </format>
    <format dxfId="314">
      <pivotArea field="1" type="button" dataOnly="0" labelOnly="1" outline="0" axis="axisCol" fieldPosition="0"/>
    </format>
    <format dxfId="315">
      <pivotArea field="0" type="button" dataOnly="0" labelOnly="1" outline="0" axis="axisCol" fieldPosition="1"/>
    </format>
    <format dxfId="316">
      <pivotArea type="topRight" dataOnly="0" labelOnly="1" outline="0" fieldPosition="0"/>
    </format>
    <format dxfId="317">
      <pivotArea dataOnly="0" labelOnly="1" outline="0" fieldPosition="0">
        <references count="1">
          <reference field="1" count="0"/>
        </references>
      </pivotArea>
    </format>
    <format dxfId="318">
      <pivotArea dataOnly="0" labelOnly="1" outline="0" fieldPosition="0">
        <references count="1">
          <reference field="1" count="0" defaultSubtotal="1"/>
        </references>
      </pivotArea>
    </format>
    <format dxfId="319">
      <pivotArea dataOnly="0" labelOnly="1" grandCol="1" outline="0" fieldPosition="0"/>
    </format>
    <format dxfId="320">
      <pivotArea dataOnly="0" labelOnly="1" outline="0" fieldPosition="0">
        <references count="2">
          <reference field="0" count="1">
            <x v="9"/>
          </reference>
          <reference field="1" count="0" selected="0"/>
        </references>
      </pivotArea>
    </format>
    <format dxfId="321">
      <pivotArea outline="0" collapsedLevelsAreSubtotals="1" fieldPosition="0"/>
    </format>
    <format dxfId="322">
      <pivotArea field="1" type="button" dataOnly="0" labelOnly="1" outline="0" axis="axisCol" fieldPosition="0"/>
    </format>
    <format dxfId="323">
      <pivotArea field="0" type="button" dataOnly="0" labelOnly="1" outline="0" axis="axisCol" fieldPosition="1"/>
    </format>
    <format dxfId="324">
      <pivotArea type="topRight" dataOnly="0" labelOnly="1" outline="0" fieldPosition="0"/>
    </format>
    <format dxfId="325">
      <pivotArea dataOnly="0" labelOnly="1" outline="0" fieldPosition="0">
        <references count="1">
          <reference field="1" count="0"/>
        </references>
      </pivotArea>
    </format>
    <format dxfId="326">
      <pivotArea dataOnly="0" labelOnly="1" outline="0" fieldPosition="0">
        <references count="1">
          <reference field="1" count="0" defaultSubtotal="1"/>
        </references>
      </pivotArea>
    </format>
    <format dxfId="327">
      <pivotArea dataOnly="0" labelOnly="1" grandCol="1" outline="0" fieldPosition="0"/>
    </format>
    <format dxfId="328">
      <pivotArea dataOnly="0" labelOnly="1" outline="0" fieldPosition="0">
        <references count="2">
          <reference field="0" count="1">
            <x v="9"/>
          </reference>
          <reference field="1" count="0" selected="0"/>
        </references>
      </pivotArea>
    </format>
    <format dxfId="329">
      <pivotArea outline="0" collapsedLevelsAreSubtotals="1" fieldPosition="0"/>
    </format>
    <format dxfId="330">
      <pivotArea field="1" type="button" dataOnly="0" labelOnly="1" outline="0" axis="axisCol" fieldPosition="0"/>
    </format>
    <format dxfId="331">
      <pivotArea field="0" type="button" dataOnly="0" labelOnly="1" outline="0" axis="axisCol" fieldPosition="1"/>
    </format>
    <format dxfId="332">
      <pivotArea type="topRight" dataOnly="0" labelOnly="1" outline="0" fieldPosition="0"/>
    </format>
    <format dxfId="333">
      <pivotArea dataOnly="0" labelOnly="1" outline="0" fieldPosition="0">
        <references count="1">
          <reference field="1" count="0"/>
        </references>
      </pivotArea>
    </format>
    <format dxfId="334">
      <pivotArea dataOnly="0" labelOnly="1" outline="0" fieldPosition="0">
        <references count="1">
          <reference field="1" count="0" defaultSubtotal="1"/>
        </references>
      </pivotArea>
    </format>
    <format dxfId="335">
      <pivotArea dataOnly="0" labelOnly="1" grandCol="1" outline="0" fieldPosition="0"/>
    </format>
    <format dxfId="336">
      <pivotArea dataOnly="0" labelOnly="1" outline="0" fieldPosition="0">
        <references count="2">
          <reference field="0" count="1">
            <x v="9"/>
          </reference>
          <reference field="1" count="0" selected="0"/>
        </references>
      </pivotArea>
    </format>
    <format dxfId="337">
      <pivotArea outline="0" collapsedLevelsAreSubtotals="1" fieldPosition="0"/>
    </format>
    <format dxfId="338">
      <pivotArea field="1" type="button" dataOnly="0" labelOnly="1" outline="0" axis="axisCol" fieldPosition="0"/>
    </format>
    <format dxfId="339">
      <pivotArea field="0" type="button" dataOnly="0" labelOnly="1" outline="0" axis="axisCol" fieldPosition="1"/>
    </format>
    <format dxfId="340">
      <pivotArea type="topRight" dataOnly="0" labelOnly="1" outline="0" fieldPosition="0"/>
    </format>
    <format dxfId="341">
      <pivotArea dataOnly="0" labelOnly="1" outline="0" fieldPosition="0">
        <references count="1">
          <reference field="1" count="0"/>
        </references>
      </pivotArea>
    </format>
    <format dxfId="342">
      <pivotArea dataOnly="0" labelOnly="1" outline="0" fieldPosition="0">
        <references count="1">
          <reference field="1" count="0" defaultSubtotal="1"/>
        </references>
      </pivotArea>
    </format>
    <format dxfId="343">
      <pivotArea dataOnly="0" labelOnly="1" grandCol="1" outline="0" fieldPosition="0"/>
    </format>
    <format dxfId="344">
      <pivotArea dataOnly="0" labelOnly="1" outline="0" fieldPosition="0">
        <references count="2">
          <reference field="0" count="1">
            <x v="9"/>
          </reference>
          <reference field="1" count="0" selected="0"/>
        </references>
      </pivotArea>
    </format>
    <format dxfId="345">
      <pivotArea outline="0" collapsedLevelsAreSubtotals="1" fieldPosition="0"/>
    </format>
    <format dxfId="346">
      <pivotArea field="1" type="button" dataOnly="0" labelOnly="1" outline="0" axis="axisCol" fieldPosition="0"/>
    </format>
    <format dxfId="347">
      <pivotArea field="0" type="button" dataOnly="0" labelOnly="1" outline="0" axis="axisCol" fieldPosition="1"/>
    </format>
    <format dxfId="348">
      <pivotArea type="topRight" dataOnly="0" labelOnly="1" outline="0" fieldPosition="0"/>
    </format>
    <format dxfId="349">
      <pivotArea dataOnly="0" labelOnly="1" outline="0" fieldPosition="0">
        <references count="1">
          <reference field="1" count="0"/>
        </references>
      </pivotArea>
    </format>
    <format dxfId="350">
      <pivotArea dataOnly="0" labelOnly="1" outline="0" fieldPosition="0">
        <references count="1">
          <reference field="1" count="0" defaultSubtotal="1"/>
        </references>
      </pivotArea>
    </format>
    <format dxfId="351">
      <pivotArea dataOnly="0" labelOnly="1" grandCol="1" outline="0" fieldPosition="0"/>
    </format>
    <format dxfId="352">
      <pivotArea dataOnly="0" labelOnly="1" outline="0" fieldPosition="0">
        <references count="2">
          <reference field="0" count="1">
            <x v="9"/>
          </reference>
          <reference field="1" count="0" selected="0"/>
        </references>
      </pivotArea>
    </format>
    <format dxfId="353">
      <pivotArea outline="0" collapsedLevelsAreSubtotals="1" fieldPosition="0"/>
    </format>
    <format dxfId="354">
      <pivotArea field="1" type="button" dataOnly="0" labelOnly="1" outline="0" axis="axisCol" fieldPosition="0"/>
    </format>
    <format dxfId="355">
      <pivotArea field="0" type="button" dataOnly="0" labelOnly="1" outline="0" axis="axisCol" fieldPosition="1"/>
    </format>
    <format dxfId="356">
      <pivotArea type="topRight" dataOnly="0" labelOnly="1" outline="0" fieldPosition="0"/>
    </format>
    <format dxfId="357">
      <pivotArea dataOnly="0" labelOnly="1" outline="0" fieldPosition="0">
        <references count="1">
          <reference field="1" count="0"/>
        </references>
      </pivotArea>
    </format>
    <format dxfId="358">
      <pivotArea dataOnly="0" labelOnly="1" outline="0" fieldPosition="0">
        <references count="1">
          <reference field="1" count="0" defaultSubtotal="1"/>
        </references>
      </pivotArea>
    </format>
    <format dxfId="359">
      <pivotArea dataOnly="0" labelOnly="1" grandCol="1" outline="0" fieldPosition="0"/>
    </format>
    <format dxfId="360">
      <pivotArea dataOnly="0" labelOnly="1" outline="0" fieldPosition="0">
        <references count="2">
          <reference field="0" count="1">
            <x v="9"/>
          </reference>
          <reference field="1" count="0" selected="0"/>
        </references>
      </pivotArea>
    </format>
    <format dxfId="361">
      <pivotArea outline="0" collapsedLevelsAreSubtotals="1" fieldPosition="0"/>
    </format>
    <format dxfId="362">
      <pivotArea field="1" type="button" dataOnly="0" labelOnly="1" outline="0" axis="axisCol" fieldPosition="0"/>
    </format>
    <format dxfId="363">
      <pivotArea field="0" type="button" dataOnly="0" labelOnly="1" outline="0" axis="axisCol" fieldPosition="1"/>
    </format>
    <format dxfId="364">
      <pivotArea type="topRight" dataOnly="0" labelOnly="1" outline="0" fieldPosition="0"/>
    </format>
    <format dxfId="365">
      <pivotArea dataOnly="0" labelOnly="1" outline="0" fieldPosition="0">
        <references count="1">
          <reference field="1" count="0"/>
        </references>
      </pivotArea>
    </format>
    <format dxfId="366">
      <pivotArea dataOnly="0" labelOnly="1" outline="0" fieldPosition="0">
        <references count="1">
          <reference field="1" count="0" defaultSubtotal="1"/>
        </references>
      </pivotArea>
    </format>
    <format dxfId="367">
      <pivotArea dataOnly="0" labelOnly="1" grandCol="1" outline="0" fieldPosition="0"/>
    </format>
    <format dxfId="368">
      <pivotArea dataOnly="0" labelOnly="1" outline="0" fieldPosition="0">
        <references count="2">
          <reference field="0" count="1">
            <x v="7"/>
          </reference>
          <reference field="1" count="0" selected="0"/>
        </references>
      </pivotArea>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5C424D-0E7B-45D0-BEC8-BAF46AA351E5}" name="Tabela dinâmica6" cacheId="261" dataOnRows="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T4:W64" firstHeaderRow="1" firstDataRow="3" firstDataCol="1"/>
  <pivotFields count="60">
    <pivotField axis="axisCol" compact="0" outline="0" showAll="0">
      <items count="19">
        <item x="14"/>
        <item x="6"/>
        <item x="13"/>
        <item x="3"/>
        <item x="1"/>
        <item x="5"/>
        <item x="16"/>
        <item x="11"/>
        <item x="10"/>
        <item x="4"/>
        <item x="8"/>
        <item x="12"/>
        <item x="15"/>
        <item x="2"/>
        <item x="17"/>
        <item x="7"/>
        <item x="9"/>
        <item x="0"/>
        <item t="default"/>
      </items>
    </pivotField>
    <pivotField axis="axisCol" compact="0" outline="0" showAll="0">
      <items count="19">
        <item h="1" x="1"/>
        <item h="1" x="8"/>
        <item h="1" x="16"/>
        <item h="1" x="9"/>
        <item h="1" x="5"/>
        <item h="1" x="11"/>
        <item h="1" x="15"/>
        <item h="1" x="4"/>
        <item h="1" x="17"/>
        <item h="1" x="13"/>
        <item h="1" x="0"/>
        <item h="1" x="12"/>
        <item h="1" x="7"/>
        <item h="1" x="2"/>
        <item h="1" x="10"/>
        <item h="1" x="6"/>
        <item h="1" x="3"/>
        <item x="14"/>
        <item t="default"/>
      </items>
    </pivotField>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2"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s>
  <rowFields count="1">
    <field x="-2"/>
  </rowFields>
  <rowItems count="58">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rowItems>
  <colFields count="2">
    <field x="1"/>
    <field x="0"/>
  </colFields>
  <colItems count="3">
    <i>
      <x v="17"/>
      <x/>
    </i>
    <i t="default">
      <x v="17"/>
    </i>
    <i t="grand">
      <x/>
    </i>
  </colItems>
  <dataFields count="58">
    <dataField name="Soma de PROJETEIS-PARA-SUPER" fld="2" baseField="0" baseItem="0" numFmtId="164"/>
    <dataField name="Soma de SUPERS-PARA-HIPERCARGA" fld="3" baseField="0" baseItem="0" numFmtId="164"/>
    <dataField name="Soma de DANO-PROJETIL" fld="4" baseField="0" baseItem="0" numFmtId="164"/>
    <dataField name="Soma de TIROS-DADOS-EM-5-SEGUNDOS" fld="5" baseField="0" baseItem="0" numFmtId="164"/>
    <dataField name="Soma de MÉDIA-PROJETEIS-POR-TIRO" fld="6" baseField="0" baseItem="0" numFmtId="164"/>
    <dataField name="Soma de CURTO-ALCANCE-QUANT-PROJETIL-MEDIO" fld="7" baseField="0" baseItem="0" numFmtId="164"/>
    <dataField name="Soma de MEDIO-ALCANCE-QUANT-PROJETIL-MEDIO" fld="8" baseField="0" baseItem="0" numFmtId="164"/>
    <dataField name="Soma de LONGO-ALCANCE-QUANT-PROJETIL-MEDIO" fld="9" baseField="0" baseItem="0" numFmtId="164"/>
    <dataField name="Soma de MTLONGO-ALCANCE-QUANT-PROJETIL-MEDIO" fld="10" baseField="0" baseItem="0" numFmtId="164"/>
    <dataField name="Soma de CARREGAMENTO-SUPER-AO-ACERTAR-EM-PROJETEIS" fld="11" baseField="0" baseItem="0" numFmtId="164"/>
    <dataField name="Soma de CURTO-ALCANCE-DANO-SUPER-MEDIO" fld="12" baseField="0" baseItem="0" numFmtId="164"/>
    <dataField name="Soma de MEDIO-ALCANCE-DANO-SUPER-MEDIO" fld="13" baseField="0" baseItem="0" numFmtId="164"/>
    <dataField name="Soma de LONGO-ALCANCE-DANO-SUPER-MEDIO" fld="14" baseField="0" baseItem="0" numFmtId="164"/>
    <dataField name="Soma de MT-LONGO-ALCANCE-DANO-SUPER-MEDIO" fld="15" baseField="0" baseItem="0" numFmtId="164"/>
    <dataField name="Soma de MÉDIA-DANO-POR-SUPER" fld="16" baseField="0" baseItem="0" numFmtId="164"/>
    <dataField name="Soma de DANO-OCASIONAL" fld="17" baseField="0" baseItem="0" numFmtId="164"/>
    <dataField name="Soma de Durability" fld="18" baseField="0" baseItem="0" numFmtId="2"/>
    <dataField name="Soma de Distância-Ataque" fld="19" baseField="0" baseItem="0" numFmtId="164"/>
    <dataField name="Soma de Botão-de-Fuga" fld="20" baseField="0" baseItem="0" numFmtId="164"/>
    <dataField name="Soma de Ataque-amplo" fld="21" baseField="0" baseItem="0" numFmtId="164"/>
    <dataField name="Soma de FREQUENCIA-DANO-INDIRETO" fld="22" baseField="0" baseItem="0" numFmtId="164"/>
    <dataField name="Soma de NEGACAO-DE-AREA" fld="23" baseField="0" baseItem="0" numFmtId="164"/>
    <dataField name="Soma de MANIPULACAO-DA-POSICAO-DE-INIMIGOS" fld="24" baseField="0" baseItem="0" numFmtId="164"/>
    <dataField name="Soma de ANDA-SOBRE-AGUA" fld="25" baseField="0" baseItem="0" numFmtId="164"/>
    <dataField name="Soma de COMBATER-INIMIGOS-SOBRE-AGUA" fld="26" baseField="0" baseItem="0" numFmtId="164"/>
    <dataField name="Soma de POTENCIAL-DESTRUIÇÃO-DE-MUROS" fld="27" baseField="0" baseItem="0" numFmtId="164"/>
    <dataField name="Soma de POTENCIAL-DESTRUIÇÃO-DE-MOITAS" fld="28" baseField="0" baseItem="0" numFmtId="164"/>
    <dataField name="Soma de POTENCIAL-DE-CRIACAO-DE-COVER" fld="29" baseField="0" baseItem="0" numFmtId="164"/>
    <dataField name="Soma de VELOCIDADE-MOVIMENTO" fld="30" baseField="0" baseItem="0" numFmtId="164"/>
    <dataField name="Soma de FORÇA-ATK-SURP" fld="31" baseField="0" baseItem="0" numFmtId="164"/>
    <dataField name="Soma de Ataque-Surpresa" fld="32" baseField="0" baseItem="0" numFmtId="164"/>
    <dataField name="Soma de FREQUÊNCIA-GERAÇÃO-DE-PETS" fld="33" baseField="0" baseItem="0" numFmtId="164"/>
    <dataField name="Soma de ACÚMULO-PETS" fld="34" baseField="0" baseItem="0" numFmtId="164"/>
    <dataField name="Soma de VIDA-DETERIORÁVEL-PETS" fld="35" baseField="0" baseItem="0" numFmtId="164"/>
    <dataField name="Soma de RESISTÊNCIA-PETS" fld="36" baseField="0" baseItem="0" numFmtId="164"/>
    <dataField name="Soma de DANO-PETS" fld="37" baseField="0" baseItem="0" numFmtId="164"/>
    <dataField name="Soma de ALCANCE-PETS" fld="38" baseField="0" baseItem="0" numFmtId="164"/>
    <dataField name="Soma de VELOCIDADE-PETS" fld="39" baseField="0" baseItem="0" numFmtId="164"/>
    <dataField name="Soma de PROXIMIDADE-PETS" fld="40" baseField="0" baseItem="0" numFmtId="164"/>
    <dataField name="Soma de DANO-AUMENTADO-QUANDO-AGRUPADO" fld="41" baseField="0" baseItem="0" numFmtId="164"/>
    <dataField name="Soma de CIRCUNSTANCIABILIDADE" fld="42" baseField="0" baseItem="0" numFmtId="164"/>
    <dataField name="Soma de HP-SUPORTE" fld="43" baseField="0" baseItem="0" numFmtId="164"/>
    <dataField name="Soma de HP-ENFRAQUECIMENTO" fld="44" baseField="0" baseItem="0" numFmtId="164"/>
    <dataField name="Soma de ESCUDO-SUPORTE" fld="49" baseField="0" baseItem="0" numFmtId="164"/>
    <dataField name="Soma de DANO-SUPORTE" fld="45" baseField="0" baseItem="0" numFmtId="164"/>
    <dataField name="Soma de DANO-ENFRAQUECIMENTO" fld="46" baseField="0" baseItem="0" numFmtId="164"/>
    <dataField name="Soma de SPEED-SUPORTE" fld="47" baseField="0" baseItem="0" numFmtId="164"/>
    <dataField name="Soma de INVISIBILIDADE-SUPORTE" fld="48" baseField="0" baseItem="0" numFmtId="164"/>
    <dataField name="Soma de POSICIONAMENTO-SUPORTE" fld="50" baseField="0" baseItem="0" numFmtId="164"/>
    <dataField name="Soma de VENENO-DEBUFF" fld="51" baseField="0" baseItem="0" numFmtId="164"/>
    <dataField name="Soma de COUNTER-VENENO-DEBUFF" fld="52" baseField="0" baseItem="0" numFmtId="164"/>
    <dataField name="Soma de STUN-DEBUFF" fld="55" baseField="0" baseItem="0" numFmtId="164"/>
    <dataField name="Soma de COUNTER-STUN-DEBUFF" fld="56" baseField="0" baseItem="0" numFmtId="164"/>
    <dataField name="Soma de LENTIDAO-DEBUFF" fld="53" baseField="0" baseItem="0" numFmtId="164"/>
    <dataField name="Soma de COUNTER-LENTIDAO-DEBUFF" fld="54" baseField="0" baseItem="0" numFmtId="164"/>
    <dataField name="Soma de BLOQUEIO-DE-INIMIGOS" fld="59" baseField="0" baseItem="0" numFmtId="164"/>
    <dataField name="Soma de CANCELAMENTO-ATAQUES" fld="57" baseField="0" baseItem="0" numFmtId="164"/>
    <dataField name="Soma de COUNTER-CANCELAMENTO-ATAQUES" fld="58" baseField="0" baseItem="0" numFmtId="164"/>
  </dataFields>
  <formats count="80">
    <format dxfId="209">
      <pivotArea outline="0" collapsedLevelsAreSubtotals="1" fieldPosition="0"/>
    </format>
    <format dxfId="210">
      <pivotArea field="1" type="button" dataOnly="0" labelOnly="1" outline="0" axis="axisCol" fieldPosition="0"/>
    </format>
    <format dxfId="211">
      <pivotArea field="0" type="button" dataOnly="0" labelOnly="1" outline="0" axis="axisCol" fieldPosition="1"/>
    </format>
    <format dxfId="212">
      <pivotArea type="topRight" dataOnly="0" labelOnly="1" outline="0" fieldPosition="0"/>
    </format>
    <format dxfId="213">
      <pivotArea dataOnly="0" labelOnly="1" outline="0" fieldPosition="0">
        <references count="1">
          <reference field="1" count="0"/>
        </references>
      </pivotArea>
    </format>
    <format dxfId="214">
      <pivotArea dataOnly="0" labelOnly="1" outline="0" fieldPosition="0">
        <references count="1">
          <reference field="1" count="0" defaultSubtotal="1"/>
        </references>
      </pivotArea>
    </format>
    <format dxfId="215">
      <pivotArea dataOnly="0" labelOnly="1" grandCol="1" outline="0" fieldPosition="0"/>
    </format>
    <format dxfId="216">
      <pivotArea dataOnly="0" labelOnly="1" outline="0" fieldPosition="0">
        <references count="2">
          <reference field="0" count="1">
            <x v="4"/>
          </reference>
          <reference field="1" count="0" selected="0"/>
        </references>
      </pivotArea>
    </format>
    <format dxfId="217">
      <pivotArea outline="0" collapsedLevelsAreSubtotals="1" fieldPosition="0"/>
    </format>
    <format dxfId="218">
      <pivotArea field="1" type="button" dataOnly="0" labelOnly="1" outline="0" axis="axisCol" fieldPosition="0"/>
    </format>
    <format dxfId="219">
      <pivotArea field="0" type="button" dataOnly="0" labelOnly="1" outline="0" axis="axisCol" fieldPosition="1"/>
    </format>
    <format dxfId="220">
      <pivotArea type="topRight" dataOnly="0" labelOnly="1" outline="0" fieldPosition="0"/>
    </format>
    <format dxfId="221">
      <pivotArea dataOnly="0" labelOnly="1" outline="0" fieldPosition="0">
        <references count="1">
          <reference field="1" count="0"/>
        </references>
      </pivotArea>
    </format>
    <format dxfId="222">
      <pivotArea dataOnly="0" labelOnly="1" outline="0" fieldPosition="0">
        <references count="1">
          <reference field="1" count="0" defaultSubtotal="1"/>
        </references>
      </pivotArea>
    </format>
    <format dxfId="223">
      <pivotArea dataOnly="0" labelOnly="1" grandCol="1" outline="0" fieldPosition="0"/>
    </format>
    <format dxfId="224">
      <pivotArea dataOnly="0" labelOnly="1" outline="0" fieldPosition="0">
        <references count="2">
          <reference field="0" count="1">
            <x v="4"/>
          </reference>
          <reference field="1" count="0" selected="0"/>
        </references>
      </pivotArea>
    </format>
    <format dxfId="225">
      <pivotArea outline="0" collapsedLevelsAreSubtotals="1" fieldPosition="0"/>
    </format>
    <format dxfId="226">
      <pivotArea field="1" type="button" dataOnly="0" labelOnly="1" outline="0" axis="axisCol" fieldPosition="0"/>
    </format>
    <format dxfId="227">
      <pivotArea field="0" type="button" dataOnly="0" labelOnly="1" outline="0" axis="axisCol" fieldPosition="1"/>
    </format>
    <format dxfId="228">
      <pivotArea type="topRight" dataOnly="0" labelOnly="1" outline="0" fieldPosition="0"/>
    </format>
    <format dxfId="229">
      <pivotArea dataOnly="0" labelOnly="1" outline="0" fieldPosition="0">
        <references count="1">
          <reference field="1" count="0"/>
        </references>
      </pivotArea>
    </format>
    <format dxfId="230">
      <pivotArea dataOnly="0" labelOnly="1" outline="0" fieldPosition="0">
        <references count="1">
          <reference field="1" count="0" defaultSubtotal="1"/>
        </references>
      </pivotArea>
    </format>
    <format dxfId="231">
      <pivotArea dataOnly="0" labelOnly="1" grandCol="1" outline="0" fieldPosition="0"/>
    </format>
    <format dxfId="232">
      <pivotArea dataOnly="0" labelOnly="1" outline="0" fieldPosition="0">
        <references count="2">
          <reference field="0" count="1">
            <x v="4"/>
          </reference>
          <reference field="1" count="0" selected="0"/>
        </references>
      </pivotArea>
    </format>
    <format dxfId="233">
      <pivotArea outline="0" collapsedLevelsAreSubtotals="1" fieldPosition="0"/>
    </format>
    <format dxfId="234">
      <pivotArea field="1" type="button" dataOnly="0" labelOnly="1" outline="0" axis="axisCol" fieldPosition="0"/>
    </format>
    <format dxfId="235">
      <pivotArea field="0" type="button" dataOnly="0" labelOnly="1" outline="0" axis="axisCol" fieldPosition="1"/>
    </format>
    <format dxfId="236">
      <pivotArea type="topRight" dataOnly="0" labelOnly="1" outline="0" fieldPosition="0"/>
    </format>
    <format dxfId="237">
      <pivotArea dataOnly="0" labelOnly="1" outline="0" fieldPosition="0">
        <references count="1">
          <reference field="1" count="0"/>
        </references>
      </pivotArea>
    </format>
    <format dxfId="238">
      <pivotArea dataOnly="0" labelOnly="1" outline="0" fieldPosition="0">
        <references count="1">
          <reference field="1" count="0" defaultSubtotal="1"/>
        </references>
      </pivotArea>
    </format>
    <format dxfId="239">
      <pivotArea dataOnly="0" labelOnly="1" grandCol="1" outline="0" fieldPosition="0"/>
    </format>
    <format dxfId="240">
      <pivotArea dataOnly="0" labelOnly="1" outline="0" fieldPosition="0">
        <references count="2">
          <reference field="0" count="1">
            <x v="4"/>
          </reference>
          <reference field="1" count="0" selected="0"/>
        </references>
      </pivotArea>
    </format>
    <format dxfId="241">
      <pivotArea outline="0" collapsedLevelsAreSubtotals="1" fieldPosition="0"/>
    </format>
    <format dxfId="242">
      <pivotArea field="1" type="button" dataOnly="0" labelOnly="1" outline="0" axis="axisCol" fieldPosition="0"/>
    </format>
    <format dxfId="243">
      <pivotArea field="0" type="button" dataOnly="0" labelOnly="1" outline="0" axis="axisCol" fieldPosition="1"/>
    </format>
    <format dxfId="244">
      <pivotArea type="topRight" dataOnly="0" labelOnly="1" outline="0" fieldPosition="0"/>
    </format>
    <format dxfId="245">
      <pivotArea dataOnly="0" labelOnly="1" outline="0" fieldPosition="0">
        <references count="1">
          <reference field="1" count="0"/>
        </references>
      </pivotArea>
    </format>
    <format dxfId="246">
      <pivotArea dataOnly="0" labelOnly="1" outline="0" fieldPosition="0">
        <references count="1">
          <reference field="1" count="0" defaultSubtotal="1"/>
        </references>
      </pivotArea>
    </format>
    <format dxfId="247">
      <pivotArea dataOnly="0" labelOnly="1" grandCol="1" outline="0" fieldPosition="0"/>
    </format>
    <format dxfId="248">
      <pivotArea dataOnly="0" labelOnly="1" outline="0" fieldPosition="0">
        <references count="2">
          <reference field="0" count="1">
            <x v="4"/>
          </reference>
          <reference field="1" count="0" selected="0"/>
        </references>
      </pivotArea>
    </format>
    <format dxfId="249">
      <pivotArea outline="0" collapsedLevelsAreSubtotals="1" fieldPosition="0"/>
    </format>
    <format dxfId="250">
      <pivotArea field="1" type="button" dataOnly="0" labelOnly="1" outline="0" axis="axisCol" fieldPosition="0"/>
    </format>
    <format dxfId="251">
      <pivotArea field="0" type="button" dataOnly="0" labelOnly="1" outline="0" axis="axisCol" fieldPosition="1"/>
    </format>
    <format dxfId="252">
      <pivotArea type="topRight" dataOnly="0" labelOnly="1" outline="0" fieldPosition="0"/>
    </format>
    <format dxfId="253">
      <pivotArea dataOnly="0" labelOnly="1" outline="0" fieldPosition="0">
        <references count="1">
          <reference field="1" count="0"/>
        </references>
      </pivotArea>
    </format>
    <format dxfId="254">
      <pivotArea dataOnly="0" labelOnly="1" outline="0" fieldPosition="0">
        <references count="1">
          <reference field="1" count="0" defaultSubtotal="1"/>
        </references>
      </pivotArea>
    </format>
    <format dxfId="255">
      <pivotArea dataOnly="0" labelOnly="1" grandCol="1" outline="0" fieldPosition="0"/>
    </format>
    <format dxfId="256">
      <pivotArea dataOnly="0" labelOnly="1" outline="0" fieldPosition="0">
        <references count="2">
          <reference field="0" count="1">
            <x v="4"/>
          </reference>
          <reference field="1" count="0" selected="0"/>
        </references>
      </pivotArea>
    </format>
    <format dxfId="257">
      <pivotArea outline="0" collapsedLevelsAreSubtotals="1" fieldPosition="0"/>
    </format>
    <format dxfId="258">
      <pivotArea field="1" type="button" dataOnly="0" labelOnly="1" outline="0" axis="axisCol" fieldPosition="0"/>
    </format>
    <format dxfId="259">
      <pivotArea field="0" type="button" dataOnly="0" labelOnly="1" outline="0" axis="axisCol" fieldPosition="1"/>
    </format>
    <format dxfId="260">
      <pivotArea type="topRight" dataOnly="0" labelOnly="1" outline="0" fieldPosition="0"/>
    </format>
    <format dxfId="261">
      <pivotArea dataOnly="0" labelOnly="1" outline="0" fieldPosition="0">
        <references count="1">
          <reference field="1" count="0"/>
        </references>
      </pivotArea>
    </format>
    <format dxfId="262">
      <pivotArea dataOnly="0" labelOnly="1" outline="0" fieldPosition="0">
        <references count="1">
          <reference field="1" count="0" defaultSubtotal="1"/>
        </references>
      </pivotArea>
    </format>
    <format dxfId="263">
      <pivotArea dataOnly="0" labelOnly="1" grandCol="1" outline="0" fieldPosition="0"/>
    </format>
    <format dxfId="264">
      <pivotArea dataOnly="0" labelOnly="1" outline="0" fieldPosition="0">
        <references count="2">
          <reference field="0" count="1">
            <x v="4"/>
          </reference>
          <reference field="1" count="0" selected="0"/>
        </references>
      </pivotArea>
    </format>
    <format dxfId="265">
      <pivotArea outline="0" collapsedLevelsAreSubtotals="1" fieldPosition="0"/>
    </format>
    <format dxfId="266">
      <pivotArea field="1" type="button" dataOnly="0" labelOnly="1" outline="0" axis="axisCol" fieldPosition="0"/>
    </format>
    <format dxfId="267">
      <pivotArea field="0" type="button" dataOnly="0" labelOnly="1" outline="0" axis="axisCol" fieldPosition="1"/>
    </format>
    <format dxfId="268">
      <pivotArea type="topRight" dataOnly="0" labelOnly="1" outline="0" fieldPosition="0"/>
    </format>
    <format dxfId="269">
      <pivotArea dataOnly="0" labelOnly="1" outline="0" fieldPosition="0">
        <references count="1">
          <reference field="1" count="0"/>
        </references>
      </pivotArea>
    </format>
    <format dxfId="270">
      <pivotArea dataOnly="0" labelOnly="1" outline="0" fieldPosition="0">
        <references count="1">
          <reference field="1" count="0" defaultSubtotal="1"/>
        </references>
      </pivotArea>
    </format>
    <format dxfId="271">
      <pivotArea dataOnly="0" labelOnly="1" grandCol="1" outline="0" fieldPosition="0"/>
    </format>
    <format dxfId="272">
      <pivotArea dataOnly="0" labelOnly="1" outline="0" fieldPosition="0">
        <references count="2">
          <reference field="0" count="1">
            <x v="4"/>
          </reference>
          <reference field="1" count="0" selected="0"/>
        </references>
      </pivotArea>
    </format>
    <format dxfId="273">
      <pivotArea outline="0" collapsedLevelsAreSubtotals="1" fieldPosition="0"/>
    </format>
    <format dxfId="274">
      <pivotArea field="1" type="button" dataOnly="0" labelOnly="1" outline="0" axis="axisCol" fieldPosition="0"/>
    </format>
    <format dxfId="275">
      <pivotArea field="0" type="button" dataOnly="0" labelOnly="1" outline="0" axis="axisCol" fieldPosition="1"/>
    </format>
    <format dxfId="276">
      <pivotArea type="topRight" dataOnly="0" labelOnly="1" outline="0" fieldPosition="0"/>
    </format>
    <format dxfId="277">
      <pivotArea dataOnly="0" labelOnly="1" outline="0" fieldPosition="0">
        <references count="1">
          <reference field="1" count="0"/>
        </references>
      </pivotArea>
    </format>
    <format dxfId="278">
      <pivotArea dataOnly="0" labelOnly="1" outline="0" fieldPosition="0">
        <references count="1">
          <reference field="1" count="0" defaultSubtotal="1"/>
        </references>
      </pivotArea>
    </format>
    <format dxfId="279">
      <pivotArea dataOnly="0" labelOnly="1" grandCol="1" outline="0" fieldPosition="0"/>
    </format>
    <format dxfId="280">
      <pivotArea dataOnly="0" labelOnly="1" outline="0" fieldPosition="0">
        <references count="2">
          <reference field="0" count="1">
            <x v="4"/>
          </reference>
          <reference field="1" count="0" selected="0"/>
        </references>
      </pivotArea>
    </format>
    <format dxfId="281">
      <pivotArea outline="0" collapsedLevelsAreSubtotals="1" fieldPosition="0"/>
    </format>
    <format dxfId="282">
      <pivotArea field="1" type="button" dataOnly="0" labelOnly="1" outline="0" axis="axisCol" fieldPosition="0"/>
    </format>
    <format dxfId="283">
      <pivotArea field="0" type="button" dataOnly="0" labelOnly="1" outline="0" axis="axisCol" fieldPosition="1"/>
    </format>
    <format dxfId="284">
      <pivotArea type="topRight" dataOnly="0" labelOnly="1" outline="0" fieldPosition="0"/>
    </format>
    <format dxfId="285">
      <pivotArea dataOnly="0" labelOnly="1" outline="0" fieldPosition="0">
        <references count="1">
          <reference field="1" count="0"/>
        </references>
      </pivotArea>
    </format>
    <format dxfId="286">
      <pivotArea dataOnly="0" labelOnly="1" outline="0" fieldPosition="0">
        <references count="1">
          <reference field="1" count="0" defaultSubtotal="1"/>
        </references>
      </pivotArea>
    </format>
    <format dxfId="287">
      <pivotArea dataOnly="0" labelOnly="1" grandCol="1" outline="0" fieldPosition="0"/>
    </format>
    <format dxfId="288">
      <pivotArea dataOnly="0" labelOnly="1" outline="0" fieldPosition="0">
        <references count="2">
          <reference field="0" count="1">
            <x v="6"/>
          </reference>
          <reference field="1" count="0" selected="0"/>
        </references>
      </pivotArea>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14A9D0-5C41-4114-BBBC-D57DC950C7C2}" name="Tabela dinâmica5" cacheId="262" dataOnRows="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O4:R64" firstHeaderRow="1" firstDataRow="3" firstDataCol="1"/>
  <pivotFields count="60">
    <pivotField axis="axisCol" compact="0" outline="0" showAll="0">
      <items count="19">
        <item x="0"/>
        <item x="5"/>
        <item x="11"/>
        <item x="13"/>
        <item x="7"/>
        <item x="1"/>
        <item x="3"/>
        <item x="8"/>
        <item x="15"/>
        <item x="12"/>
        <item x="9"/>
        <item x="10"/>
        <item x="6"/>
        <item x="4"/>
        <item x="2"/>
        <item x="17"/>
        <item x="16"/>
        <item x="14"/>
        <item t="default"/>
      </items>
    </pivotField>
    <pivotField axis="axisCol" compact="0" outline="0" showAll="0">
      <items count="19">
        <item h="1" x="1"/>
        <item h="1" x="8"/>
        <item h="1" x="16"/>
        <item h="1" x="9"/>
        <item h="1" x="5"/>
        <item h="1" x="11"/>
        <item h="1" x="15"/>
        <item h="1" x="4"/>
        <item h="1" x="17"/>
        <item h="1" x="13"/>
        <item h="1" x="0"/>
        <item h="1" x="12"/>
        <item h="1" x="7"/>
        <item h="1" x="2"/>
        <item h="1" x="10"/>
        <item h="1" x="6"/>
        <item h="1" x="3"/>
        <item x="14"/>
        <item t="default"/>
      </items>
    </pivotField>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s>
  <rowFields count="1">
    <field x="-2"/>
  </rowFields>
  <rowItems count="58">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rowItems>
  <colFields count="2">
    <field x="1"/>
    <field x="0"/>
  </colFields>
  <colItems count="3">
    <i>
      <x v="17"/>
      <x v="17"/>
    </i>
    <i t="default">
      <x v="17"/>
    </i>
    <i t="grand">
      <x/>
    </i>
  </colItems>
  <dataFields count="58">
    <dataField name="Soma de PROJETEIS-PARA-SUPER" fld="2" baseField="0" baseItem="0" numFmtId="164"/>
    <dataField name="Soma de SUPERS-PARA-HIPERCARGA" fld="3" baseField="0" baseItem="0" numFmtId="164"/>
    <dataField name="Soma de DANO-PROJETIL" fld="4" baseField="0" baseItem="0" numFmtId="164"/>
    <dataField name="Soma de TIROS-DADOS-EM-5-SEGUNDOS" fld="5" baseField="0" baseItem="0" numFmtId="164"/>
    <dataField name="Soma de MÉDIA-PROJETEIS-POR-TIRO" fld="6" baseField="0" baseItem="0" numFmtId="164"/>
    <dataField name="Soma de CURTO-ALCANCE-QUANT-PROJETIL-MEDIO" fld="7" baseField="0" baseItem="0" numFmtId="164"/>
    <dataField name="Soma de MEDIO-ALCANCE-QUANT-PROJETIL-MEDIO" fld="8" baseField="0" baseItem="0" numFmtId="164"/>
    <dataField name="Soma de LONGO-ALCANCE-QUANT-PROJETIL-MEDIO" fld="9" baseField="0" baseItem="0" numFmtId="164"/>
    <dataField name="Soma de MTLONGO-ALCANCE-QUANT-PROJETIL-MEDIO" fld="10" baseField="0" baseItem="0" numFmtId="164"/>
    <dataField name="Soma de CARREGAMENTO-SUPER-AO-ACERTAR-EM-PROJETEIS" fld="11" baseField="0" baseItem="0" numFmtId="164"/>
    <dataField name="Soma de CURTO-ALCANCE-DANO-SUPER-MEDIO" fld="12" baseField="0" baseItem="0" numFmtId="164"/>
    <dataField name="Soma de MEDIO-ALCANCE-DANO-SUPER-MEDIO" fld="13" baseField="0" baseItem="0" numFmtId="164"/>
    <dataField name="Soma de LONGO-ALCANCE-DANO-SUPER-MEDIO" fld="14" baseField="0" baseItem="0" numFmtId="164"/>
    <dataField name="Soma de MT-LONGO-ALCANCE-DANO-SUPER-MEDIO" fld="15" baseField="0" baseItem="0" numFmtId="164"/>
    <dataField name="Soma de MÉDIA-DANO-POR-SUPER" fld="16" baseField="0" baseItem="0" numFmtId="164"/>
    <dataField name="Soma de DANO-OCASIONAL" fld="17" baseField="0" baseItem="0" numFmtId="164"/>
    <dataField name="Soma de Durability" fld="18" baseField="0" baseItem="0" numFmtId="164"/>
    <dataField name="Soma de Distância-Ataque" fld="19" baseField="0" baseItem="0" numFmtId="164"/>
    <dataField name="Soma de Botão-de-Fuga" fld="20" baseField="0" baseItem="0" numFmtId="164"/>
    <dataField name="Soma de Ataque-amplo" fld="21" baseField="0" baseItem="0" numFmtId="164"/>
    <dataField name="Soma de FREQUENCIA-DANO-INDIRETO" fld="22" baseField="0" baseItem="0" numFmtId="164"/>
    <dataField name="Soma de NEGACAO-DE-AREA" fld="23" baseField="0" baseItem="0" numFmtId="164"/>
    <dataField name="Soma de MANIPULACAO-DA-POSICAO-DE-INIMIGOS" fld="24" baseField="0" baseItem="0" numFmtId="164"/>
    <dataField name="Soma de ANDA-SOBRE-AGUA" fld="25" baseField="0" baseItem="0" numFmtId="164"/>
    <dataField name="Soma de COMBATER-INIMIGOS-SOBRE-AGUA" fld="26" baseField="0" baseItem="0" numFmtId="164"/>
    <dataField name="Soma de POTENCIAL-DESTRUIÇÃO-DE-MUROS" fld="27" baseField="0" baseItem="0" numFmtId="164"/>
    <dataField name="Soma de POTENCIAL-DESTRUIÇÃO-DE-MOITAS" fld="28" baseField="0" baseItem="0" numFmtId="164"/>
    <dataField name="Soma de POTENCIAL-DE-CRIACAO-DE-COVER" fld="29" baseField="0" baseItem="0" numFmtId="164"/>
    <dataField name="Soma de VELOCIDADE-MOVIMENTO" fld="30" baseField="0" baseItem="0" numFmtId="164"/>
    <dataField name="Soma de FORÇA-ATK-SURP" fld="31" baseField="0" baseItem="0" numFmtId="164"/>
    <dataField name="Soma de Ataque-Surpresa" fld="32" baseField="0" baseItem="0" numFmtId="164"/>
    <dataField name="Soma de FREQUÊNCIA-GERAÇÃO-DE-PETS" fld="33" baseField="0" baseItem="0" numFmtId="164"/>
    <dataField name="Soma de ACÚMULO-PETS" fld="34" baseField="0" baseItem="0" numFmtId="164"/>
    <dataField name="Soma de VIDA-DETERIORÁVEL-PETS" fld="35" baseField="0" baseItem="0" numFmtId="164"/>
    <dataField name="Soma de RESISTÊNCIA-PETS" fld="36" baseField="0" baseItem="0" numFmtId="164"/>
    <dataField name="Soma de DANO-PETS" fld="37" baseField="0" baseItem="0" numFmtId="164"/>
    <dataField name="Soma de ALCANCE-PETS" fld="38" baseField="0" baseItem="0" numFmtId="164"/>
    <dataField name="Soma de VELOCIDADE-PETS" fld="39" baseField="0" baseItem="0" numFmtId="164"/>
    <dataField name="Soma de PROXIMIDADE-PETS" fld="40" baseField="0" baseItem="0" numFmtId="164"/>
    <dataField name="Soma de DANO-AUMENTADO-QUANDO-AGRUPADO" fld="41" baseField="0" baseItem="0" numFmtId="164"/>
    <dataField name="Soma de CIRCUNSTANCIABILIDADE" fld="42" baseField="0" baseItem="0" numFmtId="164"/>
    <dataField name="Soma de HP-SUPORTE" fld="43" baseField="0" baseItem="0" numFmtId="164"/>
    <dataField name="Soma de HP-ENFRAQUECIMENTO" fld="44" baseField="0" baseItem="0" numFmtId="164"/>
    <dataField name="Soma de ESCUDO-SUPORTE" fld="49" baseField="0" baseItem="0" numFmtId="164"/>
    <dataField name="Soma de DANO-SUPORTE" fld="45" baseField="0" baseItem="0" numFmtId="164"/>
    <dataField name="Soma de DANO-ENFRAQUECIMENTO" fld="46" baseField="0" baseItem="0" numFmtId="164"/>
    <dataField name="Soma de SPEED-SUPORTE" fld="47" baseField="0" baseItem="0" numFmtId="164"/>
    <dataField name="Soma de INVISIBILIDADE-SUPORTE" fld="48" baseField="0" baseItem="0" numFmtId="164"/>
    <dataField name="Soma de POSICIONAMENTO-SUPORTE" fld="50" baseField="0" baseItem="0" numFmtId="164"/>
    <dataField name="Soma de VENENO-DEBUFF" fld="51" baseField="0" baseItem="0" numFmtId="164"/>
    <dataField name="Soma de COUNTER-VENENO-DEBUFF" fld="52" baseField="0" baseItem="0" numFmtId="164"/>
    <dataField name="Soma de STUN-DEBUFF" fld="55" baseField="0" baseItem="0" numFmtId="164"/>
    <dataField name="Soma de COUNTER-STUN-DEBUFF" fld="56" baseField="0" baseItem="0" numFmtId="164"/>
    <dataField name="Soma de LENTIDAO-DEBUFF" fld="53" baseField="0" baseItem="0" numFmtId="164"/>
    <dataField name="Soma de COUNTER-LENTIDAO-DEBUFF" fld="54" baseField="0" baseItem="0" numFmtId="164"/>
    <dataField name="Soma de BLOQUEIO-DE-INIMIGOS" fld="59" baseField="0" baseItem="0" numFmtId="164"/>
    <dataField name="Soma de CANCELAMENTO-ATAQUES" fld="57" baseField="0" baseItem="0" numFmtId="164"/>
    <dataField name="Soma de COUNTER-CANCELAMENTO-ATAQUES" fld="58" baseField="0" baseItem="0" numFmtId="164"/>
  </dataFields>
  <formats count="80">
    <format dxfId="129">
      <pivotArea outline="0" collapsedLevelsAreSubtotals="1" fieldPosition="0"/>
    </format>
    <format dxfId="130">
      <pivotArea field="1" type="button" dataOnly="0" labelOnly="1" outline="0" axis="axisCol" fieldPosition="0"/>
    </format>
    <format dxfId="131">
      <pivotArea field="0" type="button" dataOnly="0" labelOnly="1" outline="0" axis="axisCol" fieldPosition="1"/>
    </format>
    <format dxfId="132">
      <pivotArea type="topRight" dataOnly="0" labelOnly="1" outline="0" fieldPosition="0"/>
    </format>
    <format dxfId="133">
      <pivotArea dataOnly="0" labelOnly="1" outline="0" fieldPosition="0">
        <references count="1">
          <reference field="1" count="0"/>
        </references>
      </pivotArea>
    </format>
    <format dxfId="134">
      <pivotArea dataOnly="0" labelOnly="1" outline="0" fieldPosition="0">
        <references count="1">
          <reference field="1" count="0" defaultSubtotal="1"/>
        </references>
      </pivotArea>
    </format>
    <format dxfId="135">
      <pivotArea dataOnly="0" labelOnly="1" grandCol="1" outline="0" fieldPosition="0"/>
    </format>
    <format dxfId="136">
      <pivotArea dataOnly="0" labelOnly="1" outline="0" fieldPosition="0">
        <references count="2">
          <reference field="0" count="1">
            <x v="5"/>
          </reference>
          <reference field="1" count="0" selected="0"/>
        </references>
      </pivotArea>
    </format>
    <format dxfId="137">
      <pivotArea outline="0" collapsedLevelsAreSubtotals="1" fieldPosition="0"/>
    </format>
    <format dxfId="138">
      <pivotArea field="1" type="button" dataOnly="0" labelOnly="1" outline="0" axis="axisCol" fieldPosition="0"/>
    </format>
    <format dxfId="139">
      <pivotArea field="0" type="button" dataOnly="0" labelOnly="1" outline="0" axis="axisCol" fieldPosition="1"/>
    </format>
    <format dxfId="140">
      <pivotArea type="topRight" dataOnly="0" labelOnly="1" outline="0" fieldPosition="0"/>
    </format>
    <format dxfId="141">
      <pivotArea dataOnly="0" labelOnly="1" outline="0" fieldPosition="0">
        <references count="1">
          <reference field="1" count="0"/>
        </references>
      </pivotArea>
    </format>
    <format dxfId="142">
      <pivotArea dataOnly="0" labelOnly="1" outline="0" fieldPosition="0">
        <references count="1">
          <reference field="1" count="0" defaultSubtotal="1"/>
        </references>
      </pivotArea>
    </format>
    <format dxfId="143">
      <pivotArea dataOnly="0" labelOnly="1" grandCol="1" outline="0" fieldPosition="0"/>
    </format>
    <format dxfId="144">
      <pivotArea dataOnly="0" labelOnly="1" outline="0" fieldPosition="0">
        <references count="2">
          <reference field="0" count="1">
            <x v="5"/>
          </reference>
          <reference field="1" count="0" selected="0"/>
        </references>
      </pivotArea>
    </format>
    <format dxfId="145">
      <pivotArea outline="0" collapsedLevelsAreSubtotals="1" fieldPosition="0"/>
    </format>
    <format dxfId="146">
      <pivotArea field="1" type="button" dataOnly="0" labelOnly="1" outline="0" axis="axisCol" fieldPosition="0"/>
    </format>
    <format dxfId="147">
      <pivotArea field="0" type="button" dataOnly="0" labelOnly="1" outline="0" axis="axisCol" fieldPosition="1"/>
    </format>
    <format dxfId="148">
      <pivotArea type="topRight" dataOnly="0" labelOnly="1" outline="0" fieldPosition="0"/>
    </format>
    <format dxfId="149">
      <pivotArea dataOnly="0" labelOnly="1" outline="0" fieldPosition="0">
        <references count="1">
          <reference field="1" count="0"/>
        </references>
      </pivotArea>
    </format>
    <format dxfId="150">
      <pivotArea dataOnly="0" labelOnly="1" outline="0" fieldPosition="0">
        <references count="1">
          <reference field="1" count="0" defaultSubtotal="1"/>
        </references>
      </pivotArea>
    </format>
    <format dxfId="151">
      <pivotArea dataOnly="0" labelOnly="1" grandCol="1" outline="0" fieldPosition="0"/>
    </format>
    <format dxfId="152">
      <pivotArea dataOnly="0" labelOnly="1" outline="0" fieldPosition="0">
        <references count="2">
          <reference field="0" count="1">
            <x v="5"/>
          </reference>
          <reference field="1" count="0" selected="0"/>
        </references>
      </pivotArea>
    </format>
    <format dxfId="153">
      <pivotArea outline="0" collapsedLevelsAreSubtotals="1" fieldPosition="0"/>
    </format>
    <format dxfId="154">
      <pivotArea field="1" type="button" dataOnly="0" labelOnly="1" outline="0" axis="axisCol" fieldPosition="0"/>
    </format>
    <format dxfId="155">
      <pivotArea field="0" type="button" dataOnly="0" labelOnly="1" outline="0" axis="axisCol" fieldPosition="1"/>
    </format>
    <format dxfId="156">
      <pivotArea type="topRight" dataOnly="0" labelOnly="1" outline="0" fieldPosition="0"/>
    </format>
    <format dxfId="157">
      <pivotArea dataOnly="0" labelOnly="1" outline="0" fieldPosition="0">
        <references count="1">
          <reference field="1" count="0"/>
        </references>
      </pivotArea>
    </format>
    <format dxfId="158">
      <pivotArea dataOnly="0" labelOnly="1" outline="0" fieldPosition="0">
        <references count="1">
          <reference field="1" count="0" defaultSubtotal="1"/>
        </references>
      </pivotArea>
    </format>
    <format dxfId="159">
      <pivotArea dataOnly="0" labelOnly="1" grandCol="1" outline="0" fieldPosition="0"/>
    </format>
    <format dxfId="160">
      <pivotArea dataOnly="0" labelOnly="1" outline="0" fieldPosition="0">
        <references count="2">
          <reference field="0" count="1">
            <x v="5"/>
          </reference>
          <reference field="1" count="0" selected="0"/>
        </references>
      </pivotArea>
    </format>
    <format dxfId="161">
      <pivotArea outline="0" collapsedLevelsAreSubtotals="1" fieldPosition="0"/>
    </format>
    <format dxfId="162">
      <pivotArea field="1" type="button" dataOnly="0" labelOnly="1" outline="0" axis="axisCol" fieldPosition="0"/>
    </format>
    <format dxfId="163">
      <pivotArea field="0" type="button" dataOnly="0" labelOnly="1" outline="0" axis="axisCol" fieldPosition="1"/>
    </format>
    <format dxfId="164">
      <pivotArea type="topRight" dataOnly="0" labelOnly="1" outline="0" fieldPosition="0"/>
    </format>
    <format dxfId="165">
      <pivotArea dataOnly="0" labelOnly="1" outline="0" fieldPosition="0">
        <references count="1">
          <reference field="1" count="0"/>
        </references>
      </pivotArea>
    </format>
    <format dxfId="166">
      <pivotArea dataOnly="0" labelOnly="1" outline="0" fieldPosition="0">
        <references count="1">
          <reference field="1" count="0" defaultSubtotal="1"/>
        </references>
      </pivotArea>
    </format>
    <format dxfId="167">
      <pivotArea dataOnly="0" labelOnly="1" grandCol="1" outline="0" fieldPosition="0"/>
    </format>
    <format dxfId="168">
      <pivotArea dataOnly="0" labelOnly="1" outline="0" fieldPosition="0">
        <references count="2">
          <reference field="0" count="1">
            <x v="5"/>
          </reference>
          <reference field="1" count="0" selected="0"/>
        </references>
      </pivotArea>
    </format>
    <format dxfId="169">
      <pivotArea outline="0" collapsedLevelsAreSubtotals="1" fieldPosition="0"/>
    </format>
    <format dxfId="170">
      <pivotArea field="1" type="button" dataOnly="0" labelOnly="1" outline="0" axis="axisCol" fieldPosition="0"/>
    </format>
    <format dxfId="171">
      <pivotArea field="0" type="button" dataOnly="0" labelOnly="1" outline="0" axis="axisCol" fieldPosition="1"/>
    </format>
    <format dxfId="172">
      <pivotArea type="topRight" dataOnly="0" labelOnly="1" outline="0" fieldPosition="0"/>
    </format>
    <format dxfId="173">
      <pivotArea dataOnly="0" labelOnly="1" outline="0" fieldPosition="0">
        <references count="1">
          <reference field="1" count="0"/>
        </references>
      </pivotArea>
    </format>
    <format dxfId="174">
      <pivotArea dataOnly="0" labelOnly="1" outline="0" fieldPosition="0">
        <references count="1">
          <reference field="1" count="0" defaultSubtotal="1"/>
        </references>
      </pivotArea>
    </format>
    <format dxfId="175">
      <pivotArea dataOnly="0" labelOnly="1" grandCol="1" outline="0" fieldPosition="0"/>
    </format>
    <format dxfId="176">
      <pivotArea dataOnly="0" labelOnly="1" outline="0" fieldPosition="0">
        <references count="2">
          <reference field="0" count="1">
            <x v="5"/>
          </reference>
          <reference field="1" count="0" selected="0"/>
        </references>
      </pivotArea>
    </format>
    <format dxfId="177">
      <pivotArea outline="0" collapsedLevelsAreSubtotals="1" fieldPosition="0"/>
    </format>
    <format dxfId="178">
      <pivotArea field="1" type="button" dataOnly="0" labelOnly="1" outline="0" axis="axisCol" fieldPosition="0"/>
    </format>
    <format dxfId="179">
      <pivotArea field="0" type="button" dataOnly="0" labelOnly="1" outline="0" axis="axisCol" fieldPosition="1"/>
    </format>
    <format dxfId="180">
      <pivotArea type="topRight" dataOnly="0" labelOnly="1" outline="0" fieldPosition="0"/>
    </format>
    <format dxfId="181">
      <pivotArea dataOnly="0" labelOnly="1" outline="0" fieldPosition="0">
        <references count="1">
          <reference field="1" count="0"/>
        </references>
      </pivotArea>
    </format>
    <format dxfId="182">
      <pivotArea dataOnly="0" labelOnly="1" outline="0" fieldPosition="0">
        <references count="1">
          <reference field="1" count="0" defaultSubtotal="1"/>
        </references>
      </pivotArea>
    </format>
    <format dxfId="183">
      <pivotArea dataOnly="0" labelOnly="1" grandCol="1" outline="0" fieldPosition="0"/>
    </format>
    <format dxfId="184">
      <pivotArea dataOnly="0" labelOnly="1" outline="0" fieldPosition="0">
        <references count="2">
          <reference field="0" count="1">
            <x v="5"/>
          </reference>
          <reference field="1" count="0" selected="0"/>
        </references>
      </pivotArea>
    </format>
    <format dxfId="185">
      <pivotArea outline="0" collapsedLevelsAreSubtotals="1" fieldPosition="0"/>
    </format>
    <format dxfId="186">
      <pivotArea field="1" type="button" dataOnly="0" labelOnly="1" outline="0" axis="axisCol" fieldPosition="0"/>
    </format>
    <format dxfId="187">
      <pivotArea field="0" type="button" dataOnly="0" labelOnly="1" outline="0" axis="axisCol" fieldPosition="1"/>
    </format>
    <format dxfId="188">
      <pivotArea type="topRight" dataOnly="0" labelOnly="1" outline="0" fieldPosition="0"/>
    </format>
    <format dxfId="189">
      <pivotArea dataOnly="0" labelOnly="1" outline="0" fieldPosition="0">
        <references count="1">
          <reference field="1" count="0"/>
        </references>
      </pivotArea>
    </format>
    <format dxfId="190">
      <pivotArea dataOnly="0" labelOnly="1" outline="0" fieldPosition="0">
        <references count="1">
          <reference field="1" count="0" defaultSubtotal="1"/>
        </references>
      </pivotArea>
    </format>
    <format dxfId="191">
      <pivotArea dataOnly="0" labelOnly="1" grandCol="1" outline="0" fieldPosition="0"/>
    </format>
    <format dxfId="192">
      <pivotArea dataOnly="0" labelOnly="1" outline="0" fieldPosition="0">
        <references count="2">
          <reference field="0" count="1">
            <x v="5"/>
          </reference>
          <reference field="1" count="0" selected="0"/>
        </references>
      </pivotArea>
    </format>
    <format dxfId="193">
      <pivotArea outline="0" collapsedLevelsAreSubtotals="1" fieldPosition="0"/>
    </format>
    <format dxfId="194">
      <pivotArea field="1" type="button" dataOnly="0" labelOnly="1" outline="0" axis="axisCol" fieldPosition="0"/>
    </format>
    <format dxfId="195">
      <pivotArea field="0" type="button" dataOnly="0" labelOnly="1" outline="0" axis="axisCol" fieldPosition="1"/>
    </format>
    <format dxfId="196">
      <pivotArea type="topRight" dataOnly="0" labelOnly="1" outline="0" fieldPosition="0"/>
    </format>
    <format dxfId="197">
      <pivotArea dataOnly="0" labelOnly="1" outline="0" fieldPosition="0">
        <references count="1">
          <reference field="1" count="0"/>
        </references>
      </pivotArea>
    </format>
    <format dxfId="198">
      <pivotArea dataOnly="0" labelOnly="1" outline="0" fieldPosition="0">
        <references count="1">
          <reference field="1" count="0" defaultSubtotal="1"/>
        </references>
      </pivotArea>
    </format>
    <format dxfId="199">
      <pivotArea dataOnly="0" labelOnly="1" grandCol="1" outline="0" fieldPosition="0"/>
    </format>
    <format dxfId="200">
      <pivotArea dataOnly="0" labelOnly="1" outline="0" fieldPosition="0">
        <references count="2">
          <reference field="0" count="1">
            <x v="5"/>
          </reference>
          <reference field="1" count="0" selected="0"/>
        </references>
      </pivotArea>
    </format>
    <format dxfId="201">
      <pivotArea outline="0" collapsedLevelsAreSubtotals="1" fieldPosition="0"/>
    </format>
    <format dxfId="202">
      <pivotArea field="1" type="button" dataOnly="0" labelOnly="1" outline="0" axis="axisCol" fieldPosition="0"/>
    </format>
    <format dxfId="203">
      <pivotArea field="0" type="button" dataOnly="0" labelOnly="1" outline="0" axis="axisCol" fieldPosition="1"/>
    </format>
    <format dxfId="204">
      <pivotArea type="topRight" dataOnly="0" labelOnly="1" outline="0" fieldPosition="0"/>
    </format>
    <format dxfId="205">
      <pivotArea dataOnly="0" labelOnly="1" outline="0" fieldPosition="0">
        <references count="1">
          <reference field="1" count="0"/>
        </references>
      </pivotArea>
    </format>
    <format dxfId="206">
      <pivotArea dataOnly="0" labelOnly="1" outline="0" fieldPosition="0">
        <references count="1">
          <reference field="1" count="0" defaultSubtotal="1"/>
        </references>
      </pivotArea>
    </format>
    <format dxfId="207">
      <pivotArea dataOnly="0" labelOnly="1" grandCol="1" outline="0" fieldPosition="0"/>
    </format>
    <format dxfId="208">
      <pivotArea dataOnly="0" labelOnly="1" outline="0" fieldPosition="0">
        <references count="2">
          <reference field="0" count="1">
            <x v="16"/>
          </reference>
          <reference field="1" count="0" selected="0"/>
        </references>
      </pivotArea>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A3A97A-DB98-468D-A361-82EBD38E0F62}" name="Tabela dinâmica4" cacheId="263" dataOnRows="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J4:M64" firstHeaderRow="1" firstDataRow="3" firstDataCol="1"/>
  <pivotFields count="60">
    <pivotField axis="axisCol" compact="0" outline="0" showAll="0">
      <items count="19">
        <item x="2"/>
        <item x="6"/>
        <item x="13"/>
        <item x="15"/>
        <item x="8"/>
        <item x="9"/>
        <item x="14"/>
        <item x="3"/>
        <item x="4"/>
        <item x="1"/>
        <item x="16"/>
        <item x="7"/>
        <item x="11"/>
        <item x="0"/>
        <item x="17"/>
        <item x="10"/>
        <item x="12"/>
        <item x="5"/>
        <item t="default"/>
      </items>
    </pivotField>
    <pivotField axis="axisCol" compact="0" outline="0" showAll="0">
      <items count="19">
        <item h="1" x="1"/>
        <item h="1" x="8"/>
        <item h="1" x="16"/>
        <item h="1" x="9"/>
        <item h="1" x="5"/>
        <item h="1" x="11"/>
        <item h="1" x="15"/>
        <item h="1" x="4"/>
        <item h="1" x="17"/>
        <item h="1" x="13"/>
        <item h="1" x="0"/>
        <item h="1" x="12"/>
        <item h="1" x="7"/>
        <item h="1" x="2"/>
        <item h="1" x="10"/>
        <item h="1" x="6"/>
        <item h="1" x="3"/>
        <item x="14"/>
        <item t="default"/>
      </items>
    </pivotField>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2"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s>
  <rowFields count="1">
    <field x="-2"/>
  </rowFields>
  <rowItems count="58">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rowItems>
  <colFields count="2">
    <field x="1"/>
    <field x="0"/>
  </colFields>
  <colItems count="3">
    <i>
      <x v="17"/>
      <x v="6"/>
    </i>
    <i t="default">
      <x v="17"/>
    </i>
    <i t="grand">
      <x/>
    </i>
  </colItems>
  <dataFields count="58">
    <dataField name="Soma de PROJETEIS-PARA-SUPER" fld="2" baseField="0" baseItem="0" numFmtId="164"/>
    <dataField name="Soma de SUPERS-PARA-HIPERCARGA" fld="3" baseField="0" baseItem="0" numFmtId="164"/>
    <dataField name="Soma de DANO-PROJETIL" fld="4" baseField="0" baseItem="0" numFmtId="164"/>
    <dataField name="Soma de TIROS-DADOS-EM-5-SEGUNDOS" fld="5" baseField="0" baseItem="0" numFmtId="164"/>
    <dataField name="Soma de MÉDIA-PROJETEIS-POR-TIRO" fld="6" baseField="0" baseItem="0" numFmtId="164"/>
    <dataField name="Soma de CURTO-ALCANCE-QUANT-PROJETIL-MEDIO" fld="7" baseField="0" baseItem="0" numFmtId="164"/>
    <dataField name="Soma de MEDIO-ALCANCE-QUANT-PROJETIL-MEDIO" fld="8" baseField="0" baseItem="0" numFmtId="164"/>
    <dataField name="Soma de LONGO-ALCANCE-QUANT-PROJETIL-MEDIO" fld="9" baseField="0" baseItem="0" numFmtId="164"/>
    <dataField name="Soma de MTLONGO-ALCANCE-QUANT-PROJETIL-MEDIO" fld="10" baseField="0" baseItem="0" numFmtId="164"/>
    <dataField name="Soma de CARREGAMENTO-SUPER-AO-ACERTAR-EM-PROJETEIS" fld="11" baseField="0" baseItem="0" numFmtId="164"/>
    <dataField name="Soma de CURTO-ALCANCE-DANO-SUPER-MEDIO" fld="12" baseField="0" baseItem="0" numFmtId="164"/>
    <dataField name="Soma de MEDIO-ALCANCE-DANO-SUPER-MEDIO" fld="13" baseField="0" baseItem="0" numFmtId="164"/>
    <dataField name="Soma de LONGO-ALCANCE-DANO-SUPER-MEDIO" fld="14" baseField="0" baseItem="0" numFmtId="164"/>
    <dataField name="Soma de MT-LONGO-ALCANCE-DANO-SUPER-MEDIO" fld="15" baseField="0" baseItem="0" numFmtId="164"/>
    <dataField name="Soma de MÉDIA-DANO-POR-SUPER" fld="16" baseField="0" baseItem="0" numFmtId="164"/>
    <dataField name="Soma de DANO-OCASIONAL" fld="17" baseField="0" baseItem="0" numFmtId="164"/>
    <dataField name="Soma de Durability" fld="18" baseField="0" baseItem="0" numFmtId="2"/>
    <dataField name="Soma de Distância-Ataque" fld="19" baseField="0" baseItem="0" numFmtId="164"/>
    <dataField name="Soma de Botão-de-Fuga" fld="20" baseField="0" baseItem="0" numFmtId="164"/>
    <dataField name="Soma de Ataque-amplo" fld="21" baseField="0" baseItem="0" numFmtId="164"/>
    <dataField name="Soma de FREQUENCIA-DANO-INDIRETO" fld="22" baseField="0" baseItem="0" numFmtId="164"/>
    <dataField name="Soma de NEGACAO-DE-AREA" fld="23" baseField="0" baseItem="0" numFmtId="164"/>
    <dataField name="Soma de MANIPULACAO-DA-POSICAO-DE-INIMIGOS" fld="24" baseField="0" baseItem="0" numFmtId="164"/>
    <dataField name="Soma de ANDA-SOBRE-AGUA" fld="25" baseField="0" baseItem="0" numFmtId="164"/>
    <dataField name="Soma de COMBATER-INIMIGOS-SOBRE-AGUA" fld="26" baseField="0" baseItem="0" numFmtId="164"/>
    <dataField name="Soma de POTENCIAL-DESTRUIÇÃO-DE-MUROS" fld="27" baseField="0" baseItem="0" numFmtId="164"/>
    <dataField name="Soma de POTENCIAL-DESTRUIÇÃO-DE-MOITAS" fld="28" baseField="0" baseItem="0" numFmtId="164"/>
    <dataField name="Soma de POTENCIAL-DE-CRIACAO-DE-COVER" fld="29" baseField="0" baseItem="0" numFmtId="164"/>
    <dataField name="Soma de VELOCIDADE-MOVIMENTO" fld="30" baseField="0" baseItem="0" numFmtId="164"/>
    <dataField name="Soma de FORÇA-ATK-SURP" fld="31" baseField="0" baseItem="0" numFmtId="164"/>
    <dataField name="Soma de Ataque-Surpresa" fld="32" baseField="0" baseItem="0" numFmtId="164"/>
    <dataField name="Soma de FREQUÊNCIA-GERAÇÃO-DE-PETS" fld="33" baseField="0" baseItem="0" numFmtId="164"/>
    <dataField name="Soma de ACÚMULO-PETS" fld="34" baseField="0" baseItem="0" numFmtId="164"/>
    <dataField name="Soma de VIDA-DETERIORÁVEL-PETS" fld="35" baseField="0" baseItem="0" numFmtId="164"/>
    <dataField name="Soma de RESISTÊNCIA-PETS" fld="36" baseField="0" baseItem="0" numFmtId="164"/>
    <dataField name="Soma de DANO-PETS" fld="37" baseField="0" baseItem="0" numFmtId="164"/>
    <dataField name="Soma de ALCANCE-PETS" fld="38" baseField="0" baseItem="0" numFmtId="164"/>
    <dataField name="Soma de VELOCIDADE-PETS" fld="39" baseField="0" baseItem="0" numFmtId="164"/>
    <dataField name="Soma de PROXIMIDADE-PETS" fld="40" baseField="0" baseItem="0" numFmtId="164"/>
    <dataField name="Soma de DANO-AUMENTADO-QUANDO-AGRUPADO" fld="41" baseField="0" baseItem="0" numFmtId="164"/>
    <dataField name="Soma de CIRCUSNTANCIABILIDADE" fld="42" baseField="0" baseItem="0" numFmtId="164"/>
    <dataField name="Soma de HP-SUPORTE" fld="43" baseField="0" baseItem="0" numFmtId="164"/>
    <dataField name="Soma de HP-ENFRAQUECIMENTO" fld="44" baseField="0" baseItem="0" numFmtId="164"/>
    <dataField name="Soma de ESCUDO-SUPORTE" fld="49" baseField="0" baseItem="0" numFmtId="164"/>
    <dataField name="Soma de DANO-SUPORTE" fld="45" baseField="0" baseItem="0" numFmtId="164"/>
    <dataField name="Soma de DANO-ENFRAQUECIMENTO" fld="46" baseField="0" baseItem="0" numFmtId="164"/>
    <dataField name="Soma de SPEED-SUPORTE" fld="47" baseField="0" baseItem="0" numFmtId="164"/>
    <dataField name="Soma de INVISIBILIDADE-SUPORTE" fld="48" baseField="0" baseItem="0" numFmtId="164"/>
    <dataField name="Soma de POSICIONAMENTO-SUPORTE" fld="50" baseField="0" baseItem="0" numFmtId="164"/>
    <dataField name="Soma de VENENO-DEBUFF" fld="51" baseField="0" baseItem="0" numFmtId="164"/>
    <dataField name="Soma de COUNTER-VENENO-DEBUFF" fld="52" baseField="0" baseItem="0" numFmtId="164"/>
    <dataField name="Soma de STUN-DEBUFF" fld="55" baseField="0" baseItem="0" numFmtId="164"/>
    <dataField name="Soma de COUNTER-STUN-DEBUFF" fld="56" baseField="0" baseItem="0" numFmtId="164"/>
    <dataField name="Soma de LENTIDAO-DEBUFF" fld="53" baseField="0" baseItem="0" numFmtId="164"/>
    <dataField name="Soma de COUNTER-LENTIDAO-DEBUFF" fld="54" baseField="0" baseItem="0" numFmtId="164"/>
    <dataField name="Soma de BLOQUEIO-DE-INIMIGOS" fld="59" baseField="0" baseItem="0" numFmtId="164"/>
    <dataField name="Soma de CANCELAMENTO-ATAQUES" fld="57" baseField="0" baseItem="0" numFmtId="164"/>
    <dataField name="Soma de COUNTER-CANCELAMENTO-ATAQUES" fld="58" baseField="0" baseItem="0" numFmtId="164"/>
  </dataFields>
  <formats count="80">
    <format dxfId="49">
      <pivotArea outline="0" collapsedLevelsAreSubtotals="1" fieldPosition="0"/>
    </format>
    <format dxfId="50">
      <pivotArea field="1" type="button" dataOnly="0" labelOnly="1" outline="0" axis="axisCol" fieldPosition="0"/>
    </format>
    <format dxfId="51">
      <pivotArea field="0" type="button" dataOnly="0" labelOnly="1" outline="0" axis="axisCol" fieldPosition="1"/>
    </format>
    <format dxfId="52">
      <pivotArea type="topRight" dataOnly="0" labelOnly="1" outline="0" fieldPosition="0"/>
    </format>
    <format dxfId="53">
      <pivotArea dataOnly="0" labelOnly="1" outline="0" fieldPosition="0">
        <references count="1">
          <reference field="1" count="0"/>
        </references>
      </pivotArea>
    </format>
    <format dxfId="54">
      <pivotArea dataOnly="0" labelOnly="1" outline="0" fieldPosition="0">
        <references count="1">
          <reference field="1" count="0" defaultSubtotal="1"/>
        </references>
      </pivotArea>
    </format>
    <format dxfId="55">
      <pivotArea dataOnly="0" labelOnly="1" grandCol="1" outline="0" fieldPosition="0"/>
    </format>
    <format dxfId="56">
      <pivotArea dataOnly="0" labelOnly="1" outline="0" fieldPosition="0">
        <references count="2">
          <reference field="0" count="1">
            <x v="9"/>
          </reference>
          <reference field="1" count="0" selected="0"/>
        </references>
      </pivotArea>
    </format>
    <format dxfId="57">
      <pivotArea outline="0" collapsedLevelsAreSubtotals="1" fieldPosition="0"/>
    </format>
    <format dxfId="58">
      <pivotArea field="1" type="button" dataOnly="0" labelOnly="1" outline="0" axis="axisCol" fieldPosition="0"/>
    </format>
    <format dxfId="59">
      <pivotArea field="0" type="button" dataOnly="0" labelOnly="1" outline="0" axis="axisCol" fieldPosition="1"/>
    </format>
    <format dxfId="60">
      <pivotArea type="topRight" dataOnly="0" labelOnly="1" outline="0" fieldPosition="0"/>
    </format>
    <format dxfId="61">
      <pivotArea dataOnly="0" labelOnly="1" outline="0" fieldPosition="0">
        <references count="1">
          <reference field="1" count="0"/>
        </references>
      </pivotArea>
    </format>
    <format dxfId="62">
      <pivotArea dataOnly="0" labelOnly="1" outline="0" fieldPosition="0">
        <references count="1">
          <reference field="1" count="0" defaultSubtotal="1"/>
        </references>
      </pivotArea>
    </format>
    <format dxfId="63">
      <pivotArea dataOnly="0" labelOnly="1" grandCol="1" outline="0" fieldPosition="0"/>
    </format>
    <format dxfId="64">
      <pivotArea dataOnly="0" labelOnly="1" outline="0" fieldPosition="0">
        <references count="2">
          <reference field="0" count="1">
            <x v="9"/>
          </reference>
          <reference field="1" count="0" selected="0"/>
        </references>
      </pivotArea>
    </format>
    <format dxfId="65">
      <pivotArea outline="0" collapsedLevelsAreSubtotals="1" fieldPosition="0"/>
    </format>
    <format dxfId="66">
      <pivotArea field="1" type="button" dataOnly="0" labelOnly="1" outline="0" axis="axisCol" fieldPosition="0"/>
    </format>
    <format dxfId="67">
      <pivotArea field="0" type="button" dataOnly="0" labelOnly="1" outline="0" axis="axisCol" fieldPosition="1"/>
    </format>
    <format dxfId="68">
      <pivotArea type="topRight" dataOnly="0" labelOnly="1" outline="0" fieldPosition="0"/>
    </format>
    <format dxfId="69">
      <pivotArea dataOnly="0" labelOnly="1" outline="0" fieldPosition="0">
        <references count="1">
          <reference field="1" count="0"/>
        </references>
      </pivotArea>
    </format>
    <format dxfId="70">
      <pivotArea dataOnly="0" labelOnly="1" outline="0" fieldPosition="0">
        <references count="1">
          <reference field="1" count="0" defaultSubtotal="1"/>
        </references>
      </pivotArea>
    </format>
    <format dxfId="71">
      <pivotArea dataOnly="0" labelOnly="1" grandCol="1" outline="0" fieldPosition="0"/>
    </format>
    <format dxfId="72">
      <pivotArea dataOnly="0" labelOnly="1" outline="0" fieldPosition="0">
        <references count="2">
          <reference field="0" count="1">
            <x v="9"/>
          </reference>
          <reference field="1" count="0" selected="0"/>
        </references>
      </pivotArea>
    </format>
    <format dxfId="73">
      <pivotArea outline="0" collapsedLevelsAreSubtotals="1" fieldPosition="0"/>
    </format>
    <format dxfId="74">
      <pivotArea field="1" type="button" dataOnly="0" labelOnly="1" outline="0" axis="axisCol" fieldPosition="0"/>
    </format>
    <format dxfId="75">
      <pivotArea field="0" type="button" dataOnly="0" labelOnly="1" outline="0" axis="axisCol" fieldPosition="1"/>
    </format>
    <format dxfId="76">
      <pivotArea type="topRight" dataOnly="0" labelOnly="1" outline="0" fieldPosition="0"/>
    </format>
    <format dxfId="77">
      <pivotArea dataOnly="0" labelOnly="1" outline="0" fieldPosition="0">
        <references count="1">
          <reference field="1" count="0"/>
        </references>
      </pivotArea>
    </format>
    <format dxfId="78">
      <pivotArea dataOnly="0" labelOnly="1" outline="0" fieldPosition="0">
        <references count="1">
          <reference field="1" count="0" defaultSubtotal="1"/>
        </references>
      </pivotArea>
    </format>
    <format dxfId="79">
      <pivotArea dataOnly="0" labelOnly="1" grandCol="1" outline="0" fieldPosition="0"/>
    </format>
    <format dxfId="80">
      <pivotArea dataOnly="0" labelOnly="1" outline="0" fieldPosition="0">
        <references count="2">
          <reference field="0" count="1">
            <x v="9"/>
          </reference>
          <reference field="1" count="0" selected="0"/>
        </references>
      </pivotArea>
    </format>
    <format dxfId="81">
      <pivotArea outline="0" collapsedLevelsAreSubtotals="1" fieldPosition="0"/>
    </format>
    <format dxfId="82">
      <pivotArea field="1" type="button" dataOnly="0" labelOnly="1" outline="0" axis="axisCol" fieldPosition="0"/>
    </format>
    <format dxfId="83">
      <pivotArea field="0" type="button" dataOnly="0" labelOnly="1" outline="0" axis="axisCol" fieldPosition="1"/>
    </format>
    <format dxfId="84">
      <pivotArea type="topRight" dataOnly="0" labelOnly="1" outline="0" fieldPosition="0"/>
    </format>
    <format dxfId="85">
      <pivotArea dataOnly="0" labelOnly="1" outline="0" fieldPosition="0">
        <references count="1">
          <reference field="1" count="0"/>
        </references>
      </pivotArea>
    </format>
    <format dxfId="86">
      <pivotArea dataOnly="0" labelOnly="1" outline="0" fieldPosition="0">
        <references count="1">
          <reference field="1" count="0" defaultSubtotal="1"/>
        </references>
      </pivotArea>
    </format>
    <format dxfId="87">
      <pivotArea dataOnly="0" labelOnly="1" grandCol="1" outline="0" fieldPosition="0"/>
    </format>
    <format dxfId="88">
      <pivotArea dataOnly="0" labelOnly="1" outline="0" fieldPosition="0">
        <references count="2">
          <reference field="0" count="1">
            <x v="9"/>
          </reference>
          <reference field="1" count="0" selected="0"/>
        </references>
      </pivotArea>
    </format>
    <format dxfId="89">
      <pivotArea outline="0" collapsedLevelsAreSubtotals="1" fieldPosition="0"/>
    </format>
    <format dxfId="90">
      <pivotArea field="1" type="button" dataOnly="0" labelOnly="1" outline="0" axis="axisCol" fieldPosition="0"/>
    </format>
    <format dxfId="91">
      <pivotArea field="0" type="button" dataOnly="0" labelOnly="1" outline="0" axis="axisCol" fieldPosition="1"/>
    </format>
    <format dxfId="92">
      <pivotArea type="topRight" dataOnly="0" labelOnly="1" outline="0" fieldPosition="0"/>
    </format>
    <format dxfId="93">
      <pivotArea dataOnly="0" labelOnly="1" outline="0" fieldPosition="0">
        <references count="1">
          <reference field="1" count="0"/>
        </references>
      </pivotArea>
    </format>
    <format dxfId="94">
      <pivotArea dataOnly="0" labelOnly="1" outline="0" fieldPosition="0">
        <references count="1">
          <reference field="1" count="0" defaultSubtotal="1"/>
        </references>
      </pivotArea>
    </format>
    <format dxfId="95">
      <pivotArea dataOnly="0" labelOnly="1" grandCol="1" outline="0" fieldPosition="0"/>
    </format>
    <format dxfId="96">
      <pivotArea dataOnly="0" labelOnly="1" outline="0" fieldPosition="0">
        <references count="2">
          <reference field="0" count="1">
            <x v="9"/>
          </reference>
          <reference field="1" count="0" selected="0"/>
        </references>
      </pivotArea>
    </format>
    <format dxfId="97">
      <pivotArea outline="0" collapsedLevelsAreSubtotals="1" fieldPosition="0"/>
    </format>
    <format dxfId="98">
      <pivotArea field="1" type="button" dataOnly="0" labelOnly="1" outline="0" axis="axisCol" fieldPosition="0"/>
    </format>
    <format dxfId="99">
      <pivotArea field="0" type="button" dataOnly="0" labelOnly="1" outline="0" axis="axisCol" fieldPosition="1"/>
    </format>
    <format dxfId="100">
      <pivotArea type="topRight" dataOnly="0" labelOnly="1" outline="0" fieldPosition="0"/>
    </format>
    <format dxfId="101">
      <pivotArea dataOnly="0" labelOnly="1" outline="0" fieldPosition="0">
        <references count="1">
          <reference field="1" count="0"/>
        </references>
      </pivotArea>
    </format>
    <format dxfId="102">
      <pivotArea dataOnly="0" labelOnly="1" outline="0" fieldPosition="0">
        <references count="1">
          <reference field="1" count="0" defaultSubtotal="1"/>
        </references>
      </pivotArea>
    </format>
    <format dxfId="103">
      <pivotArea dataOnly="0" labelOnly="1" grandCol="1" outline="0" fieldPosition="0"/>
    </format>
    <format dxfId="104">
      <pivotArea dataOnly="0" labelOnly="1" outline="0" fieldPosition="0">
        <references count="2">
          <reference field="0" count="1">
            <x v="9"/>
          </reference>
          <reference field="1" count="0" selected="0"/>
        </references>
      </pivotArea>
    </format>
    <format dxfId="105">
      <pivotArea outline="0" collapsedLevelsAreSubtotals="1" fieldPosition="0"/>
    </format>
    <format dxfId="106">
      <pivotArea field="1" type="button" dataOnly="0" labelOnly="1" outline="0" axis="axisCol" fieldPosition="0"/>
    </format>
    <format dxfId="107">
      <pivotArea field="0" type="button" dataOnly="0" labelOnly="1" outline="0" axis="axisCol" fieldPosition="1"/>
    </format>
    <format dxfId="108">
      <pivotArea type="topRight" dataOnly="0" labelOnly="1" outline="0" fieldPosition="0"/>
    </format>
    <format dxfId="109">
      <pivotArea dataOnly="0" labelOnly="1" outline="0" fieldPosition="0">
        <references count="1">
          <reference field="1" count="0"/>
        </references>
      </pivotArea>
    </format>
    <format dxfId="110">
      <pivotArea dataOnly="0" labelOnly="1" outline="0" fieldPosition="0">
        <references count="1">
          <reference field="1" count="0" defaultSubtotal="1"/>
        </references>
      </pivotArea>
    </format>
    <format dxfId="111">
      <pivotArea dataOnly="0" labelOnly="1" grandCol="1" outline="0" fieldPosition="0"/>
    </format>
    <format dxfId="112">
      <pivotArea dataOnly="0" labelOnly="1" outline="0" fieldPosition="0">
        <references count="2">
          <reference field="0" count="1">
            <x v="9"/>
          </reference>
          <reference field="1" count="0" selected="0"/>
        </references>
      </pivotArea>
    </format>
    <format dxfId="113">
      <pivotArea outline="0" collapsedLevelsAreSubtotals="1" fieldPosition="0"/>
    </format>
    <format dxfId="114">
      <pivotArea field="1" type="button" dataOnly="0" labelOnly="1" outline="0" axis="axisCol" fieldPosition="0"/>
    </format>
    <format dxfId="115">
      <pivotArea field="0" type="button" dataOnly="0" labelOnly="1" outline="0" axis="axisCol" fieldPosition="1"/>
    </format>
    <format dxfId="116">
      <pivotArea type="topRight" dataOnly="0" labelOnly="1" outline="0" fieldPosition="0"/>
    </format>
    <format dxfId="117">
      <pivotArea dataOnly="0" labelOnly="1" outline="0" fieldPosition="0">
        <references count="1">
          <reference field="1" count="0"/>
        </references>
      </pivotArea>
    </format>
    <format dxfId="118">
      <pivotArea dataOnly="0" labelOnly="1" outline="0" fieldPosition="0">
        <references count="1">
          <reference field="1" count="0" defaultSubtotal="1"/>
        </references>
      </pivotArea>
    </format>
    <format dxfId="119">
      <pivotArea dataOnly="0" labelOnly="1" grandCol="1" outline="0" fieldPosition="0"/>
    </format>
    <format dxfId="120">
      <pivotArea dataOnly="0" labelOnly="1" outline="0" fieldPosition="0">
        <references count="2">
          <reference field="0" count="1">
            <x v="9"/>
          </reference>
          <reference field="1" count="0" selected="0"/>
        </references>
      </pivotArea>
    </format>
    <format dxfId="121">
      <pivotArea outline="0" collapsedLevelsAreSubtotals="1" fieldPosition="0"/>
    </format>
    <format dxfId="122">
      <pivotArea field="1" type="button" dataOnly="0" labelOnly="1" outline="0" axis="axisCol" fieldPosition="0"/>
    </format>
    <format dxfId="123">
      <pivotArea field="0" type="button" dataOnly="0" labelOnly="1" outline="0" axis="axisCol" fieldPosition="1"/>
    </format>
    <format dxfId="124">
      <pivotArea type="topRight" dataOnly="0" labelOnly="1" outline="0" fieldPosition="0"/>
    </format>
    <format dxfId="125">
      <pivotArea dataOnly="0" labelOnly="1" outline="0" fieldPosition="0">
        <references count="1">
          <reference field="1" count="0"/>
        </references>
      </pivotArea>
    </format>
    <format dxfId="126">
      <pivotArea dataOnly="0" labelOnly="1" outline="0" fieldPosition="0">
        <references count="1">
          <reference field="1" count="0" defaultSubtotal="1"/>
        </references>
      </pivotArea>
    </format>
    <format dxfId="127">
      <pivotArea dataOnly="0" labelOnly="1" grandCol="1" outline="0" fieldPosition="0"/>
    </format>
    <format dxfId="128">
      <pivotArea dataOnly="0" labelOnly="1" outline="0" fieldPosition="0">
        <references count="2">
          <reference field="0" count="1">
            <x v="10"/>
          </reference>
          <reference field="1" count="0" selected="0"/>
        </references>
      </pivotArea>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A55" dT="2026-03-10T18:41:20.36" personId="{B6012F0E-E5C6-4745-8A5E-4C6462E9C718}" id="{8C9EC219-D2E8-410A-9800-6CAED9DF08A1}">
    <text>Suporte velocidade deve ser acrescentado ao cálculo para evitar inconsistências como essa</text>
  </threadedComment>
</ThreadedComments>
</file>

<file path=xl/threadedComments/threadedComment2.xml><?xml version="1.0" encoding="utf-8"?>
<ThreadedComments xmlns="http://schemas.microsoft.com/office/spreadsheetml/2018/threadedcomments" xmlns:x="http://schemas.openxmlformats.org/spreadsheetml/2006/main">
  <threadedComment ref="X2" dT="2026-06-02T02:10:48.30" personId="{B6012F0E-E5C6-4745-8A5E-4C6462E9C718}" id="{716F4607-E3F3-4B77-A28C-33ADA10F71BE}">
    <text>(Durabilidade_total / 1400) + (auto_heal_buffing / 3,5)</text>
  </threadedComment>
  <threadedComment ref="Y2" dT="2026-06-02T02:14:20.43" personId="{B6012F0E-E5C6-4745-8A5E-4C6462E9C718}" id="{8A5ADEA5-D85B-4B85-A62F-CD5628A6BE99}">
    <text>0 - Não ataca eu achokkk
1 - distância curta
2 - distância curta/normal
3 - distância normal/curta
4 - distância normal
5 - distância normal/longa
6 - distância longa/normal
7 - distância longa
8 - distância longa/mtlonga
9 - distância mtlonga/longa
10 - distância mtlonga
11...
-1 se o tiro é lento ou -2 se muito lento. Use isso para distinguir alcances aparentemente iguais.</text>
  </threadedComment>
  <threadedComment ref="Z2" dT="2026-06-02T02:17:02.99" personId="{B6012F0E-E5C6-4745-8A5E-4C6462E9C718}" id="{D499927C-32E4-4824-BDD7-1EB24C952311}">
    <text>(frequencia + potência + versatilidade)/3
frequência:
1 - 1 min
2 - 45s
3 - 35s
4 - 30s
5 - 25s
6 - 20s
7 - 15s
8 - 10s
9 - 5s
10 - menos de 5s
11...
potência do uso:
1 - distância curta
2 - distância curta/normal
3 - distância normal/curta
4 - distância normal
5 - distância normal/longa
6 - distância longa/normal
7 - distância longa
8 - distância longa/mtlonga
9 - distância mtlonga/longa
10 - distância mtlonga
11...
versatilidade:
1 - invulnerável, mas parado e vulnerável ao voltar
2 - invulnerável, mas parado ao voltar
3 - afasta inimigos um pouco
4 - afasta medio inimigos
5 - fuga lenta sem escolher direção ou circunstancial
6 - fuga lenta escolhendo direção quase livremente
7 - fuga lenta escolhendo direção livremente
8 - fuga rápida quase sem escolher direção
9 - fuga rápida escolhendo direção quase livremente
10 - fuga rápida escolhendo direção livremente
11...</text>
  </threadedComment>
  <threadedComment ref="AA2" dT="2026-06-02T02:18:20.46" personId="{B6012F0E-E5C6-4745-8A5E-4C6462E9C718}" id="{6005FE8D-6E05-4236-97AD-EEA55B59BDF9}">
    <text>0 - projétil único
1 - projétil único perfurante
2 - linha fina multiplos projéteis
3 - tiro em forma de cone pequeno (25° +ou-)
4 - tiro em forma retangular medio (1 brawler de largura)
5 - tiro em forma de cone médio (50° +ou-)
6 - tiro em forma retangular grande (1-2 brawler de largura)
7 - tiro em forma de cone grande (75° +ou-)
8 - tiro com amplitude maior (até 100° +ou-)
9 - tiro em todas as direções
10 - tiro frequente em todas as direções
11...</text>
  </threadedComment>
  <threadedComment ref="AB2" dT="2026-06-02T02:19:10.84" personId="{B6012F0E-E5C6-4745-8A5E-4C6462E9C718}" id="{CA862491-DCAB-49D1-AEA8-4EBB46E9F719}">
    <text>0 - mais de 1/30s
1 - 1/30s
2 - 1/20s
3 - 1/15s
4 - 1/10s
5 - 1/5s
6 - ataque básico frequente
7 - ataque básico e super frequente</text>
  </threadedComment>
  <threadedComment ref="AC2" dT="2026-06-02T02:22:12.72" personId="{B6012F0E-E5C6-4745-8A5E-4C6462E9C718}" id="{A6807F57-8ABE-4983-A965-B1B12D58150C}">
    <text>(duração + área + efeito + distância-arremesso)/4
Efeito:
3 - efeito ignorável muitas vezes
6 - efeito ignorável raramente
9 - efeito quase nunca ignoravel
Area:
1 - diâmetro de 1 brawler
2 - diâmetro de 2 brawler
3 - diâmetro de 3 brawler
4 - diâmetro de 4 brawler
5 - diâmetro de 5 brawler
6 - diâmetro de 6 brawler
7 - diâmetro de 7 brawler
8 - diâmetro de 8 brawler9 - diâmetro de 9 brawler
10 - diâmetro de 10 brawler
11...
Duração:
1 - 1s
2 - 2s
3 - 3s
4 - 4s
5 - 5s
6 - 6s
7 - 7s
8 - 8s
9 - 9s
10 - 10s
11...
Distância arremesso
0 - Não ataca eu achokkk
1 - distância curta
2 - distância curta/normal
3 - distância normal/curta
4 - distância normal
5 - distância normal/longa
6 - distância longa/normal
7 - distância longa
8 - distância longa/mtlonga
9 - distância mtlonga/longa
10 - distância mtlonga
11...
-1 se o tiro é lento ou -2 se muito lento. Use isso para distinguir alcances aparentemente iguais.</text>
  </threadedComment>
  <threadedComment ref="AD2" dT="2026-06-02T02:22:51.85" personId="{B6012F0E-E5C6-4745-8A5E-4C6462E9C718}" id="{1ED67FC6-31A4-47BD-A29C-10226C751BE7}">
    <text>0 - o brawler não tem essa capacidade
1 - consegue manipular pouco e apenas de muito perto e não possui formas rápidas de se aproximar
2 - consegue manipular pouco e apenas de perto e não possui formas rápidas de se aproximar
3 - consegue manipular pouco e apenas de medio alcance e não possui formas rápidas de se aproximar
4 - consegue manipular pouco e apenas de perto mas possui formas de se aproximar
5 - o brawler consegue fazer de longas distancias mas manipula pouco
6 - o brawler consegue manipular muito a posição e de médias distâncias
7 - o brawler consegue manipular muito a posição e de longas distâncias
8 - o brawler consegue manipular um pouco a posição mas ignorando muros
9 - o brawler consegue manipular muito a posição e ignorando obstaculos a médio alcance
10 - o brawler consegue manipular muito a posição e ignorando obstáculos e objetos a longo alcance</text>
  </threadedComment>
  <threadedComment ref="AE2" dT="2026-06-02T02:23:23.46" personId="{B6012F0E-E5C6-4745-8A5E-4C6462E9C718}" id="{5E7E51DF-9362-446C-8F6E-A7E757E95556}">
    <text>0 - absoluta incompetência
7 - altamente competente</text>
  </threadedComment>
  <threadedComment ref="AF2" dT="2026-06-02T02:23:42.82" personId="{B6012F0E-E5C6-4745-8A5E-4C6462E9C718}" id="{8D626326-302B-42F8-9109-FEAEE6DB127B}">
    <text>0 - impossivel causar dano
1 - causa dano irrisório
2 - causa dano circunstancial
3 - causa dano ocasionalmente
4 - causa dano mortal as vezes
5 - causa dano mortal quase normalmente
6 - capaz de atacar o inimigo normalmente
7 - causa dano normalmente + anda na água tmb
8 - causa dano levemente superior
9 - causa dano muito maior a inimigos na água
10 - causa dano absurdamente maior
11...</text>
  </threadedComment>
  <threadedComment ref="AG2" dT="2026-06-02T02:25:21.34" personId="{B6012F0E-E5C6-4745-8A5E-4C6462E9C718}" id="{320A87EF-22B4-49B6-B5E1-840CA2D0742F}">
    <text>0 - não quebra muros
1 - 1/35min
2 - 1/30s
3 - 1/25s
4 - 1/20s
5 - 1/15s
6 - 1/12s
7 - 1/9s
8 - 1/6s
9 - 1/3s
10 - 1/1s
11...
-1 se a destruição é pouco controlável
-2 se a destruição é quase incontrolável ou se o brawler não deveria gastar os recursos dele focando nessa destruição</text>
  </threadedComment>
  <threadedComment ref="AH2" dT="2026-06-02T02:25:58.83" personId="{B6012F0E-E5C6-4745-8A5E-4C6462E9C718}" id="{5DF8E8B7-9979-4CEA-ABC0-65686BCAA254}">
    <text>0 - não quebra moitas
1 - 1/25min
2 - 1/16s
3 - 1/12s
4 - 1/10s
5 - 1/8s
6 - 1/6s
7 - 1/4s
8 - 1/3s
9 - 1/2s
10 - 1/1s
11...
-1 se a destruição é pouco controlável
-2 se a destruição é quase incontrolável ou se o brawler não deveria gastar os recursos dele focando nessa destruição</text>
  </threadedComment>
  <threadedComment ref="AI2" dT="2026-06-02T02:26:57.22" personId="{B6012F0E-E5C6-4745-8A5E-4C6462E9C718}" id="{ECBC6839-E661-48F1-8B4B-BE8113CD6EB3}">
    <text>0 - não constroi cover
1 - 1/25min
2 - 1/16s
3 - 1/12s
4 - 1/10s
5 - 1/8s
6 - 1/6s
7 - 1/4s
8 - 1/3s
9 - 1/2s
10 - 1/1s
11...
-1 se a construção é pouco controlável
-2 se a construção é quase incontrolável ou se o brawler não deveria gastar os recursos dele focando nessa construção</text>
  </threadedComment>
  <threadedComment ref="AJ2" dT="2026-06-02T02:28:11.44" personId="{B6012F0E-E5C6-4745-8A5E-4C6462E9C718}" id="{0846B9A5-465C-4657-958E-32FC602A1BBC}">
    <text>1 - muito lento
2 - muito lento/lento
3 - lento
4 - lento/normal
5 - normal
6 - normal/rapido
7 - rapido
8 - rapido/muito rapido
9 - muito rapido
10 - suporter de velocidade
11...
-1 se a hitbox do brawler é do modelo maior</text>
  </threadedComment>
  <threadedComment ref="AK2" dT="2026-06-02T02:29:03.92" personId="{B6012F0E-E5C6-4745-8A5E-4C6462E9C718}" id="{CA9E0636-15A3-4258-BB1B-768150E314AF}">
    <text>1 - ataque lento e ineficaz
2 - ataque ineficaz
3 - ataque poderoso, mas super lento
4 - ataque poderoso, mas lento
5 - ataque poderoso e rápido, mas facilmente contornável sem sequelas
6 - ataque poderoso, mas contornavel/counterável facilmente
7 - ataque poderoso. Contornavel apenas se não estiver vulnerável
8 - mesmo counters tem dificuldade em prever/reagir ao ataque antes de levar um bom dano
9 - mesmo counters recebem muito dano antes de conseguirem reagir
10 - counterar um ataque bem planejado é quase impossível para qualquer brawler
+1 se aplica velocidade após o ataque
-1 se alcance é normal/longo
-2 se o alcance é curto/normal
-3 se o alcance é muito curto/curto</text>
  </threadedComment>
  <threadedComment ref="AL2" dT="2026-06-02T02:29:37.61" personId="{B6012F0E-E5C6-4745-8A5E-4C6462E9C718}" id="{9E742685-4FDC-4479-849B-63B3BF21DACA}">
    <text>*fórmula pronta, utiliza stun como força adicional</text>
  </threadedComment>
  <threadedComment ref="AM2" dT="2026-06-02T02:31:13.55" personId="{B6012F0E-E5C6-4745-8A5E-4C6462E9C718}" id="{E0A05078-23F6-4418-9FB6-CC384A1F2A7C}">
    <text>1 - 1/1min
2 - 1/50s
3 - 1/40s
4 - 1/30s
5 - 1/22s
6 - 1/15s
7 - 1/10s
8 - 1/7s
9 - 1/5s
10 - 1/3s
11...</text>
  </threadedComment>
  <threadedComment ref="AN2" dT="2026-06-02T02:31:34.22" personId="{B6012F0E-E5C6-4745-8A5E-4C6462E9C718}" id="{E8C2EC97-F785-4358-8F7C-82A913FD9C66}">
    <text>1 - nunca acumula mais de 1
2 - raramente acumula mais de 1
3 - ocasionalmente acumula mais de 1
4 - frequentemente acumula ao menos 2
5 - raramente acumula mais de 2
6 - ocasionalmente acumula mais de 2
7 - frequentemente acumula ao menos 3
8 - ocasionalmente acumula mais de 3
9 - frequentemente acumula mais de 4
10 - frequentemente acumula mais de 5
11...</text>
  </threadedComment>
  <threadedComment ref="AO2" dT="2026-06-02T02:32:38.53" personId="{B6012F0E-E5C6-4745-8A5E-4C6462E9C718}" id="{50B2FE60-FD9B-4F0A-88D5-0EA821EB5D69}">
    <text>0 - A vida do(s) pet(s) não se deteriora sozinha com o tempo
1 - A vida do(s) pet(s) é deteriorável</text>
  </threadedComment>
  <threadedComment ref="AP2" dT="2026-06-02T02:33:31.06" personId="{B6012F0E-E5C6-4745-8A5E-4C6462E9C718}" id="{DC74891A-812A-4EA5-8BB5-5C96563983EE}">
    <text>1 - menos de 2000
2 - entre 2000 e 3000
3 - entre 3000 e 4000
4 - entre 4000 e 5000
5 - entre 5000 e 6000
6 - entre 6000 e 7000
7 - entre 7000 e 8000
8 - entre 8000 e 9000
9 - entre 9000 e 10000
10 - entre 10000 e 11000
11...</text>
  </threadedComment>
  <threadedComment ref="AQ2" dT="2026-06-02T02:33:49.93" personId="{B6012F0E-E5C6-4745-8A5E-4C6462E9C718}" id="{C8D42A2D-DF2C-4A1B-9A13-DAEF26956E0E}">
    <text>0 - dano médio menor de 500
1 - dano médio 500-800
2 - dano médio 800-1100
3 - dano médio 1100-1400
4 - dano médio 1400-1700
5 - dano médio 1700-2000
6 - dano médio 2000-2300
7 - dano médio 2300-2600
8 - dano médio 2900-3200
9 - dano médio 3200-3500
10 - dano médio 3500-3800
11...</text>
  </threadedComment>
  <threadedComment ref="AR2" dT="2026-06-02T02:34:34.37" personId="{B6012F0E-E5C6-4745-8A5E-4C6462E9C718}" id="{8E6212EC-B633-4184-8E36-EAFD95968A3F}">
    <text>1 - distância curta
2 - distância curta/normal
3 - distância normal/curta
4 - distância normal
5 - distância normal/longa
6 - distância longa/normal
7 - distância longa
8 - distância longa/mtlonga
9 - distância mtlonga/longa
10 - distância mtlonga
11...
-1 se o tiro é lento ou -2 se muito lento. Use isso para distinguir alcances aparentemente iguais.</text>
  </threadedComment>
  <threadedComment ref="AS2" dT="2026-06-02T02:34:54.40" personId="{B6012F0E-E5C6-4745-8A5E-4C6462E9C718}" id="{A08E7434-FFAA-4040-AC14-02CC0434163E}">
    <text>1 - muito lento
2 - muito lento/lento
3 - lento/normal
4 - lento
5 - lento/normal
6 - normal/lento
7 - normal
8 - normal/rapido
9 - rapido
10 - MUITO rapido
11...</text>
  </threadedComment>
  <threadedComment ref="AT2" dT="2026-06-02T02:39:21.86" personId="{B6012F0E-E5C6-4745-8A5E-4C6462E9C718}" id="{496AEBDB-EF73-4263-820B-738B7779C49C}">
    <text>0 - O dono não fica próximo ao pet em quase nenhum momento
2,5 - O dono fica próximo ao pet as vezes, mas raramente por muito tempo
5 - O dono fica próximo ao pet com alguma frequência, mas não é regra de usabilidade
7,5 - O dono fica próximo ao pet na maior parte do tempo, sendo grande parte da sua estratégia principal para avançar contra inimigos
10 - O dono fica próximo ao pet em quase todos os momentos. A exceção para esta regra resulta em inutilidade do pet na maior parte das vezes.</text>
  </threadedComment>
  <threadedComment ref="AU2" dT="2026-06-02T02:40:30.30" personId="{B6012F0E-E5C6-4745-8A5E-4C6462E9C718}" id="{E3DD8D8E-5C46-416E-8FBB-F2646B46F4CD}">
    <text>0 - não é o caso para esse brawler
1 - chance levemente maior de causar dano ao todo
2 - chance relativamente maior de causar dano ao todo
3 - chance muito maior de causar mais dano ao todo
4 - atinge multiplos inimigos com a super
5 - atinge facilmente multiplos inimigos com a super
6 - atinge multiplos inimigos com o ataque principal
7 - atinge facilmente multiplos inimigos com o ataque
8 - causa mais dano por projétil
9 - causa mais do dobro de dano por projétil
10 - causa mais que o triplo do dano por projétil
11...</text>
  </threadedComment>
  <threadedComment ref="AV2" dT="2026-06-02T02:42:26.97" personId="{B6012F0E-E5C6-4745-8A5E-4C6462E9C718}" id="{5BDEB97A-0EEE-43F3-80E1-71D306290635}">
    <text>(precisão + Área + duração + frequência)/4
Precisão:
3 - perseguição de pets
6 - precisão em posição fixa arremessavel
10 - precisão absoluta
Area:
1 - diâmetro de 1 brawler
2 - diâmetro de 2 brawler
3 - diâmetro de 3 brawler
4 - diâmetro de 4 brawler
5 - diâmetro de 5 brawler
6 - diâmetro de 6 brawler
7 - diâmetro de 7 brawler
8 - diâmetro de 8 brawler9 - diâmetro de 9 brawler
10 - diâmetro de 10 brawler
11...
Duração:
1 - 3s
2 - 6s
3 - 9s
4 - 12s
5 - 15s
6 - 18s
7 - 21s
8 - 24s
9 - 27s
10 - infinito
11...
Frequência:
1 - 1/1min
2 - 1/50s
3 - 1/40s
4 - 1/30s
5 - 1/22s
6 - 1/15s
7 - 1/10s
8 - 1/7s
9 - 1/5s
10 - 1/3s
11...</text>
  </threadedComment>
  <threadedComment ref="AW2" dT="2026-06-02T02:50:25.74" personId="{B6012F0E-E5C6-4745-8A5E-4C6462E9C718}" id="{90C8D85F-69C4-4BF1-9D6D-0D3913BAC21C}">
    <text>0 - As informações do brawler/complemento não dependem de nenhuma forma da formação de inimigos ou terreno para que façam sentido
2,5 - As informações do brawler/complemento podem depender um pouco de formas de uso
5 - As informações do brawler/complemento podem depender um pouco de características de terreno, como presença de moitas/agua e/ou de formas de uso
7,5 - as informações dependem bastante de características externas como formas de uso, terreno e inimigos. A verificação humana é essencial para garantir que o brawler realmente seja bom.
10 - As informações dependem demais de fatores externos para funcionarem de forma adequada. Detalhes desses fatores devem ser destacados para o usuário.</text>
  </threadedComment>
  <threadedComment ref="AY2" dT="2026-06-02T02:56:43.63" personId="{B6012F0E-E5C6-4745-8A5E-4C6462E9C718}" id="{394CEB1A-2736-42FF-81A8-1A76B2961077}">
    <text>(frequência + potência + velocidade) / 3
Frequência:
1 - 1/1min
2 - 1/50s
3 - 1/40s
4 - 1/30s
5 - 1/22s
6 - 1/15s
7 - 1/10s
8 - 1/7s
9 - 1/5s
10 - 1/3s
11...
Potência do hp:
1 - 1-500
2 - 500-1000
3 - 1000-1500
4 - 1500 - 2000
5 - 2000 - 2500
6 - 2500 - 3000
7 - 3000 - 3500
8 - 3500 - 4000
9 - 4000 - 4500
10 - 4500 - 5000
Velocidade da cura
3 - Lenta e parcelada
6 - Lenta ou muito circunstancial
9 - Instantânea e pouco circunstancial</text>
  </threadedComment>
  <threadedComment ref="AZ2" dT="2026-06-02T02:57:40.08" personId="{B6012F0E-E5C6-4745-8A5E-4C6462E9C718}" id="{F6E3C82A-545C-4CBC-9D05-AA1873540D95}">
    <text>(duração + potência) / 2 
potência:
1 - até 10%
2 - até 20%
3 - até 30%
4 - até 40%
5 - até 50%
6 - até 60%
7 - até 70%
8 - até 80%
9 - até 90%
10 - até 100%
duração
1 - 1s
2 - 2s
3 - 3s
4 - 4s
5 - 5s
6 - 6s
7 - 7s
8 - 8s
9 - 9s
10 - 10s</text>
  </threadedComment>
  <threadedComment ref="BA2" dT="2026-06-02T03:00:04.34" personId="{B6012F0E-E5C6-4745-8A5E-4C6462E9C718}" id="{0FB53ED3-0B61-4BAD-B264-BDE38D65969D}">
    <text>(frequência + potência) / 2 
Frequência:
1 - 1/1min
2 - 1/50s
3 - 1/40s
4 - 1/30s
5 - 1/22s
6 - 1/15s
7 - 1/10s
8 - 1/7s
9 - 1/5s
10 - 1/3s
11...
Potência do escudo:
1 - 1-500
2 - 500-1000
3 - 1000-1500
4 - 1500 - 2000
5 - 2000 - 2500
6 - 2500 - 3000
7 - 3000 - 3500
8 - 3500 - 4000
9 - 4000 - 4500
10 - 4500 - 5000</text>
  </threadedComment>
  <threadedComment ref="BB2" dT="2026-06-02T03:02:46.74" personId="{B6012F0E-E5C6-4745-8A5E-4C6462E9C718}" id="{DDC89BE3-2881-4912-944F-BB2A9042A9D5}">
    <text>(frequência + potência + duração)/3
0 - não tem essa capacidade
Frequência:
1 - 1/1min
2 - 1/50s
3 - 1/40s
4 - 1/30s
5 - 1/22s
6 - 1/15s
7 - 1/10s
8 - 1/7s
9 - 1/5s
10 - 1/3s
11...
Potência do aumento de dano:
1 - até 5%
2 - até 10%
3 - até 15%
4 - até 20%
5 - até 25%
6 - até 30%
7 - até 35%
8 - até 40%
9 - até 45%
10 - até 50%
11...
duração
1 - 1s
2 - 2s
3 - 3s
4 - 4s
5 - 5s
6 - 6s
7 - 7s
8 - 8s
9 - 9s
10 - 10s
11...</text>
  </threadedComment>
  <threadedComment ref="BC2" dT="2026-06-02T03:03:24.08" personId="{B6012F0E-E5C6-4745-8A5E-4C6462E9C718}" id="{B22A28D6-E11F-46E6-B0EF-F39046736447}">
    <text>(duração + potência) / 2 
potência:
1 - até 8%
2 - até 16%
3 - até 24%
4 - até 32%
5 - até 40%
6 - até 48%
7 - até 56%
8 - até 64%
9 - até 72%
10 - até 80%
11...
duração
1 - 1s
2 - 2s
3 - 3s
4 - 4s
5 - 5s
6 - 6s
7 - 7s
8 - 8s
9 - 9s
10 - 10s</text>
  </threadedComment>
  <threadedComment ref="BD2" dT="2026-06-02T03:06:12.21" personId="{B6012F0E-E5C6-4745-8A5E-4C6462E9C718}" id="{8ED874D5-BBA5-4D75-BA5A-1FC4D90722F7}">
    <text>(frequencia + duração) / 2 
Frequência
1 - 1/1min
2 - 1/50s
3 - 1/40s
4 - 1/30s
5 - 1/22s
6 - 1/15s
7 - 1/10s
8 - 1/7s
9 - 1/5s
10 - 1/3s
11...
Duração:
1 - 1s
2 - 2s
3 - 3s
4 - 4s
5 - 5s
6 - 6s
7 - 7s
8 - 8s
9 - 9s
10 - 10s
11...</text>
  </threadedComment>
  <threadedComment ref="BE2" dT="2026-06-02T03:20:06.88" personId="{B6012F0E-E5C6-4745-8A5E-4C6462E9C718}" id="{310DEFB4-878E-4EBE-8467-EAA5DA3E8A05}">
    <text>(frequência + duração + área) / 3
0 - não tem essa capacidade
Frequência:
1 - 1/1min
2 - 1/50s
3 - 1/40s
4 - 1/30s
5 - 1/22s
6 - 1/15s
7 - 1/10s
8 - 1/7s
9 - 1/5s
10 - 1/3s
11...
duração
1 - 1s
2 - 2s
3 - 3s
4 - 4s
5 - 5s
6 - 6s
7 - 7s
8 - 8s
9 - 9s
10 - 10s
11...
Area:
1 - diâmetro de 1 brawler
2 - diâmetro de 2 brawler
3 - diâmetro de 3 brawler
4 - diâmetro de 4 brawler
5 - diâmetro de 5 brawler
6 - diâmetro de 6 brawler
7 - diâmetro de 7 brawler
8 - diâmetro de 8 brawler9 - diâmetro de 9 brawler
10 - diâmetro de 10 brawler
11...</text>
  </threadedComment>
  <threadedComment ref="BG2" dT="2026-06-02T03:22:47.43" personId="{B6012F0E-E5C6-4745-8A5E-4C6462E9C718}" id="{9C6032D8-5F82-4201-A22C-4948EF14D130}">
    <text>0 - não aplica veneno
1 - duração de 1 hit
2 - duração de 2 hit
3 - duração de 3 hit
4 - duração de 4 hit
5 - duração de 5 hit
6 - duração de 6 hit
7 - duração de 7 hit
8 - duração de 8 hit
9 - duração de 9 hit
10 - duração de 10 hit
11...
/1 se proveniente do ataque principal
/2 se proveniente da super
/3 se proveniente de algo ainda mais ocasional</text>
  </threadedComment>
  <threadedComment ref="BH2" dT="2026-06-02T03:23:18.23" personId="{B6012F0E-E5C6-4745-8A5E-4C6462E9C718}" id="{AC3D34C0-33A7-4522-A978-6B5635D1B661}">
    <text>(poder-cancelamento + frequência) / 2
poder cancelamento
1 - até 11%
2 - até 22%
3 - até 33%
4 - até 44%
5 - até 55%
6 - até 66%
7 - até 77%
8 - até 88%
9 - até 99%
10 - limpeza completa
Frequência:
1 - 1/1min
2 - 1/50s
3 - 1/40s
4 - 1/30s
5 - 1/22s
6 - 1/15s
7 - 1/10s
8 - 1/7s
9 - 1/5s
10 - 1/3s
11...</text>
  </threadedComment>
  <threadedComment ref="BI2" dT="2026-06-02T03:24:11.83" personId="{B6012F0E-E5C6-4745-8A5E-4C6462E9C718}" id="{D89EAA5F-31EB-4BB2-BF40-868A9D880F57}">
    <text>1 - stun até 0.1s
2 - stun até 0.35s
3 - stun até 0.6s
4 - stun até 0.85s
5 - stun até 1.1s
6 - stun até 1.35s
7 - stun até 1.6s
8 - stun até 1.85s
9 - stun até 2.1s
10 - stun até 2.5s
11...</text>
  </threadedComment>
  <threadedComment ref="BJ2" dT="2026-06-02T03:24:39.33" personId="{B6012F0E-E5C6-4745-8A5E-4C6462E9C718}" id="{B2E93F1E-B2CE-4BC5-879F-C6748A4C4E36}">
    <text>(poder-cancelamento + frequência) / 2
poder cancelamento
1 - até 11%
2 - até 22%
3 - até 33%
4 - até 44%
5 - até 55%
6 - até 66%
7 - até 77%
8 - até 88%
9 - até 99%
10 - limpeza completa
Frequência:
1 - 1/1min
2 - 1/50s
3 - 1/40s
4 - 1/30s
5 - 1/22s
6 - 1/15s
7 - 1/10s
8 - 1/7s
9 - 1/5s
10 - 1/3s
11...</text>
  </threadedComment>
  <threadedComment ref="BK2" dT="2026-06-02T03:31:43.31" personId="{B6012F0E-E5C6-4745-8A5E-4C6462E9C718}" id="{5D9D6F8E-BBE2-4206-886C-31168EBC53FC}">
    <text>(frequência + potência + duração)/3
0 - não tem essa capacidade
Frequência:
1 - 1/1min
2 - 1/50s
3 - 1/40s
4 - 1/30s
5 - 1/22s
6 - 1/15s
7 - 1/10s
8 - 1/7s
9 - 1/5s
10 - 1/3s
11...
Potência da lentidão:
1 - até 5%
2 - até 10%
3 - até 15%
4 - até 20%
5 - até 25%
6 - até 30%
7 - até 35%
8 - até 40%
9 - até 45%
10 - até 50%
11...
duração
1 - 0.5s
2 - 1s
3 - 1.5s
4 - 2s
5 - 2.5s
6 - 3s
7 - 3.5s
8 - 4s
9 - 4.5s
10 - 5s
11...</text>
  </threadedComment>
  <threadedComment ref="BL2" dT="2026-06-02T03:32:49.52" personId="{B6012F0E-E5C6-4745-8A5E-4C6462E9C718}" id="{D98A3EE5-0B75-4351-9DF1-4F7F251BF6FF}">
    <text>(poder-cancelamento + frequência) / 2
poder cancelamento
1 - até 11%
2 - até 22%
3 - até 33%
4 - até 44%
5 - até 55%
6 - até 66%
7 - até 77%
8 - até 88%
9 - até 99%
10 - limpeza completa
Frequência:
1 - 1/1min
2 - 1/50s
3 - 1/40s
4 - 1/30s
5 - 1/22s
6 - 1/15s
7 - 1/10s
8 - 1/7s
9 - 1/5s
10 - 1/3s
11...</text>
  </threadedComment>
  <threadedComment ref="BM2" dT="2026-06-02T03:33:10.36" personId="{B6012F0E-E5C6-4745-8A5E-4C6462E9C718}" id="{747B6F09-CDD4-4129-BCFB-3BC2FEC072FB}">
    <text>0 - o brawler não tem essa capacidade
1 - pouco e apenas de muito perto e não possui formas rápidas de se aproximar
2 - pouco e apenas de perto e não possui formas rápidas de se aproximar
3 - pouco e apenas de medio alcance e não possui formas rápidas de se aproximar
4 - pouco e apenas de perto mas possui formas de se aproximar
5 - pouco e apenas de perto mas possui formas de se aproximar rapidamente
6 - de médias/longas distâncias
7 - longas distâncias
8 - ignorando muros
9 - ignorando obstaculos a médio/longo alcance
10 - ignorando obstáculos e objetos a longo alcance
11...</text>
  </threadedComment>
  <threadedComment ref="BN2" dT="2026-06-02T03:33:36.55" personId="{B6012F0E-E5C6-4745-8A5E-4C6462E9C718}" id="{3972AB50-CCB4-4CE2-914D-E147ABD420BE}">
    <text>Se o seu brawler não é especialmente afetado, assinale altamente competente (7). Caso seja (um frank por exemplo é muito afetado), tente medir o quão fácil é para o inimigo cancelar um ataque forte seu e te prejudicar.
6 - afetado levemente por demora até finalização do tiro
5 - afetado levemente numa situação específica
4 - afetado consideravelmente no super
3 - afetado consideravelmente no ataque principal
2 - afetado consideravelmente no super e ataque
-1 se dá mais de 1 segundo de tempo de reação na super
-2 se dá mais de 1 segundo de tempo de reação no ataque principal</text>
  </threadedComment>
</ThreadedComments>
</file>

<file path=xl/threadedComments/threadedComment3.xml><?xml version="1.0" encoding="utf-8"?>
<ThreadedComments xmlns="http://schemas.microsoft.com/office/spreadsheetml/2018/threadedcomments" xmlns:x="http://schemas.openxmlformats.org/spreadsheetml/2006/main">
  <threadedComment ref="X2" dT="2026-06-02T02:10:48.30" personId="{B6012F0E-E5C6-4745-8A5E-4C6462E9C718}" id="{AEA62B1D-7497-4053-8BC3-AB5DD833184A}">
    <text>(Durabilidade_total / 1400) + (auto_heal_buffing / 3,5)</text>
  </threadedComment>
  <threadedComment ref="Y2" dT="2026-06-02T02:14:20.43" personId="{B6012F0E-E5C6-4745-8A5E-4C6462E9C718}" id="{48209E4E-DD4E-4495-83FF-01AD38F380E0}">
    <text>0 - Não ataca eu achokkk
1 - distância curta
2 - distância curta/normal
3 - distância normal/curta
4 - distância normal
5 - distância normal/longa
6 - distância longa/normal
7 - distância longa
8 - distância longa/mtlonga
9 - distância mtlonga/longa
10 - distância mtlonga
11...
-1 se o tiro é lento ou -2 se muito lento. Use isso para distinguir alcances aparentemente iguais.</text>
  </threadedComment>
  <threadedComment ref="Z2" dT="2026-06-02T02:17:02.99" personId="{B6012F0E-E5C6-4745-8A5E-4C6462E9C718}" id="{183BD924-6326-4469-B909-83B4FE192A37}">
    <text>(frequencia + potência + versatilidade)/3
frequência:
1 - 1 min
2 - 45s
3 - 35s
4 - 30s
5 - 25s
6 - 20s
7 - 15s
8 - 10s
9 - 5s
10 - menos de 5s
11...
potência do uso:
1 - distância curta
2 - distância curta/normal
3 - distância normal/curta
4 - distância normal
5 - distância normal/longa
6 - distância longa/normal
7 - distância longa
8 - distância longa/mtlonga
9 - distância mtlonga/longa
10 - distância mtlonga
11...
versatilidade:
1 - invulnerável, mas parado e vulnerável ao voltar
2 - invulnerável, mas parado ao voltar
3 - afasta inimigos um pouco
4 - afasta medio inimigos
5 - fuga lenta sem escolher direção ou circunstancial
6 - fuga lenta escolhendo direção quase livremente
7 - fuga lenta escolhendo direção livremente
8 - fuga rápida quase sem escolher direção
9 - fuga rápida escolhendo direção quase livremente
10 - fuga rápida escolhendo direção livremente
11...</text>
  </threadedComment>
  <threadedComment ref="AA2" dT="2026-06-02T02:18:20.46" personId="{B6012F0E-E5C6-4745-8A5E-4C6462E9C718}" id="{774F8D20-94EB-4206-9C36-40060FEF4CCC}">
    <text>0 - projétil único
1 - projétil único perfurante
2 - linha fina multiplos projéteis
3 - tiro em forma de cone pequeno (25° +ou-)
4 - tiro em forma retangular medio (1 brawler de largura)
5 - tiro em forma de cone médio (50° +ou-)
6 - tiro em forma retangular grande (1-2 brawler de largura)
7 - tiro em forma de cone grande (75° +ou-)
8 - tiro com amplitude maior (até 100° +ou-)
9 - tiro em todas as direções
10 - tiro frequente em todas as direções
11...</text>
  </threadedComment>
  <threadedComment ref="AB2" dT="2026-06-02T02:19:10.84" personId="{B6012F0E-E5C6-4745-8A5E-4C6462E9C718}" id="{287EE80D-468C-4F3F-B812-B46CF7395828}">
    <text>0 - mais de 1/30s
1 - 1/30s
2 - 1/20s
3 - 1/15s
4 - 1/10s
5 - 1/5s
6 - ataque básico frequente
7 - ataque básico e super frequente</text>
  </threadedComment>
  <threadedComment ref="AC2" dT="2026-06-02T02:22:12.72" personId="{B6012F0E-E5C6-4745-8A5E-4C6462E9C718}" id="{8C502DD0-E0BD-4D12-88AF-9466DFEE17EB}">
    <text>(duração + área + efeito + distância-arremesso)/4
Efeito:
3 - efeito ignorável muitas vezes
6 - efeito ignorável raramente
9 - efeito quase nunca ignoravel
Area:
1 - diâmetro de 1 brawler
2 - diâmetro de 2 brawler
3 - diâmetro de 3 brawler
4 - diâmetro de 4 brawler
5 - diâmetro de 5 brawler
6 - diâmetro de 6 brawler
7 - diâmetro de 7 brawler
8 - diâmetro de 8 brawler9 - diâmetro de 9 brawler
10 - diâmetro de 10 brawler
11...
Duração:
1 - 1s
2 - 2s
3 - 3s
4 - 4s
5 - 5s
6 - 6s
7 - 7s
8 - 8s
9 - 9s
10 - 10s
11...
Distância arremesso
0 - Não ataca eu achokkk
1 - distância curta
2 - distância curta/normal
3 - distância normal/curta
4 - distância normal
5 - distância normal/longa
6 - distância longa/normal
7 - distância longa
8 - distância longa/mtlonga
9 - distância mtlonga/longa
10 - distância mtlonga
11...
-1 se o tiro é lento ou -2 se muito lento. Use isso para distinguir alcances aparentemente iguais.</text>
  </threadedComment>
  <threadedComment ref="AD2" dT="2026-06-02T02:22:51.85" personId="{B6012F0E-E5C6-4745-8A5E-4C6462E9C718}" id="{5C22C392-13A6-4EDA-98F4-9E312E27A3A4}">
    <text>0 - o brawler não tem essa capacidade
1 - consegue manipular pouco e apenas de muito perto e não possui formas rápidas de se aproximar
2 - consegue manipular pouco e apenas de perto e não possui formas rápidas de se aproximar
3 - consegue manipular pouco e apenas de medio alcance e não possui formas rápidas de se aproximar
4 - consegue manipular pouco e apenas de perto mas possui formas de se aproximar
5 - o brawler consegue fazer de longas distancias mas manipula pouco
6 - o brawler consegue manipular muito a posição e de médias distâncias
7 - o brawler consegue manipular muito a posição e de longas distâncias
8 - o brawler consegue manipular um pouco a posição mas ignorando muros
9 - o brawler consegue manipular muito a posição e ignorando obstaculos a médio alcance
10 - o brawler consegue manipular muito a posição e ignorando obstáculos e objetos a longo alcance</text>
  </threadedComment>
  <threadedComment ref="AE2" dT="2026-06-02T02:23:23.46" personId="{B6012F0E-E5C6-4745-8A5E-4C6462E9C718}" id="{9881D057-9A21-4C40-BEB4-14226BA1FA69}">
    <text>0 - absoluta incompetência
7 - altamente competente</text>
  </threadedComment>
  <threadedComment ref="AF2" dT="2026-06-02T02:23:42.82" personId="{B6012F0E-E5C6-4745-8A5E-4C6462E9C718}" id="{CC61375B-2CBC-4EC4-B5D9-4BCE11C9F63B}">
    <text>0 - impossivel causar dano
1 - causa dano irrisório
2 - causa dano circunstancial
3 - causa dano ocasionalmente
4 - causa dano mortal as vezes
5 - causa dano mortal quase normalmente
6 - capaz de atacar o inimigo normalmente
7 - causa dano normalmente + anda na água tmb
8 - causa dano levemente superior
9 - causa dano muito maior a inimigos na água
10 - causa dano absurdamente maior
11...</text>
  </threadedComment>
  <threadedComment ref="AG2" dT="2026-06-02T02:25:21.34" personId="{B6012F0E-E5C6-4745-8A5E-4C6462E9C718}" id="{9D67511D-6D55-4AF9-A07A-9AF64B9E93DD}">
    <text>0 - não quebra muros
1 - 1/35min
2 - 1/30s
3 - 1/25s
4 - 1/20s
5 - 1/15s
6 - 1/12s
7 - 1/9s
8 - 1/6s
9 - 1/3s
10 - 1/1s
11...
-1 se a destruição é pouco controlável
-2 se a destruição é quase incontrolável ou se o brawler não deveria gastar os recursos dele focando nessa destruição</text>
  </threadedComment>
  <threadedComment ref="AH2" dT="2026-06-02T02:25:58.83" personId="{B6012F0E-E5C6-4745-8A5E-4C6462E9C718}" id="{83642668-E1BB-454F-81B4-23857600244D}">
    <text>0 - não quebra moitas
1 - 1/25min
2 - 1/16s
3 - 1/12s
4 - 1/10s
5 - 1/8s
6 - 1/6s
7 - 1/4s
8 - 1/3s
9 - 1/2s
10 - 1/1s
11...
-1 se a destruição é pouco controlável
-2 se a destruição é quase incontrolável ou se o brawler não deveria gastar os recursos dele focando nessa destruição</text>
  </threadedComment>
  <threadedComment ref="AI2" dT="2026-06-02T02:26:57.22" personId="{B6012F0E-E5C6-4745-8A5E-4C6462E9C718}" id="{C7F146CA-75B3-4667-9B88-2A55D9FA51CE}">
    <text>0 - não constroi cover
1 - 1/25min
2 - 1/16s
3 - 1/12s
4 - 1/10s
5 - 1/8s
6 - 1/6s
7 - 1/4s
8 - 1/3s
9 - 1/2s
10 - 1/1s
11...
-1 se a construção é pouco controlável
-2 se a construção é quase incontrolável ou se o brawler não deveria gastar os recursos dele focando nessa construção</text>
  </threadedComment>
  <threadedComment ref="AJ2" dT="2026-06-02T02:28:11.44" personId="{B6012F0E-E5C6-4745-8A5E-4C6462E9C718}" id="{DDEF7830-9FDA-4DA3-9301-7D0C16ABB4E7}">
    <text>1 - muito lento
2 - muito lento/lento
3 - lento
4 - lento/normal
5 - normal
6 - normal/rapido
7 - rapido
8 - rapido/muito rapido
9 - muito rapido
10 - suporter de velocidade
11...
-1 se a hitbox do brawler é do modelo maior</text>
  </threadedComment>
  <threadedComment ref="AK2" dT="2026-06-02T02:29:03.92" personId="{B6012F0E-E5C6-4745-8A5E-4C6462E9C718}" id="{21C4BA0D-2C3A-4437-8F7C-44AB7341EE0D}">
    <text>1 - ataque lento e ineficaz
2 - ataque ineficaz
3 - ataque poderoso, mas super lento
4 - ataque poderoso, mas lento
5 - ataque poderoso e rápido, mas facilmente contornável sem sequelas
6 - ataque poderoso, mas contornavel/counterável facilmente
7 - ataque poderoso. Contornavel apenas se não estiver vulnerável
8 - mesmo counters tem dificuldade em prever/reagir ao ataque antes de levar um bom dano
9 - mesmo counters recebem muito dano antes de conseguirem reagir
10 - counterar um ataque bem planejado é quase impossível para qualquer brawler
+1 se aplica velocidade após o ataque
-1 se alcance é normal/longo
-2 se o alcance é curto/normal
-3 se o alcance é muito curto/curto</text>
  </threadedComment>
  <threadedComment ref="AL2" dT="2026-06-02T02:29:37.61" personId="{B6012F0E-E5C6-4745-8A5E-4C6462E9C718}" id="{CF0972BD-E9B3-4549-A2A8-7C0DF85C4C48}">
    <text>*fórmula pronta, utiliza stun como força adicional</text>
  </threadedComment>
  <threadedComment ref="AM2" dT="2026-06-02T02:31:13.55" personId="{B6012F0E-E5C6-4745-8A5E-4C6462E9C718}" id="{58C85561-7064-4A22-B0E3-30B32222C614}">
    <text>1 - 1/1min
2 - 1/50s
3 - 1/40s
4 - 1/30s
5 - 1/22s
6 - 1/15s
7 - 1/10s
8 - 1/7s
9 - 1/5s
10 - 1/3s
11...</text>
  </threadedComment>
  <threadedComment ref="AN2" dT="2026-06-02T02:31:34.22" personId="{B6012F0E-E5C6-4745-8A5E-4C6462E9C718}" id="{0D7C7B35-5DFE-48E7-9C95-557FDA08D843}">
    <text>1 - nunca acumula mais de 1
2 - raramente acumula mais de 1
3 - ocasionalmente acumula mais de 1
4 - frequentemente acumula ao menos 2
5 - raramente acumula mais de 2
6 - ocasionalmente acumula mais de 2
7 - frequentemente acumula ao menos 3
8 - ocasionalmente acumula mais de 3
9 - frequentemente acumula mais de 4
10 - frequentemente acumula mais de 5
11...</text>
  </threadedComment>
  <threadedComment ref="AO2" dT="2026-06-02T02:32:38.53" personId="{B6012F0E-E5C6-4745-8A5E-4C6462E9C718}" id="{7601B4EF-E1B5-4D89-8698-00E33AE9A67D}">
    <text>0 - A vida do(s) pet(s) não se deteriora sozinha com o tempo
1 - A vida do(s) pet(s) é deteriorável</text>
  </threadedComment>
  <threadedComment ref="AP2" dT="2026-06-02T02:33:31.06" personId="{B6012F0E-E5C6-4745-8A5E-4C6462E9C718}" id="{8280449B-F405-4788-84C1-CEB2C85D3EC3}">
    <text>1 - menos de 2000
2 - entre 2000 e 3000
3 - entre 3000 e 4000
4 - entre 4000 e 5000
5 - entre 5000 e 6000
6 - entre 6000 e 7000
7 - entre 7000 e 8000
8 - entre 8000 e 9000
9 - entre 9000 e 10000
10 - entre 10000 e 11000
11...</text>
  </threadedComment>
  <threadedComment ref="AQ2" dT="2026-06-02T02:33:49.93" personId="{B6012F0E-E5C6-4745-8A5E-4C6462E9C718}" id="{20E55591-0011-4BD7-B71C-18DB4536223C}">
    <text>0 - dano médio menor de 500
1 - dano médio 500-800
2 - dano médio 800-1100
3 - dano médio 1100-1400
4 - dano médio 1400-1700
5 - dano médio 1700-2000
6 - dano médio 2000-2300
7 - dano médio 2300-2600
8 - dano médio 2900-3200
9 - dano médio 3200-3500
10 - dano médio 3500-3800
11...</text>
  </threadedComment>
  <threadedComment ref="AR2" dT="2026-06-02T02:34:34.37" personId="{B6012F0E-E5C6-4745-8A5E-4C6462E9C718}" id="{6BFBA8F6-B57B-455C-B17A-CB0572DED925}">
    <text>1 - distância curta
2 - distância curta/normal
3 - distância normal/curta
4 - distância normal
5 - distância normal/longa
6 - distância longa/normal
7 - distância longa
8 - distância longa/mtlonga
9 - distância mtlonga/longa
10 - distância mtlonga
11...
-1 se o tiro é lento ou -2 se muito lento. Use isso para distinguir alcances aparentemente iguais.</text>
  </threadedComment>
  <threadedComment ref="AS2" dT="2026-06-02T02:34:54.40" personId="{B6012F0E-E5C6-4745-8A5E-4C6462E9C718}" id="{735CEBFE-F407-46BB-BCE6-4DED80CC33A8}">
    <text>1 - muito lento
2 - muito lento/lento
3 - lento/normal
4 - lento
5 - lento/normal
6 - normal/lento
7 - normal
8 - normal/rapido
9 - rapido
10 - MUITO rapido
11...</text>
  </threadedComment>
  <threadedComment ref="AT2" dT="2026-06-02T02:39:21.86" personId="{B6012F0E-E5C6-4745-8A5E-4C6462E9C718}" id="{FE62A1B6-6DEE-420F-8DC0-202410C06336}">
    <text>0 - O dono não fica próximo ao pet em quase nenhum momento
2,5 - O dono fica próximo ao pet as vezes, mas raramente por muito tempo
5 - O dono fica próximo ao pet com alguma frequência, mas não é regra de usabilidade
7,5 - O dono fica próximo ao pet na maior parte do tempo, sendo grande parte da sua estratégia principal para avançar contra inimigos
10 - O dono fica próximo ao pet em quase todos os momentos. A exceção para esta regra resulta em inutilidade do pet na maior parte das vezes.</text>
  </threadedComment>
  <threadedComment ref="AU2" dT="2026-06-02T02:40:30.30" personId="{B6012F0E-E5C6-4745-8A5E-4C6462E9C718}" id="{866E29FF-ADE6-41EE-AEBD-0B1BDEACB237}">
    <text>0 - não é o caso para esse brawler
1 - chance levemente maior de causar dano ao todo
2 - chance relativamente maior de causar dano ao todo
3 - chance muito maior de causar mais dano ao todo
4 - atinge multiplos inimigos com a super
5 - atinge facilmente multiplos inimigos com a super
6 - atinge multiplos inimigos com o ataque principal
7 - atinge facilmente multiplos inimigos com o ataque
8 - causa mais dano por projétil
9 - causa mais do dobro de dano por projétil
10 - causa mais que o triplo do dano por projétil
11...</text>
  </threadedComment>
  <threadedComment ref="AV2" dT="2026-06-02T02:42:26.97" personId="{B6012F0E-E5C6-4745-8A5E-4C6462E9C718}" id="{68B2252B-FCFB-457A-8B5A-F07EEB6115BA}">
    <text>(precisão + Área + duração + frequência)/4
Precisão:
3 - perseguição de pets
6 - precisão em posição fixa arremessavel
10 - precisão absoluta
Area:
1 - diâmetro de 1 brawler
2 - diâmetro de 2 brawler
3 - diâmetro de 3 brawler
4 - diâmetro de 4 brawler
5 - diâmetro de 5 brawler
6 - diâmetro de 6 brawler
7 - diâmetro de 7 brawler
8 - diâmetro de 8 brawler9 - diâmetro de 9 brawler
10 - diâmetro de 10 brawler
11...
Duração:
1 - 3s
2 - 6s
3 - 9s
4 - 12s
5 - 15s
6 - 18s
7 - 21s
8 - 24s
9 - 27s
10 - infinito
11...
Frequência:
1 - 1/1min
2 - 1/50s
3 - 1/40s
4 - 1/30s
5 - 1/22s
6 - 1/15s
7 - 1/10s
8 - 1/7s
9 - 1/5s
10 - 1/3s
11...</text>
  </threadedComment>
  <threadedComment ref="AW2" dT="2026-06-02T02:50:25.74" personId="{B6012F0E-E5C6-4745-8A5E-4C6462E9C718}" id="{7B556312-2948-4E41-AE56-0DCC309A1922}">
    <text>0 - As informações do brawler/complemento não dependem de nenhuma forma da formação de inimigos ou terreno para que façam sentido
2,5 - As informações do brawler/complemento podem depender um pouco de formas de uso
5 - As informações do brawler/complemento podem depender um pouco de características de terreno, como presença de moitas/agua e/ou de formas de uso
7,5 - as informações dependem bastante de características externas como formas de uso, terreno e inimigos. A verificação humana é essencial para garantir que o brawler realmente seja bom.
10 - As informações dependem demais de fatores externos para funcionarem de forma adequada. Detalhes desses fatores devem ser destacados para o usuário.</text>
  </threadedComment>
  <threadedComment ref="AY2" dT="2026-06-02T02:56:43.63" personId="{B6012F0E-E5C6-4745-8A5E-4C6462E9C718}" id="{955C043B-13B3-4BDF-8B36-D197E25D49D0}">
    <text>(frequência + potência + velocidade) / 3
Frequência:
1 - 1/1min
2 - 1/50s
3 - 1/40s
4 - 1/30s
5 - 1/22s
6 - 1/15s
7 - 1/10s
8 - 1/7s
9 - 1/5s
10 - 1/3s
11...
Potência do hp:
1 - 1-500
2 - 500-1000
3 - 1000-1500
4 - 1500 - 2000
5 - 2000 - 2500
6 - 2500 - 3000
7 - 3000 - 3500
8 - 3500 - 4000
9 - 4000 - 4500
10 - 4500 - 5000
Velocidade da cura
3 - Lenta e parcelada
6 - Lenta ou muito circunstancial
9 - Instantânea e pouco circunstancial</text>
  </threadedComment>
  <threadedComment ref="AZ2" dT="2026-06-02T02:57:40.08" personId="{B6012F0E-E5C6-4745-8A5E-4C6462E9C718}" id="{D152C21F-A039-4FDF-B490-3B39F52216C7}">
    <text>(duração + potência) / 2 
potência:
1 - até 10%
2 - até 20%
3 - até 30%
4 - até 40%
5 - até 50%
6 - até 60%
7 - até 70%
8 - até 80%
9 - até 90%
10 - até 100%
duração
1 - 1s
2 - 2s
3 - 3s
4 - 4s
5 - 5s
6 - 6s
7 - 7s
8 - 8s
9 - 9s
10 - 10s</text>
  </threadedComment>
  <threadedComment ref="BA2" dT="2026-06-02T03:00:04.34" personId="{B6012F0E-E5C6-4745-8A5E-4C6462E9C718}" id="{E4F48B0A-127D-4752-A0BE-B336A9D14889}">
    <text>(frequência + potência) / 2 
Frequência:
1 - 1/1min
2 - 1/50s
3 - 1/40s
4 - 1/30s
5 - 1/22s
6 - 1/15s
7 - 1/10s
8 - 1/7s
9 - 1/5s
10 - 1/3s
11...
Potência do escudo:
1 - 1-500
2 - 500-1000
3 - 1000-1500
4 - 1500 - 2000
5 - 2000 - 2500
6 - 2500 - 3000
7 - 3000 - 3500
8 - 3500 - 4000
9 - 4000 - 4500
10 - 4500 - 5000</text>
  </threadedComment>
  <threadedComment ref="BB2" dT="2026-06-02T03:02:46.74" personId="{B6012F0E-E5C6-4745-8A5E-4C6462E9C718}" id="{CE9CB006-B990-47C3-A966-88DBFFE642BE}">
    <text>(frequência + potência + duração)/3
0 - não tem essa capacidade
Frequência:
1 - 1/1min
2 - 1/50s
3 - 1/40s
4 - 1/30s
5 - 1/22s
6 - 1/15s
7 - 1/10s
8 - 1/7s
9 - 1/5s
10 - 1/3s
11...
Potência do aumento de dano:
1 - até 5%
2 - até 10%
3 - até 15%
4 - até 20%
5 - até 25%
6 - até 30%
7 - até 35%
8 - até 40%
9 - até 45%
10 - até 50%
11...
duração
1 - 1s
2 - 2s
3 - 3s
4 - 4s
5 - 5s
6 - 6s
7 - 7s
8 - 8s
9 - 9s
10 - 10s
11...</text>
  </threadedComment>
  <threadedComment ref="BC2" dT="2026-06-02T03:03:24.08" personId="{B6012F0E-E5C6-4745-8A5E-4C6462E9C718}" id="{860C029A-C54B-420F-9B92-E3E9D8304A69}">
    <text>(duração + potência) / 2 
potência:
1 - até 8%
2 - até 16%
3 - até 24%
4 - até 32%
5 - até 40%
6 - até 48%
7 - até 56%
8 - até 64%
9 - até 72%
10 - até 80%
11...
duração
1 - 1s
2 - 2s
3 - 3s
4 - 4s
5 - 5s
6 - 6s
7 - 7s
8 - 8s
9 - 9s
10 - 10s</text>
  </threadedComment>
  <threadedComment ref="BD2" dT="2026-06-02T03:06:12.21" personId="{B6012F0E-E5C6-4745-8A5E-4C6462E9C718}" id="{6F4B8CFC-F9BD-41E4-B38A-CECBB7E9BCBA}">
    <text>(frequencia + duração) / 2 
Frequência
1 - 1/1min
2 - 1/50s
3 - 1/40s
4 - 1/30s
5 - 1/22s
6 - 1/15s
7 - 1/10s
8 - 1/7s
9 - 1/5s
10 - 1/3s
11...
Duração:
1 - 1s
2 - 2s
3 - 3s
4 - 4s
5 - 5s
6 - 6s
7 - 7s
8 - 8s
9 - 9s
10 - 10s
11...</text>
  </threadedComment>
  <threadedComment ref="BE2" dT="2026-06-02T03:20:06.88" personId="{B6012F0E-E5C6-4745-8A5E-4C6462E9C718}" id="{B73E0618-4904-4924-AC1D-0AF2B812984C}">
    <text>(frequência + duração + área) / 3
0 - não tem essa capacidade
Frequência:
1 - 1/1min
2 - 1/50s
3 - 1/40s
4 - 1/30s
5 - 1/22s
6 - 1/15s
7 - 1/10s
8 - 1/7s
9 - 1/5s
10 - 1/3s
11...
duração
1 - 1s
2 - 2s
3 - 3s
4 - 4s
5 - 5s
6 - 6s
7 - 7s
8 - 8s
9 - 9s
10 - 10s
11...
Area:
1 - diâmetro de 1 brawler
2 - diâmetro de 2 brawler
3 - diâmetro de 3 brawler
4 - diâmetro de 4 brawler
5 - diâmetro de 5 brawler
6 - diâmetro de 6 brawler
7 - diâmetro de 7 brawler
8 - diâmetro de 8 brawler9 - diâmetro de 9 brawler
10 - diâmetro de 10 brawler
11...</text>
  </threadedComment>
  <threadedComment ref="BG2" dT="2026-06-02T03:22:47.43" personId="{B6012F0E-E5C6-4745-8A5E-4C6462E9C718}" id="{70814576-71E3-4355-9D2E-0B68A48C1D57}">
    <text>0 - não aplica veneno
1 - duração de 1 hit
2 - duração de 2 hit
3 - duração de 3 hit
4 - duração de 4 hit
5 - duração de 5 hit
6 - duração de 6 hit
7 - duração de 7 hit
8 - duração de 8 hit
9 - duração de 9 hit
10 - duração de 10 hit
11...
/1 se proveniente do ataque principal
/2 se proveniente da super
/3 se proveniente de algo ainda mais ocasional</text>
  </threadedComment>
  <threadedComment ref="BH2" dT="2026-06-02T03:23:18.23" personId="{B6012F0E-E5C6-4745-8A5E-4C6462E9C718}" id="{285F884F-91AC-411A-B3DA-D617A0CBE6CF}">
    <text>(poder-cancelamento + frequência) / 2
poder cancelamento
1 - até 11%
2 - até 22%
3 - até 33%
4 - até 44%
5 - até 55%
6 - até 66%
7 - até 77%
8 - até 88%
9 - até 99%
10 - limpeza completa
Frequência:
1 - 1/1min
2 - 1/50s
3 - 1/40s
4 - 1/30s
5 - 1/22s
6 - 1/15s
7 - 1/10s
8 - 1/7s
9 - 1/5s
10 - 1/3s
11...</text>
  </threadedComment>
  <threadedComment ref="BI2" dT="2026-06-02T03:24:11.83" personId="{B6012F0E-E5C6-4745-8A5E-4C6462E9C718}" id="{B5D48F09-D143-4476-844F-6F8DE3C7BE11}">
    <text>1 - stun até 0.1s
2 - stun até 0.35s
3 - stun até 0.6s
4 - stun até 0.85s
5 - stun até 1.1s
6 - stun até 1.35s
7 - stun até 1.6s
8 - stun até 1.85s
9 - stun até 2.1s
10 - stun até 2.5s
11...</text>
  </threadedComment>
  <threadedComment ref="BJ2" dT="2026-06-02T03:24:39.33" personId="{B6012F0E-E5C6-4745-8A5E-4C6462E9C718}" id="{39101BE6-9C60-4AAD-8F2C-ACA49AA1D872}">
    <text>(poder-cancelamento + frequência) / 2
poder cancelamento
1 - até 11%
2 - até 22%
3 - até 33%
4 - até 44%
5 - até 55%
6 - até 66%
7 - até 77%
8 - até 88%
9 - até 99%
10 - limpeza completa
Frequência:
1 - 1/1min
2 - 1/50s
3 - 1/40s
4 - 1/30s
5 - 1/22s
6 - 1/15s
7 - 1/10s
8 - 1/7s
9 - 1/5s
10 - 1/3s
11...</text>
  </threadedComment>
  <threadedComment ref="BK2" dT="2026-06-02T03:31:43.31" personId="{B6012F0E-E5C6-4745-8A5E-4C6462E9C718}" id="{D535AB02-192D-4E15-9015-52762D6F5DCF}">
    <text>(frequência + potência + duração)/3
0 - não tem essa capacidade
Frequência:
1 - 1/1min
2 - 1/50s
3 - 1/40s
4 - 1/30s
5 - 1/22s
6 - 1/15s
7 - 1/10s
8 - 1/7s
9 - 1/5s
10 - 1/3s
11...
Potência da lentidão:
1 - até 5%
2 - até 10%
3 - até 15%
4 - até 20%
5 - até 25%
6 - até 30%
7 - até 35%
8 - até 40%
9 - até 45%
10 - até 50%
11...
duração
1 - 0.5s
2 - 1s
3 - 1.5s
4 - 2s
5 - 2.5s
6 - 3s
7 - 3.5s
8 - 4s
9 - 4.5s
10 - 5s
11...</text>
  </threadedComment>
  <threadedComment ref="BL2" dT="2026-06-02T03:32:49.52" personId="{B6012F0E-E5C6-4745-8A5E-4C6462E9C718}" id="{E3510953-C425-4123-A249-94F8FDBC2FA4}">
    <text>(poder-cancelamento + frequência) / 2
poder cancelamento
1 - até 11%
2 - até 22%
3 - até 33%
4 - até 44%
5 - até 55%
6 - até 66%
7 - até 77%
8 - até 88%
9 - até 99%
10 - limpeza completa
Frequência:
1 - 1/1min
2 - 1/50s
3 - 1/40s
4 - 1/30s
5 - 1/22s
6 - 1/15s
7 - 1/10s
8 - 1/7s
9 - 1/5s
10 - 1/3s
11...</text>
  </threadedComment>
  <threadedComment ref="BM2" dT="2026-06-02T03:33:10.36" personId="{B6012F0E-E5C6-4745-8A5E-4C6462E9C718}" id="{AF818AB8-E6EF-4BDF-8373-8BC0D40B94DB}">
    <text>0 - o brawler não tem essa capacidade
1 - pouco e apenas de muito perto e não possui formas rápidas de se aproximar
2 - pouco e apenas de perto e não possui formas rápidas de se aproximar
3 - pouco e apenas de medio alcance e não possui formas rápidas de se aproximar
4 - pouco e apenas de perto mas possui formas de se aproximar
5 - pouco e apenas de perto mas possui formas de se aproximar rapidamente
6 - de médias/longas distâncias
7 - longas distâncias
8 - ignorando muros
9 - ignorando obstaculos a médio/longo alcance
10 - ignorando obstáculos e objetos a longo alcance
11...</text>
  </threadedComment>
  <threadedComment ref="BN2" dT="2026-06-02T03:33:36.55" personId="{B6012F0E-E5C6-4745-8A5E-4C6462E9C718}" id="{8D69E0E0-6F6B-440B-B783-E5D8A7454C97}">
    <text>Se o seu brawler não é especialmente afetado, assinale altamente competente (7). Caso seja (um frank por exemplo é muito afetado), tente medir o quão fácil é para o inimigo cancelar um ataque forte seu e te prejudicar.
6 - afetado levemente por demora até finalização do tiro
5 - afetado levemente numa situação específica
4 - afetado consideravelmente no super
3 - afetado consideravelmente no ataque principal
2 - afetado consideravelmente no super e ataque
-1 se dá mais de 1 segundo de tempo de reação na super
-2 se dá mais de 1 segundo de tempo de reação no ataque principal</text>
  </threadedComment>
</ThreadedComments>
</file>

<file path=xl/threadedComments/threadedComment4.xml><?xml version="1.0" encoding="utf-8"?>
<ThreadedComments xmlns="http://schemas.microsoft.com/office/spreadsheetml/2018/threadedcomments" xmlns:x="http://schemas.openxmlformats.org/spreadsheetml/2006/main">
  <threadedComment ref="X2" dT="2026-06-02T02:10:48.30" personId="{B6012F0E-E5C6-4745-8A5E-4C6462E9C718}" id="{C944CAF9-FF5F-495C-A308-007892E4AAF8}">
    <text>(Durabilidade_total / 1400) + (auto_heal_buffing / 3,5)</text>
  </threadedComment>
  <threadedComment ref="Y2" dT="2026-06-02T02:14:20.43" personId="{B6012F0E-E5C6-4745-8A5E-4C6462E9C718}" id="{E6FC42D2-FD2A-455A-91D7-D4F30C871899}">
    <text>0 - Não ataca eu achokkk
1 - distância curta
2 - distância curta/normal
3 - distância normal/curta
4 - distância normal
5 - distância normal/longa
6 - distância longa/normal
7 - distância longa
8 - distância longa/mtlonga
9 - distância mtlonga/longa
10 - distância mtlonga
11...
-1 se o tiro é lento ou -2 se muito lento. Use isso para distinguir alcances aparentemente iguais.</text>
  </threadedComment>
  <threadedComment ref="Z2" dT="2026-06-02T02:17:02.99" personId="{B6012F0E-E5C6-4745-8A5E-4C6462E9C718}" id="{BC97BA7E-6F8C-477F-9224-7B3B87B0C662}">
    <text>(frequencia + potência + versatilidade)/3
frequência:
1 - 1 min
2 - 45s
3 - 35s
4 - 30s
5 - 25s
6 - 20s
7 - 15s
8 - 10s
9 - 5s
10 - menos de 5s
11...
potência do uso:
1 - distância curta
2 - distância curta/normal
3 - distância normal/curta
4 - distância normal
5 - distância normal/longa
6 - distância longa/normal
7 - distância longa
8 - distância longa/mtlonga
9 - distância mtlonga/longa
10 - distância mtlonga
11...
versatilidade:
1 - invulnerável, mas parado e vulnerável ao voltar
2 - invulnerável, mas parado ao voltar
3 - afasta inimigos um pouco
4 - afasta medio inimigos
5 - fuga lenta sem escolher direção ou circunstancial
6 - fuga lenta escolhendo direção quase livremente
7 - fuga lenta escolhendo direção livremente
8 - fuga rápida quase sem escolher direção
9 - fuga rápida escolhendo direção quase livremente
10 - fuga rápida escolhendo direção livremente
11...</text>
  </threadedComment>
  <threadedComment ref="AA2" dT="2026-06-02T02:18:20.46" personId="{B6012F0E-E5C6-4745-8A5E-4C6462E9C718}" id="{F1E169BE-03ED-47D8-9F9C-4C5BF207761A}">
    <text>0 - projétil único
1 - projétil único perfurante
2 - linha fina multiplos projéteis
3 - tiro em forma de cone pequeno (25° +ou-)
4 - tiro em forma retangular medio (1 brawler de largura)
5 - tiro em forma de cone médio (50° +ou-)
6 - tiro em forma retangular grande (1-2 brawler de largura)
7 - tiro em forma de cone grande (75° +ou-)
8 - tiro com amplitude maior (até 100° +ou-)
9 - tiro em todas as direções
10 - tiro frequente em todas as direções
11...</text>
  </threadedComment>
  <threadedComment ref="AB2" dT="2026-06-02T02:19:10.84" personId="{B6012F0E-E5C6-4745-8A5E-4C6462E9C718}" id="{764EBF18-3141-40E9-87AC-7A91A4E692AB}">
    <text>0 - mais de 1/30s
1 - 1/30s
2 - 1/20s
3 - 1/15s
4 - 1/10s
5 - 1/5s
6 - ataque básico frequente
7 - ataque básico e super frequente</text>
  </threadedComment>
  <threadedComment ref="AC2" dT="2026-06-02T02:22:12.72" personId="{B6012F0E-E5C6-4745-8A5E-4C6462E9C718}" id="{3DB19886-B401-4DAD-8E8E-090A15D56832}">
    <text>(duração + área + efeito + distância-arremesso)/4
Efeito:
3 - efeito ignorável muitas vezes
6 - efeito ignorável raramente
9 - efeito quase nunca ignoravel
Area:
1 - diâmetro de 1 brawler
2 - diâmetro de 2 brawler
3 - diâmetro de 3 brawler
4 - diâmetro de 4 brawler
5 - diâmetro de 5 brawler
6 - diâmetro de 6 brawler
7 - diâmetro de 7 brawler
8 - diâmetro de 8 brawler9 - diâmetro de 9 brawler
10 - diâmetro de 10 brawler
11...
Duração:
1 - 1s
2 - 2s
3 - 3s
4 - 4s
5 - 5s
6 - 6s
7 - 7s
8 - 8s
9 - 9s
10 - 10s
11...
Distância arremesso
0 - Não ataca eu achokkk
1 - distância curta
2 - distância curta/normal
3 - distância normal/curta
4 - distância normal
5 - distância normal/longa
6 - distância longa/normal
7 - distância longa
8 - distância longa/mtlonga
9 - distância mtlonga/longa
10 - distância mtlonga
11...
-1 se o tiro é lento ou -2 se muito lento. Use isso para distinguir alcances aparentemente iguais.</text>
  </threadedComment>
  <threadedComment ref="AD2" dT="2026-06-02T02:22:51.85" personId="{B6012F0E-E5C6-4745-8A5E-4C6462E9C718}" id="{1BF9E232-90EE-4ACD-A1DE-9A6BC5180718}">
    <text>0 - o brawler não tem essa capacidade
1 - consegue manipular pouco e apenas de muito perto e não possui formas rápidas de se aproximar
2 - consegue manipular pouco e apenas de perto e não possui formas rápidas de se aproximar
3 - consegue manipular pouco e apenas de medio alcance e não possui formas rápidas de se aproximar
4 - consegue manipular pouco e apenas de perto mas possui formas de se aproximar
5 - o brawler consegue fazer de longas distancias mas manipula pouco
6 - o brawler consegue manipular muito a posição e de médias distâncias
7 - o brawler consegue manipular muito a posição e de longas distâncias
8 - o brawler consegue manipular um pouco a posição mas ignorando muros
9 - o brawler consegue manipular muito a posição e ignorando obstaculos a médio alcance
10 - o brawler consegue manipular muito a posição e ignorando obstáculos e objetos a longo alcance</text>
  </threadedComment>
  <threadedComment ref="AE2" dT="2026-06-02T02:23:23.46" personId="{B6012F0E-E5C6-4745-8A5E-4C6462E9C718}" id="{958A17A6-B188-40E4-B9D3-4AAD821C54D4}">
    <text>0 - absoluta incompetência
7 - altamente competente</text>
  </threadedComment>
  <threadedComment ref="AF2" dT="2026-06-02T02:23:42.82" personId="{B6012F0E-E5C6-4745-8A5E-4C6462E9C718}" id="{97E2212D-593E-40AB-B5E1-260C71E993D2}">
    <text>0 - impossivel causar dano
1 - causa dano irrisório
2 - causa dano circunstancial
3 - causa dano ocasionalmente
4 - causa dano mortal as vezes
5 - causa dano mortal quase normalmente
6 - capaz de atacar o inimigo normalmente
7 - causa dano normalmente + anda na água tmb
8 - causa dano levemente superior
9 - causa dano muito maior a inimigos na água
10 - causa dano absurdamente maior
11...</text>
  </threadedComment>
  <threadedComment ref="AG2" dT="2026-06-02T02:25:21.34" personId="{B6012F0E-E5C6-4745-8A5E-4C6462E9C718}" id="{26737FDB-A916-4BF4-A9A9-7CF6CCFD8068}">
    <text>0 - não quebra muros
1 - 1/35min
2 - 1/30s
3 - 1/25s
4 - 1/20s
5 - 1/15s
6 - 1/12s
7 - 1/9s
8 - 1/6s
9 - 1/3s
10 - 1/1s
11...
-1 se a destruição é pouco controlável
-2 se a destruição é quase incontrolável ou se o brawler não deveria gastar os recursos dele focando nessa destruição</text>
  </threadedComment>
  <threadedComment ref="AH2" dT="2026-06-02T02:25:58.83" personId="{B6012F0E-E5C6-4745-8A5E-4C6462E9C718}" id="{CDB81A4B-4E66-4983-81EF-AA6985855C34}">
    <text>0 - não quebra moitas
1 - 1/25min
2 - 1/16s
3 - 1/12s
4 - 1/10s
5 - 1/8s
6 - 1/6s
7 - 1/4s
8 - 1/3s
9 - 1/2s
10 - 1/1s
11...
-1 se a destruição é pouco controlável
-2 se a destruição é quase incontrolável ou se o brawler não deveria gastar os recursos dele focando nessa destruição</text>
  </threadedComment>
  <threadedComment ref="AI2" dT="2026-06-02T02:26:57.22" personId="{B6012F0E-E5C6-4745-8A5E-4C6462E9C718}" id="{CBAACDD2-4100-434A-9CED-A16BFC4392AD}">
    <text>0 - não constroi cover
1 - 1/25min
2 - 1/16s
3 - 1/12s
4 - 1/10s
5 - 1/8s
6 - 1/6s
7 - 1/4s
8 - 1/3s
9 - 1/2s
10 - 1/1s
11...
-1 se a construção é pouco controlável
-2 se a construção é quase incontrolável ou se o brawler não deveria gastar os recursos dele focando nessa construção</text>
  </threadedComment>
  <threadedComment ref="AJ2" dT="2026-06-02T02:28:11.44" personId="{B6012F0E-E5C6-4745-8A5E-4C6462E9C718}" id="{BA151CE8-C11F-4E9B-BE92-9A8C03B72140}">
    <text>1 - muito lento
2 - muito lento/lento
3 - lento
4 - lento/normal
5 - normal
6 - normal/rapido
7 - rapido
8 - rapido/muito rapido
9 - muito rapido
10 - suporter de velocidade
11...
-1 se a hitbox do brawler é do modelo maior</text>
  </threadedComment>
  <threadedComment ref="AK2" dT="2026-06-02T02:29:03.92" personId="{B6012F0E-E5C6-4745-8A5E-4C6462E9C718}" id="{3AA4F353-4653-42B4-AC30-2E21F99420F4}">
    <text>1 - ataque lento e ineficaz
2 - ataque ineficaz
3 - ataque poderoso, mas super lento
4 - ataque poderoso, mas lento
5 - ataque poderoso e rápido, mas facilmente contornável sem sequelas
6 - ataque poderoso, mas contornavel/counterável facilmente
7 - ataque poderoso. Contornavel apenas se não estiver vulnerável
8 - mesmo counters tem dificuldade em prever/reagir ao ataque antes de levar um bom dano
9 - mesmo counters recebem muito dano antes de conseguirem reagir
10 - counterar um ataque bem planejado é quase impossível para qualquer brawler
+1 se aplica velocidade após o ataque
-1 se alcance é normal/longo
-2 se o alcance é curto/normal
-3 se o alcance é muito curto/curto</text>
  </threadedComment>
  <threadedComment ref="AL2" dT="2026-06-02T02:29:37.61" personId="{B6012F0E-E5C6-4745-8A5E-4C6462E9C718}" id="{D911A897-E4A7-4055-B9D9-E6917E60CFCB}">
    <text>*fórmula pronta, utiliza stun como força adicional</text>
  </threadedComment>
  <threadedComment ref="AM2" dT="2026-06-02T02:31:13.55" personId="{B6012F0E-E5C6-4745-8A5E-4C6462E9C718}" id="{60C799CD-F376-48E6-ACF5-25A0CD5A89F7}">
    <text>1 - 1/1min
2 - 1/50s
3 - 1/40s
4 - 1/30s
5 - 1/22s
6 - 1/15s
7 - 1/10s
8 - 1/7s
9 - 1/5s
10 - 1/3s
11...</text>
  </threadedComment>
  <threadedComment ref="AN2" dT="2026-06-02T02:31:34.22" personId="{B6012F0E-E5C6-4745-8A5E-4C6462E9C718}" id="{EAD1A554-D345-4E2F-9BD4-01C72E98EEAC}">
    <text>1 - nunca acumula mais de 1
2 - raramente acumula mais de 1
3 - ocasionalmente acumula mais de 1
4 - frequentemente acumula ao menos 2
5 - raramente acumula mais de 2
6 - ocasionalmente acumula mais de 2
7 - frequentemente acumula ao menos 3
8 - ocasionalmente acumula mais de 3
9 - frequentemente acumula mais de 4
10 - frequentemente acumula mais de 5
11...</text>
  </threadedComment>
  <threadedComment ref="AO2" dT="2026-06-02T02:32:38.53" personId="{B6012F0E-E5C6-4745-8A5E-4C6462E9C718}" id="{C07D3678-AF36-4690-9834-00A8A37AD8CE}">
    <text>0 - A vida do(s) pet(s) não se deteriora sozinha com o tempo
1 - A vida do(s) pet(s) é deteriorável</text>
  </threadedComment>
  <threadedComment ref="AP2" dT="2026-06-02T02:33:31.06" personId="{B6012F0E-E5C6-4745-8A5E-4C6462E9C718}" id="{929C05D1-4546-4AF7-9CBE-18395EA4DBD1}">
    <text>1 - menos de 2000
2 - entre 2000 e 3000
3 - entre 3000 e 4000
4 - entre 4000 e 5000
5 - entre 5000 e 6000
6 - entre 6000 e 7000
7 - entre 7000 e 8000
8 - entre 8000 e 9000
9 - entre 9000 e 10000
10 - entre 10000 e 11000
11...</text>
  </threadedComment>
  <threadedComment ref="AQ2" dT="2026-06-02T02:33:49.93" personId="{B6012F0E-E5C6-4745-8A5E-4C6462E9C718}" id="{7A2BEFB3-497A-45E9-80B7-28E71704F251}">
    <text>0 - dano médio menor de 500
1 - dano médio 500-800
2 - dano médio 800-1100
3 - dano médio 1100-1400
4 - dano médio 1400-1700
5 - dano médio 1700-2000
6 - dano médio 2000-2300
7 - dano médio 2300-2600
8 - dano médio 2900-3200
9 - dano médio 3200-3500
10 - dano médio 3500-3800
11...</text>
  </threadedComment>
  <threadedComment ref="AR2" dT="2026-06-02T02:34:34.37" personId="{B6012F0E-E5C6-4745-8A5E-4C6462E9C718}" id="{93338258-4B25-45AE-919A-B9D739346AE4}">
    <text>1 - distância curta
2 - distância curta/normal
3 - distância normal/curta
4 - distância normal
5 - distância normal/longa
6 - distância longa/normal
7 - distância longa
8 - distância longa/mtlonga
9 - distância mtlonga/longa
10 - distância mtlonga
11...
-1 se o tiro é lento ou -2 se muito lento. Use isso para distinguir alcances aparentemente iguais.</text>
  </threadedComment>
  <threadedComment ref="AS2" dT="2026-06-02T02:34:54.40" personId="{B6012F0E-E5C6-4745-8A5E-4C6462E9C718}" id="{9B8BB204-FE83-40C5-A25F-2F3B1627A8A4}">
    <text>1 - muito lento
2 - muito lento/lento
3 - lento/normal
4 - lento
5 - lento/normal
6 - normal/lento
7 - normal
8 - normal/rapido
9 - rapido
10 - MUITO rapido
11...</text>
  </threadedComment>
  <threadedComment ref="AT2" dT="2026-06-02T02:39:21.86" personId="{B6012F0E-E5C6-4745-8A5E-4C6462E9C718}" id="{67E064FB-BEA3-4956-B351-92BFF39A3083}">
    <text>0 - O dono não fica próximo ao pet em quase nenhum momento
2,5 - O dono fica próximo ao pet as vezes, mas raramente por muito tempo
5 - O dono fica próximo ao pet com alguma frequência, mas não é regra de usabilidade
7,5 - O dono fica próximo ao pet na maior parte do tempo, sendo grande parte da sua estratégia principal para avançar contra inimigos
10 - O dono fica próximo ao pet em quase todos os momentos. A exceção para esta regra resulta em inutilidade do pet na maior parte das vezes.</text>
  </threadedComment>
  <threadedComment ref="AU2" dT="2026-06-02T02:40:30.30" personId="{B6012F0E-E5C6-4745-8A5E-4C6462E9C718}" id="{8D09C463-7F6C-479A-8BD5-6602B75D9A2C}">
    <text>0 - não é o caso para esse brawler
1 - chance levemente maior de causar dano ao todo
2 - chance relativamente maior de causar dano ao todo
3 - chance muito maior de causar mais dano ao todo
4 - atinge multiplos inimigos com a super
5 - atinge facilmente multiplos inimigos com a super
6 - atinge multiplos inimigos com o ataque principal
7 - atinge facilmente multiplos inimigos com o ataque
8 - causa mais dano por projétil
9 - causa mais do dobro de dano por projétil
10 - causa mais que o triplo do dano por projétil
11...</text>
  </threadedComment>
  <threadedComment ref="AV2" dT="2026-06-02T02:42:26.97" personId="{B6012F0E-E5C6-4745-8A5E-4C6462E9C718}" id="{30F81B1F-29CB-4CEE-BE6C-67DFA94B0851}">
    <text>(precisão + Área + duração + frequência)/4
Precisão:
3 - perseguição de pets
6 - precisão em posição fixa arremessavel
10 - precisão absoluta
Area:
1 - diâmetro de 1 brawler
2 - diâmetro de 2 brawler
3 - diâmetro de 3 brawler
4 - diâmetro de 4 brawler
5 - diâmetro de 5 brawler
6 - diâmetro de 6 brawler
7 - diâmetro de 7 brawler
8 - diâmetro de 8 brawler9 - diâmetro de 9 brawler
10 - diâmetro de 10 brawler
11...
Duração:
1 - 3s
2 - 6s
3 - 9s
4 - 12s
5 - 15s
6 - 18s
7 - 21s
8 - 24s
9 - 27s
10 - infinito
11...
Frequência:
1 - 1/1min
2 - 1/50s
3 - 1/40s
4 - 1/30s
5 - 1/22s
6 - 1/15s
7 - 1/10s
8 - 1/7s
9 - 1/5s
10 - 1/3s
11...</text>
  </threadedComment>
  <threadedComment ref="AW2" dT="2026-06-02T02:50:25.74" personId="{B6012F0E-E5C6-4745-8A5E-4C6462E9C718}" id="{801434C3-7C5F-4FAE-A9D3-6443DA412149}">
    <text>0 - As informações do brawler/complemento não dependem de nenhuma forma da formação de inimigos ou terreno para que façam sentido
2,5 - As informações do brawler/complemento podem depender um pouco de formas de uso
5 - As informações do brawler/complemento podem depender um pouco de características de terreno, como presença de moitas/agua e/ou de formas de uso
7,5 - as informações dependem bastante de características externas como formas de uso, terreno e inimigos. A verificação humana é essencial para garantir que o brawler realmente seja bom.
10 - As informações dependem demais de fatores externos para funcionarem de forma adequada. Detalhes desses fatores devem ser destacados para o usuário.</text>
  </threadedComment>
  <threadedComment ref="AY2" dT="2026-06-02T02:56:43.63" personId="{B6012F0E-E5C6-4745-8A5E-4C6462E9C718}" id="{D4E71A50-64C1-4567-8789-2C1E288E8B33}">
    <text>(frequência + potência + velocidade) / 3
Frequência:
1 - 1/1min
2 - 1/50s
3 - 1/40s
4 - 1/30s
5 - 1/22s
6 - 1/15s
7 - 1/10s
8 - 1/7s
9 - 1/5s
10 - 1/3s
11...
Potência do hp:
1 - 1-500
2 - 500-1000
3 - 1000-1500
4 - 1500 - 2000
5 - 2000 - 2500
6 - 2500 - 3000
7 - 3000 - 3500
8 - 3500 - 4000
9 - 4000 - 4500
10 - 4500 - 5000
Velocidade da cura
3 - Lenta e parcelada
6 - Lenta ou muito circunstancial
9 - Instantânea e pouco circunstancial</text>
  </threadedComment>
  <threadedComment ref="AZ2" dT="2026-06-02T02:57:40.08" personId="{B6012F0E-E5C6-4745-8A5E-4C6462E9C718}" id="{03ABB2A5-08F3-4896-AEAD-24E00D7A14FE}">
    <text>(duração + potência) / 2 
potência:
1 - até 10%
2 - até 20%
3 - até 30%
4 - até 40%
5 - até 50%
6 - até 60%
7 - até 70%
8 - até 80%
9 - até 90%
10 - até 100%
duração
1 - 1s
2 - 2s
3 - 3s
4 - 4s
5 - 5s
6 - 6s
7 - 7s
8 - 8s
9 - 9s
10 - 10s</text>
  </threadedComment>
  <threadedComment ref="BA2" dT="2026-06-02T03:00:04.34" personId="{B6012F0E-E5C6-4745-8A5E-4C6462E9C718}" id="{0A72C888-5BC5-4E7B-BD8F-F41F5D9DA4D3}">
    <text>(frequência + potência) / 2 
Frequência:
1 - 1/1min
2 - 1/50s
3 - 1/40s
4 - 1/30s
5 - 1/22s
6 - 1/15s
7 - 1/10s
8 - 1/7s
9 - 1/5s
10 - 1/3s
11...
Potência do escudo:
1 - 1-500
2 - 500-1000
3 - 1000-1500
4 - 1500 - 2000
5 - 2000 - 2500
6 - 2500 - 3000
7 - 3000 - 3500
8 - 3500 - 4000
9 - 4000 - 4500
10 - 4500 - 5000</text>
  </threadedComment>
  <threadedComment ref="BB2" dT="2026-06-02T03:02:46.74" personId="{B6012F0E-E5C6-4745-8A5E-4C6462E9C718}" id="{2D00D098-998F-4FC6-ADD1-D2EB4DED77DF}">
    <text>(frequência + potência + duração)/3
0 - não tem essa capacidade
Frequência:
1 - 1/1min
2 - 1/50s
3 - 1/40s
4 - 1/30s
5 - 1/22s
6 - 1/15s
7 - 1/10s
8 - 1/7s
9 - 1/5s
10 - 1/3s
11...
Potência do aumento de dano:
1 - até 5%
2 - até 10%
3 - até 15%
4 - até 20%
5 - até 25%
6 - até 30%
7 - até 35%
8 - até 40%
9 - até 45%
10 - até 50%
11...
duração
1 - 1s
2 - 2s
3 - 3s
4 - 4s
5 - 5s
6 - 6s
7 - 7s
8 - 8s
9 - 9s
10 - 10s
11...</text>
  </threadedComment>
  <threadedComment ref="BC2" dT="2026-06-02T03:03:24.08" personId="{B6012F0E-E5C6-4745-8A5E-4C6462E9C718}" id="{C4AFD06C-2B21-4658-ADD6-C40F2F98AFF4}">
    <text>(duração + potência) / 2 
potência:
1 - até 8%
2 - até 16%
3 - até 24%
4 - até 32%
5 - até 40%
6 - até 48%
7 - até 56%
8 - até 64%
9 - até 72%
10 - até 80%
11...
duração
1 - 1s
2 - 2s
3 - 3s
4 - 4s
5 - 5s
6 - 6s
7 - 7s
8 - 8s
9 - 9s
10 - 10s</text>
  </threadedComment>
  <threadedComment ref="BD2" dT="2026-06-02T03:06:12.21" personId="{B6012F0E-E5C6-4745-8A5E-4C6462E9C718}" id="{FFB6021E-908B-4AF0-A5FE-8D831941F692}">
    <text>(frequencia + duração) / 2 
Frequência
1 - 1/1min
2 - 1/50s
3 - 1/40s
4 - 1/30s
5 - 1/22s
6 - 1/15s
7 - 1/10s
8 - 1/7s
9 - 1/5s
10 - 1/3s
11...
Duração:
1 - 1s
2 - 2s
3 - 3s
4 - 4s
5 - 5s
6 - 6s
7 - 7s
8 - 8s
9 - 9s
10 - 10s
11...</text>
  </threadedComment>
  <threadedComment ref="BE2" dT="2026-06-02T03:20:06.88" personId="{B6012F0E-E5C6-4745-8A5E-4C6462E9C718}" id="{2722AC9D-5AE4-4544-BF1F-4131218A2E78}">
    <text>(frequência + duração + área) / 3
0 - não tem essa capacidade
Frequência:
1 - 1/1min
2 - 1/50s
3 - 1/40s
4 - 1/30s
5 - 1/22s
6 - 1/15s
7 - 1/10s
8 - 1/7s
9 - 1/5s
10 - 1/3s
11...
duração
1 - 1s
2 - 2s
3 - 3s
4 - 4s
5 - 5s
6 - 6s
7 - 7s
8 - 8s
9 - 9s
10 - 10s
11...
Area:
1 - diâmetro de 1 brawler
2 - diâmetro de 2 brawler
3 - diâmetro de 3 brawler
4 - diâmetro de 4 brawler
5 - diâmetro de 5 brawler
6 - diâmetro de 6 brawler
7 - diâmetro de 7 brawler
8 - diâmetro de 8 brawler9 - diâmetro de 9 brawler
10 - diâmetro de 10 brawler
11...</text>
  </threadedComment>
  <threadedComment ref="BG2" dT="2026-06-02T03:22:47.43" personId="{B6012F0E-E5C6-4745-8A5E-4C6462E9C718}" id="{F93D3B84-2D38-4D9F-846D-8AA8E5FF8F59}">
    <text>0 - não aplica veneno
1 - duração de 1 hit
2 - duração de 2 hit
3 - duração de 3 hit
4 - duração de 4 hit
5 - duração de 5 hit
6 - duração de 6 hit
7 - duração de 7 hit
8 - duração de 8 hit
9 - duração de 9 hit
10 - duração de 10 hit
11...
/1 se proveniente do ataque principal
/2 se proveniente da super
/3 se proveniente de algo ainda mais ocasional</text>
  </threadedComment>
  <threadedComment ref="BH2" dT="2026-06-02T03:23:18.23" personId="{B6012F0E-E5C6-4745-8A5E-4C6462E9C718}" id="{D696D9FB-742D-476E-B67D-72CC16F3C891}">
    <text>(poder-cancelamento + frequência) / 2
poder cancelamento
1 - até 11%
2 - até 22%
3 - até 33%
4 - até 44%
5 - até 55%
6 - até 66%
7 - até 77%
8 - até 88%
9 - até 99%
10 - limpeza completa
Frequência:
1 - 1/1min
2 - 1/50s
3 - 1/40s
4 - 1/30s
5 - 1/22s
6 - 1/15s
7 - 1/10s
8 - 1/7s
9 - 1/5s
10 - 1/3s
11...</text>
  </threadedComment>
  <threadedComment ref="BI2" dT="2026-06-02T03:24:11.83" personId="{B6012F0E-E5C6-4745-8A5E-4C6462E9C718}" id="{2218D972-22C3-46DC-8F32-B131A4581A8F}">
    <text>1 - stun até 0.1s
2 - stun até 0.35s
3 - stun até 0.6s
4 - stun até 0.85s
5 - stun até 1.1s
6 - stun até 1.35s
7 - stun até 1.6s
8 - stun até 1.85s
9 - stun até 2.1s
10 - stun até 2.5s
11...</text>
  </threadedComment>
  <threadedComment ref="BJ2" dT="2026-06-02T03:24:39.33" personId="{B6012F0E-E5C6-4745-8A5E-4C6462E9C718}" id="{737CEDAB-B2CD-4139-9671-5187FD73764B}">
    <text>(poder-cancelamento + frequência) / 2
poder cancelamento
1 - até 11%
2 - até 22%
3 - até 33%
4 - até 44%
5 - até 55%
6 - até 66%
7 - até 77%
8 - até 88%
9 - até 99%
10 - limpeza completa
Frequência:
1 - 1/1min
2 - 1/50s
3 - 1/40s
4 - 1/30s
5 - 1/22s
6 - 1/15s
7 - 1/10s
8 - 1/7s
9 - 1/5s
10 - 1/3s
11...</text>
  </threadedComment>
  <threadedComment ref="BK2" dT="2026-06-02T03:31:43.31" personId="{B6012F0E-E5C6-4745-8A5E-4C6462E9C718}" id="{A8BD1EB7-77F4-4507-A61B-65D48811D538}">
    <text>(frequência + potência + duração)/3
0 - não tem essa capacidade
Frequência:
1 - 1/1min
2 - 1/50s
3 - 1/40s
4 - 1/30s
5 - 1/22s
6 - 1/15s
7 - 1/10s
8 - 1/7s
9 - 1/5s
10 - 1/3s
11...
Potência da lentidão:
1 - até 5%
2 - até 10%
3 - até 15%
4 - até 20%
5 - até 25%
6 - até 30%
7 - até 35%
8 - até 40%
9 - até 45%
10 - até 50%
11...
duração
1 - 0.5s
2 - 1s
3 - 1.5s
4 - 2s
5 - 2.5s
6 - 3s
7 - 3.5s
8 - 4s
9 - 4.5s
10 - 5s
11...</text>
  </threadedComment>
  <threadedComment ref="BL2" dT="2026-06-02T03:32:49.52" personId="{B6012F0E-E5C6-4745-8A5E-4C6462E9C718}" id="{F459013C-3D4A-46A9-9DE3-1342510CCC8F}">
    <text>(poder-cancelamento + frequência) / 2
poder cancelamento
1 - até 11%
2 - até 22%
3 - até 33%
4 - até 44%
5 - até 55%
6 - até 66%
7 - até 77%
8 - até 88%
9 - até 99%
10 - limpeza completa
Frequência:
1 - 1/1min
2 - 1/50s
3 - 1/40s
4 - 1/30s
5 - 1/22s
6 - 1/15s
7 - 1/10s
8 - 1/7s
9 - 1/5s
10 - 1/3s
11...</text>
  </threadedComment>
  <threadedComment ref="BM2" dT="2026-06-02T03:33:10.36" personId="{B6012F0E-E5C6-4745-8A5E-4C6462E9C718}" id="{1415665B-CF36-4EBE-B8ED-21DF2F447D7A}">
    <text>0 - o brawler não tem essa capacidade
1 - pouco e apenas de muito perto e não possui formas rápidas de se aproximar
2 - pouco e apenas de perto e não possui formas rápidas de se aproximar
3 - pouco e apenas de medio alcance e não possui formas rápidas de se aproximar
4 - pouco e apenas de perto mas possui formas de se aproximar
5 - pouco e apenas de perto mas possui formas de se aproximar rapidamente
6 - de médias/longas distâncias
7 - longas distâncias
8 - ignorando muros
9 - ignorando obstaculos a médio/longo alcance
10 - ignorando obstáculos e objetos a longo alcance
11...</text>
  </threadedComment>
  <threadedComment ref="BN2" dT="2026-06-02T03:33:36.55" personId="{B6012F0E-E5C6-4745-8A5E-4C6462E9C718}" id="{9C705216-6304-4185-94E5-E7B954736E6B}">
    <text>Se o seu brawler não é especialmente afetado, assinale altamente competente (7). Caso seja (um frank por exemplo é muito afetado), tente medir o quão fácil é para o inimigo cancelar um ataque forte seu e te prejudicar.
6 - afetado levemente por demora até finalização do tiro
5 - afetado levemente numa situação específica
4 - afetado consideravelmente no super
3 - afetado consideravelmente no ataque principal
2 - afetado consideravelmente no super e ataque
-1 se dá mais de 1 segundo de tempo de reação na super
-2 se dá mais de 1 segundo de tempo de reação no ataque principal</text>
  </threadedComment>
</ThreadedComments>
</file>

<file path=xl/threadedComments/threadedComment5.xml><?xml version="1.0" encoding="utf-8"?>
<ThreadedComments xmlns="http://schemas.microsoft.com/office/spreadsheetml/2018/threadedcomments" xmlns:x="http://schemas.openxmlformats.org/spreadsheetml/2006/main">
  <threadedComment ref="X2" dT="2026-06-02T02:10:48.30" personId="{B6012F0E-E5C6-4745-8A5E-4C6462E9C718}" id="{AB2E1642-3A0B-4A20-9C8F-8F78ED56A9F3}">
    <text>(Durabilidade_total / 1400) + (auto_heal_buffing / 3,5)</text>
  </threadedComment>
  <threadedComment ref="Y2" dT="2026-06-02T02:14:20.43" personId="{B6012F0E-E5C6-4745-8A5E-4C6462E9C718}" id="{22FA8EAB-0BF0-4C88-B452-DEB573D78B5F}">
    <text>0 - Não ataca eu achokkk
1 - distância curta
2 - distância curta/normal
3 - distância normal/curta
4 - distância normal
5 - distância normal/longa
6 - distância longa/normal
7 - distância longa
8 - distância longa/mtlonga
9 - distância mtlonga/longa
10 - distância mtlonga
11...
-1 se o tiro é lento ou -2 se muito lento. Use isso para distinguir alcances aparentemente iguais.</text>
  </threadedComment>
  <threadedComment ref="Z2" dT="2026-06-02T02:17:02.99" personId="{B6012F0E-E5C6-4745-8A5E-4C6462E9C718}" id="{79E19527-57B0-487C-A21E-249B5DBB6E8A}">
    <text>(frequencia + potência + versatilidade)/3
frequência:
1 - 1 min
2 - 45s
3 - 35s
4 - 30s
5 - 25s
6 - 20s
7 - 15s
8 - 10s
9 - 5s
10 - menos de 5s
11...
potência do uso:
1 - distância curta
2 - distância curta/normal
3 - distância normal/curta
4 - distância normal
5 - distância normal/longa
6 - distância longa/normal
7 - distância longa
8 - distância longa/mtlonga
9 - distância mtlonga/longa
10 - distância mtlonga
11...
versatilidade:
1 - invulnerável, mas parado e vulnerável ao voltar
2 - invulnerável, mas parado ao voltar
3 - afasta inimigos um pouco
4 - afasta medio inimigos
5 - fuga lenta sem escolher direção ou circunstancial
6 - fuga lenta escolhendo direção quase livremente
7 - fuga lenta escolhendo direção livremente
8 - fuga rápida quase sem escolher direção
9 - fuga rápida escolhendo direção quase livremente
10 - fuga rápida escolhendo direção livremente
11...</text>
  </threadedComment>
  <threadedComment ref="AA2" dT="2026-06-02T02:18:20.46" personId="{B6012F0E-E5C6-4745-8A5E-4C6462E9C718}" id="{45883069-573A-4134-B980-C600E8FADE1C}">
    <text>0 - projétil único
1 - projétil único perfurante
2 - linha fina multiplos projéteis
3 - tiro em forma de cone pequeno (25° +ou-)
4 - tiro em forma retangular medio (1 brawler de largura)
5 - tiro em forma de cone médio (50° +ou-)
6 - tiro em forma retangular grande (1-2 brawler de largura)
7 - tiro em forma de cone grande (75° +ou-)
8 - tiro com amplitude maior (até 100° +ou-)
9 - tiro em todas as direções
10 - tiro frequente em todas as direções
11...</text>
  </threadedComment>
  <threadedComment ref="AB2" dT="2026-06-02T02:19:10.84" personId="{B6012F0E-E5C6-4745-8A5E-4C6462E9C718}" id="{904F2E48-9C89-4E76-8CBB-21E7B90B453F}">
    <text>0 - mais de 1/30s
1 - 1/30s
2 - 1/20s
3 - 1/15s
4 - 1/10s
5 - 1/5s
6 - ataque básico frequente
7 - ataque básico e super frequente</text>
  </threadedComment>
  <threadedComment ref="AC2" dT="2026-06-02T02:22:12.72" personId="{B6012F0E-E5C6-4745-8A5E-4C6462E9C718}" id="{E1963810-71A3-47FD-B892-525AC5EF68DA}">
    <text>(duração + área + efeito + distância-arremesso)/4
Efeito:
3 - efeito ignorável muitas vezes
6 - efeito ignorável raramente
9 - efeito quase nunca ignoravel
Area:
1 - diâmetro de 1 brawler
2 - diâmetro de 2 brawler
3 - diâmetro de 3 brawler
4 - diâmetro de 4 brawler
5 - diâmetro de 5 brawler
6 - diâmetro de 6 brawler
7 - diâmetro de 7 brawler
8 - diâmetro de 8 brawler9 - diâmetro de 9 brawler
10 - diâmetro de 10 brawler
11...
Duração:
1 - 1s
2 - 2s
3 - 3s
4 - 4s
5 - 5s
6 - 6s
7 - 7s
8 - 8s
9 - 9s
10 - 10s
11...
Distância arremesso
0 - Não ataca eu achokkk
1 - distância curta
2 - distância curta/normal
3 - distância normal/curta
4 - distância normal
5 - distância normal/longa
6 - distância longa/normal
7 - distância longa
8 - distância longa/mtlonga
9 - distância mtlonga/longa
10 - distância mtlonga
11...
-1 se o tiro é lento ou -2 se muito lento. Use isso para distinguir alcances aparentemente iguais.</text>
  </threadedComment>
  <threadedComment ref="AD2" dT="2026-06-02T02:22:51.85" personId="{B6012F0E-E5C6-4745-8A5E-4C6462E9C718}" id="{F6B31E50-32CD-4A00-9E3B-7B149A212FBE}">
    <text>0 - o brawler não tem essa capacidade
1 - consegue manipular pouco e apenas de muito perto e não possui formas rápidas de se aproximar
2 - consegue manipular pouco e apenas de perto e não possui formas rápidas de se aproximar
3 - consegue manipular pouco e apenas de medio alcance e não possui formas rápidas de se aproximar
4 - consegue manipular pouco e apenas de perto mas possui formas de se aproximar
5 - o brawler consegue fazer de longas distancias mas manipula pouco
6 - o brawler consegue manipular muito a posição e de médias distâncias
7 - o brawler consegue manipular muito a posição e de longas distâncias
8 - o brawler consegue manipular um pouco a posição mas ignorando muros
9 - o brawler consegue manipular muito a posição e ignorando obstaculos a médio alcance
10 - o brawler consegue manipular muito a posição e ignorando obstáculos e objetos a longo alcance</text>
  </threadedComment>
  <threadedComment ref="AE2" dT="2026-06-02T02:23:23.46" personId="{B6012F0E-E5C6-4745-8A5E-4C6462E9C718}" id="{B6004CD2-AA61-4F06-8C4E-CD3974403BAD}">
    <text>0 - absoluta incompetência
7 - altamente competente</text>
  </threadedComment>
  <threadedComment ref="AF2" dT="2026-06-02T02:23:42.82" personId="{B6012F0E-E5C6-4745-8A5E-4C6462E9C718}" id="{6D49238B-CA81-4C4F-8A45-E48379EE32BC}">
    <text>0 - impossivel causar dano
1 - causa dano irrisório
2 - causa dano circunstancial
3 - causa dano ocasionalmente
4 - causa dano mortal as vezes
5 - causa dano mortal quase normalmente
6 - capaz de atacar o inimigo normalmente
7 - causa dano normalmente + anda na água tmb
8 - causa dano levemente superior
9 - causa dano muito maior a inimigos na água
10 - causa dano absurdamente maior
11...</text>
  </threadedComment>
  <threadedComment ref="AG2" dT="2026-06-02T02:25:21.34" personId="{B6012F0E-E5C6-4745-8A5E-4C6462E9C718}" id="{163E51A4-E6AC-4389-BB5F-D719ABD9C0EA}">
    <text>0 - não quebra muros
1 - 1/35min
2 - 1/30s
3 - 1/25s
4 - 1/20s
5 - 1/15s
6 - 1/12s
7 - 1/9s
8 - 1/6s
9 - 1/3s
10 - 1/1s
11...
-1 se a destruição é pouco controlável
-2 se a destruição é quase incontrolável ou se o brawler não deveria gastar os recursos dele focando nessa destruição</text>
  </threadedComment>
  <threadedComment ref="AH2" dT="2026-06-02T02:25:58.83" personId="{B6012F0E-E5C6-4745-8A5E-4C6462E9C718}" id="{27FBB4B4-F0DD-4002-AB14-5A232E48BF99}">
    <text>0 - não quebra moitas
1 - 1/25min
2 - 1/16s
3 - 1/12s
4 - 1/10s
5 - 1/8s
6 - 1/6s
7 - 1/4s
8 - 1/3s
9 - 1/2s
10 - 1/1s
11...
-1 se a destruição é pouco controlável
-2 se a destruição é quase incontrolável ou se o brawler não deveria gastar os recursos dele focando nessa destruição</text>
  </threadedComment>
  <threadedComment ref="AI2" dT="2026-06-02T02:26:57.22" personId="{B6012F0E-E5C6-4745-8A5E-4C6462E9C718}" id="{EA90FEFE-F494-491C-A798-D7DB2A95B8ED}">
    <text>0 - não constroi cover
1 - 1/25min
2 - 1/16s
3 - 1/12s
4 - 1/10s
5 - 1/8s
6 - 1/6s
7 - 1/4s
8 - 1/3s
9 - 1/2s
10 - 1/1s
11...
-1 se a construção é pouco controlável
-2 se a construção é quase incontrolável ou se o brawler não deveria gastar os recursos dele focando nessa construção</text>
  </threadedComment>
  <threadedComment ref="AJ2" dT="2026-06-02T02:28:11.44" personId="{B6012F0E-E5C6-4745-8A5E-4C6462E9C718}" id="{C0360099-1A78-4D2E-8BC3-F6CBE7B3E44C}">
    <text>1 - muito lento
2 - muito lento/lento
3 - lento
4 - lento/normal
5 - normal
6 - normal/rapido
7 - rapido
8 - rapido/muito rapido
9 - muito rapido
10 - suporter de velocidade
11...
-1 se a hitbox do brawler é do modelo maior</text>
  </threadedComment>
  <threadedComment ref="AK2" dT="2026-06-02T02:29:03.92" personId="{B6012F0E-E5C6-4745-8A5E-4C6462E9C718}" id="{C9104942-D7C6-4867-9796-2636A7F7E38B}">
    <text>1 - ataque lento e ineficaz
2 - ataque ineficaz
3 - ataque poderoso, mas super lento
4 - ataque poderoso, mas lento
5 - ataque poderoso e rápido, mas facilmente contornável sem sequelas
6 - ataque poderoso, mas contornavel/counterável facilmente
7 - ataque poderoso. Contornavel apenas se não estiver vulnerável
8 - mesmo counters tem dificuldade em prever/reagir ao ataque antes de levar um bom dano
9 - mesmo counters recebem muito dano antes de conseguirem reagir
10 - counterar um ataque bem planejado é quase impossível para qualquer brawler
+1 se aplica velocidade após o ataque
-1 se alcance é normal/longo
-2 se o alcance é curto/normal
-3 se o alcance é muito curto/curto</text>
  </threadedComment>
  <threadedComment ref="AL2" dT="2026-06-02T02:29:37.61" personId="{B6012F0E-E5C6-4745-8A5E-4C6462E9C718}" id="{3CB3A5D1-A9C2-4290-854C-57657A943496}">
    <text>*fórmula pronta, utiliza stun como força adicional</text>
  </threadedComment>
  <threadedComment ref="AM2" dT="2026-06-02T02:31:13.55" personId="{B6012F0E-E5C6-4745-8A5E-4C6462E9C718}" id="{AFED3B60-0087-487E-B9EC-1FD794AEC1B9}">
    <text>1 - 1/1min
2 - 1/50s
3 - 1/40s
4 - 1/30s
5 - 1/22s
6 - 1/15s
7 - 1/10s
8 - 1/7s
9 - 1/5s
10 - 1/3s
11...</text>
  </threadedComment>
  <threadedComment ref="AN2" dT="2026-06-02T02:31:34.22" personId="{B6012F0E-E5C6-4745-8A5E-4C6462E9C718}" id="{285443DB-4C79-4ACF-89CE-EE7FBDA7EFD0}">
    <text>1 - nunca acumula mais de 1
2 - raramente acumula mais de 1
3 - ocasionalmente acumula mais de 1
4 - frequentemente acumula ao menos 2
5 - raramente acumula mais de 2
6 - ocasionalmente acumula mais de 2
7 - frequentemente acumula ao menos 3
8 - ocasionalmente acumula mais de 3
9 - frequentemente acumula mais de 4
10 - frequentemente acumula mais de 5
11...</text>
  </threadedComment>
  <threadedComment ref="AO2" dT="2026-06-02T02:32:38.53" personId="{B6012F0E-E5C6-4745-8A5E-4C6462E9C718}" id="{603975C2-BF30-4A10-A966-9C56490B265C}">
    <text>0 - A vida do(s) pet(s) não se deteriora sozinha com o tempo
1 - A vida do(s) pet(s) é deteriorável</text>
  </threadedComment>
  <threadedComment ref="AP2" dT="2026-06-02T02:33:31.06" personId="{B6012F0E-E5C6-4745-8A5E-4C6462E9C718}" id="{CE024B70-19B2-4B1D-A26B-F7283EE8AA87}">
    <text>1 - menos de 2000
2 - entre 2000 e 3000
3 - entre 3000 e 4000
4 - entre 4000 e 5000
5 - entre 5000 e 6000
6 - entre 6000 e 7000
7 - entre 7000 e 8000
8 - entre 8000 e 9000
9 - entre 9000 e 10000
10 - entre 10000 e 11000
11...</text>
  </threadedComment>
  <threadedComment ref="AQ2" dT="2026-06-02T02:33:49.93" personId="{B6012F0E-E5C6-4745-8A5E-4C6462E9C718}" id="{9CF932BD-C4CC-41A9-A718-831599F5B900}">
    <text>0 - dano médio menor de 500
1 - dano médio 500-800
2 - dano médio 800-1100
3 - dano médio 1100-1400
4 - dano médio 1400-1700
5 - dano médio 1700-2000
6 - dano médio 2000-2300
7 - dano médio 2300-2600
8 - dano médio 2900-3200
9 - dano médio 3200-3500
10 - dano médio 3500-3800
11...</text>
  </threadedComment>
  <threadedComment ref="AR2" dT="2026-06-02T02:34:34.37" personId="{B6012F0E-E5C6-4745-8A5E-4C6462E9C718}" id="{9D4EC3BF-A0F8-4D3E-87E6-DE74795E64F8}">
    <text>1 - distância curta
2 - distância curta/normal
3 - distância normal/curta
4 - distância normal
5 - distância normal/longa
6 - distância longa/normal
7 - distância longa
8 - distância longa/mtlonga
9 - distância mtlonga/longa
10 - distância mtlonga
11...
-1 se o tiro é lento ou -2 se muito lento. Use isso para distinguir alcances aparentemente iguais.</text>
  </threadedComment>
  <threadedComment ref="AS2" dT="2026-06-02T02:34:54.40" personId="{B6012F0E-E5C6-4745-8A5E-4C6462E9C718}" id="{94C41C0B-D8FD-4B06-AD9F-AC9D12922875}">
    <text>1 - muito lento
2 - muito lento/lento
3 - lento/normal
4 - lento
5 - lento/normal
6 - normal/lento
7 - normal
8 - normal/rapido
9 - rapido
10 - MUITO rapido
11...</text>
  </threadedComment>
  <threadedComment ref="AT2" dT="2026-06-02T02:39:21.86" personId="{B6012F0E-E5C6-4745-8A5E-4C6462E9C718}" id="{70B4C29F-E60F-4F49-A58C-A05A15580F7C}">
    <text>0 - O dono não fica próximo ao pet em quase nenhum momento
2,5 - O dono fica próximo ao pet as vezes, mas raramente por muito tempo
5 - O dono fica próximo ao pet com alguma frequência, mas não é regra de usabilidade
7,5 - O dono fica próximo ao pet na maior parte do tempo, sendo grande parte da sua estratégia principal para avançar contra inimigos
10 - O dono fica próximo ao pet em quase todos os momentos. A exceção para esta regra resulta em inutilidade do pet na maior parte das vezes.</text>
  </threadedComment>
  <threadedComment ref="AU2" dT="2026-06-02T02:40:30.30" personId="{B6012F0E-E5C6-4745-8A5E-4C6462E9C718}" id="{99D28CCE-AC3A-47D4-979C-FC92549E6E0D}">
    <text>0 - não é o caso para esse brawler
1 - chance levemente maior de causar dano ao todo
2 - chance relativamente maior de causar dano ao todo
3 - chance muito maior de causar mais dano ao todo
4 - atinge multiplos inimigos com a super
5 - atinge facilmente multiplos inimigos com a super
6 - atinge multiplos inimigos com o ataque principal
7 - atinge facilmente multiplos inimigos com o ataque
8 - causa mais dano por projétil
9 - causa mais do dobro de dano por projétil
10 - causa mais que o triplo do dano por projétil
11...</text>
  </threadedComment>
  <threadedComment ref="AV2" dT="2026-06-02T02:42:26.97" personId="{B6012F0E-E5C6-4745-8A5E-4C6462E9C718}" id="{19DB9608-BF1F-44E6-B98F-FBDEC7FB9184}">
    <text>(precisão + Área + duração + frequência)/4
Precisão:
3 - perseguição de pets
6 - precisão em posição fixa arremessavel
10 - precisão absoluta
Area:
1 - diâmetro de 1 brawler
2 - diâmetro de 2 brawler
3 - diâmetro de 3 brawler
4 - diâmetro de 4 brawler
5 - diâmetro de 5 brawler
6 - diâmetro de 6 brawler
7 - diâmetro de 7 brawler
8 - diâmetro de 8 brawler9 - diâmetro de 9 brawler
10 - diâmetro de 10 brawler
11...
Duração:
1 - 3s
2 - 6s
3 - 9s
4 - 12s
5 - 15s
6 - 18s
7 - 21s
8 - 24s
9 - 27s
10 - infinito
11...
Frequência:
1 - 1/1min
2 - 1/50s
3 - 1/40s
4 - 1/30s
5 - 1/22s
6 - 1/15s
7 - 1/10s
8 - 1/7s
9 - 1/5s
10 - 1/3s
11...</text>
  </threadedComment>
  <threadedComment ref="AW2" dT="2026-06-02T02:50:25.74" personId="{B6012F0E-E5C6-4745-8A5E-4C6462E9C718}" id="{28139002-EB18-4688-A75F-4E348FBCA122}">
    <text>0 - As informações do brawler/complemento não dependem de nenhuma forma da formação de inimigos ou terreno para que façam sentido
2,5 - As informações do brawler/complemento podem depender um pouco de formas de uso
5 - As informações do brawler/complemento podem depender um pouco de características de terreno, como presença de moitas/agua e/ou de formas de uso
7,5 - as informações dependem bastante de características externas como formas de uso, terreno e inimigos. A verificação humana é essencial para garantir que o brawler realmente seja bom.
10 - As informações dependem demais de fatores externos para funcionarem de forma adequada. Detalhes desses fatores devem ser destacados para o usuário.</text>
  </threadedComment>
  <threadedComment ref="AY2" dT="2026-06-02T02:56:43.63" personId="{B6012F0E-E5C6-4745-8A5E-4C6462E9C718}" id="{F96B29DC-8074-4CA4-981A-58980A5A2167}">
    <text>(frequência + potência + velocidade) / 3
Frequência:
1 - 1/1min
2 - 1/50s
3 - 1/40s
4 - 1/30s
5 - 1/22s
6 - 1/15s
7 - 1/10s
8 - 1/7s
9 - 1/5s
10 - 1/3s
11...
Potência do hp:
1 - 1-500
2 - 500-1000
3 - 1000-1500
4 - 1500 - 2000
5 - 2000 - 2500
6 - 2500 - 3000
7 - 3000 - 3500
8 - 3500 - 4000
9 - 4000 - 4500
10 - 4500 - 5000
Velocidade da cura
3 - Lenta e parcelada
6 - Lenta ou muito circunstancial
9 - Instantânea e pouco circunstancial</text>
  </threadedComment>
  <threadedComment ref="AZ2" dT="2026-06-02T02:57:40.08" personId="{B6012F0E-E5C6-4745-8A5E-4C6462E9C718}" id="{B79138B2-46A9-42C9-A462-221D7A4323E8}">
    <text>(duração + potência) / 2 
potência:
1 - até 10%
2 - até 20%
3 - até 30%
4 - até 40%
5 - até 50%
6 - até 60%
7 - até 70%
8 - até 80%
9 - até 90%
10 - até 100%
duração
1 - 1s
2 - 2s
3 - 3s
4 - 4s
5 - 5s
6 - 6s
7 - 7s
8 - 8s
9 - 9s
10 - 10s</text>
  </threadedComment>
  <threadedComment ref="BA2" dT="2026-06-02T03:00:04.34" personId="{B6012F0E-E5C6-4745-8A5E-4C6462E9C718}" id="{D9B76794-382E-4EE2-BB2F-F82CB9EF8191}">
    <text>(frequência + potência) / 2 
Frequência:
1 - 1/1min
2 - 1/50s
3 - 1/40s
4 - 1/30s
5 - 1/22s
6 - 1/15s
7 - 1/10s
8 - 1/7s
9 - 1/5s
10 - 1/3s
11...
Potência do escudo:
1 - 1-500
2 - 500-1000
3 - 1000-1500
4 - 1500 - 2000
5 - 2000 - 2500
6 - 2500 - 3000
7 - 3000 - 3500
8 - 3500 - 4000
9 - 4000 - 4500
10 - 4500 - 5000</text>
  </threadedComment>
  <threadedComment ref="BB2" dT="2026-06-02T03:02:46.74" personId="{B6012F0E-E5C6-4745-8A5E-4C6462E9C718}" id="{72ED817C-B528-4774-B9B8-950D070DDA6D}">
    <text>(frequência + potência + duração)/3
0 - não tem essa capacidade
Frequência:
1 - 1/1min
2 - 1/50s
3 - 1/40s
4 - 1/30s
5 - 1/22s
6 - 1/15s
7 - 1/10s
8 - 1/7s
9 - 1/5s
10 - 1/3s
11...
Potência do aumento de dano:
1 - até 5%
2 - até 10%
3 - até 15%
4 - até 20%
5 - até 25%
6 - até 30%
7 - até 35%
8 - até 40%
9 - até 45%
10 - até 50%
11...
duração
1 - 1s
2 - 2s
3 - 3s
4 - 4s
5 - 5s
6 - 6s
7 - 7s
8 - 8s
9 - 9s
10 - 10s
11...</text>
  </threadedComment>
  <threadedComment ref="BC2" dT="2026-06-02T03:03:24.08" personId="{B6012F0E-E5C6-4745-8A5E-4C6462E9C718}" id="{2BC0CC20-D5E3-4D43-BFD0-752239273FFA}">
    <text>(duração + potência) / 2 
potência:
1 - até 8%
2 - até 16%
3 - até 24%
4 - até 32%
5 - até 40%
6 - até 48%
7 - até 56%
8 - até 64%
9 - até 72%
10 - até 80%
11...
duração
1 - 1s
2 - 2s
3 - 3s
4 - 4s
5 - 5s
6 - 6s
7 - 7s
8 - 8s
9 - 9s
10 - 10s</text>
  </threadedComment>
  <threadedComment ref="BD2" dT="2026-06-02T03:06:12.21" personId="{B6012F0E-E5C6-4745-8A5E-4C6462E9C718}" id="{542AC181-6E25-4E62-934B-99DD4FC48517}">
    <text>(frequencia + duração) / 2 
Frequência
1 - 1/1min
2 - 1/50s
3 - 1/40s
4 - 1/30s
5 - 1/22s
6 - 1/15s
7 - 1/10s
8 - 1/7s
9 - 1/5s
10 - 1/3s
11...
Duração:
1 - 1s
2 - 2s
3 - 3s
4 - 4s
5 - 5s
6 - 6s
7 - 7s
8 - 8s
9 - 9s
10 - 10s
11...</text>
  </threadedComment>
  <threadedComment ref="BE2" dT="2026-06-02T03:20:06.88" personId="{B6012F0E-E5C6-4745-8A5E-4C6462E9C718}" id="{E3A6BDE2-8107-4F99-9E85-E5693FEAA65B}">
    <text>(frequência + duração + área) / 3
0 - não tem essa capacidade
Frequência:
1 - 1/1min
2 - 1/50s
3 - 1/40s
4 - 1/30s
5 - 1/22s
6 - 1/15s
7 - 1/10s
8 - 1/7s
9 - 1/5s
10 - 1/3s
11...
duração
1 - 1s
2 - 2s
3 - 3s
4 - 4s
5 - 5s
6 - 6s
7 - 7s
8 - 8s
9 - 9s
10 - 10s
11...
Area:
1 - diâmetro de 1 brawler
2 - diâmetro de 2 brawler
3 - diâmetro de 3 brawler
4 - diâmetro de 4 brawler
5 - diâmetro de 5 brawler
6 - diâmetro de 6 brawler
7 - diâmetro de 7 brawler
8 - diâmetro de 8 brawler9 - diâmetro de 9 brawler
10 - diâmetro de 10 brawler
11...</text>
  </threadedComment>
  <threadedComment ref="BG2" dT="2026-06-02T03:22:47.43" personId="{B6012F0E-E5C6-4745-8A5E-4C6462E9C718}" id="{DD29FD6D-8FD1-489A-96B7-430F19838153}">
    <text>0 - não aplica veneno
1 - duração de 1 hit
2 - duração de 2 hit
3 - duração de 3 hit
4 - duração de 4 hit
5 - duração de 5 hit
6 - duração de 6 hit
7 - duração de 7 hit
8 - duração de 8 hit
9 - duração de 9 hit
10 - duração de 10 hit
11...
/1 se proveniente do ataque principal
/2 se proveniente da super
/3 se proveniente de algo ainda mais ocasional</text>
  </threadedComment>
  <threadedComment ref="BH2" dT="2026-06-02T03:23:18.23" personId="{B6012F0E-E5C6-4745-8A5E-4C6462E9C718}" id="{8F1D5CBD-0005-474F-BF16-61E14E1CA198}">
    <text>(poder-cancelamento + frequência) / 2
poder cancelamento
1 - até 11%
2 - até 22%
3 - até 33%
4 - até 44%
5 - até 55%
6 - até 66%
7 - até 77%
8 - até 88%
9 - até 99%
10 - limpeza completa
Frequência:
1 - 1/1min
2 - 1/50s
3 - 1/40s
4 - 1/30s
5 - 1/22s
6 - 1/15s
7 - 1/10s
8 - 1/7s
9 - 1/5s
10 - 1/3s
11...</text>
  </threadedComment>
  <threadedComment ref="BI2" dT="2026-06-02T03:24:11.83" personId="{B6012F0E-E5C6-4745-8A5E-4C6462E9C718}" id="{5CEE0A1B-D0E5-4642-A980-C54E408DCBC2}">
    <text>1 - stun até 0.1s
2 - stun até 0.35s
3 - stun até 0.6s
4 - stun até 0.85s
5 - stun até 1.1s
6 - stun até 1.35s
7 - stun até 1.6s
8 - stun até 1.85s
9 - stun até 2.1s
10 - stun até 2.5s
11...</text>
  </threadedComment>
  <threadedComment ref="BJ2" dT="2026-06-02T03:24:39.33" personId="{B6012F0E-E5C6-4745-8A5E-4C6462E9C718}" id="{B9E09B1C-778E-436B-B04D-8CF39E11523C}">
    <text>(poder-cancelamento + frequência) / 2
poder cancelamento
1 - até 11%
2 - até 22%
3 - até 33%
4 - até 44%
5 - até 55%
6 - até 66%
7 - até 77%
8 - até 88%
9 - até 99%
10 - limpeza completa
Frequência:
1 - 1/1min
2 - 1/50s
3 - 1/40s
4 - 1/30s
5 - 1/22s
6 - 1/15s
7 - 1/10s
8 - 1/7s
9 - 1/5s
10 - 1/3s
11...</text>
  </threadedComment>
  <threadedComment ref="BK2" dT="2026-06-02T03:31:43.31" personId="{B6012F0E-E5C6-4745-8A5E-4C6462E9C718}" id="{AEC72396-F141-4843-AC8D-DEEEB8E600C4}">
    <text>(frequência + potência + duração)/3
0 - não tem essa capacidade
Frequência:
1 - 1/1min
2 - 1/50s
3 - 1/40s
4 - 1/30s
5 - 1/22s
6 - 1/15s
7 - 1/10s
8 - 1/7s
9 - 1/5s
10 - 1/3s
11...
Potência da lentidão:
1 - até 5%
2 - até 10%
3 - até 15%
4 - até 20%
5 - até 25%
6 - até 30%
7 - até 35%
8 - até 40%
9 - até 45%
10 - até 50%
11...
duração
1 - 0.5s
2 - 1s
3 - 1.5s
4 - 2s
5 - 2.5s
6 - 3s
7 - 3.5s
8 - 4s
9 - 4.5s
10 - 5s
11...</text>
  </threadedComment>
  <threadedComment ref="BL2" dT="2026-06-02T03:32:49.52" personId="{B6012F0E-E5C6-4745-8A5E-4C6462E9C718}" id="{36096CDB-C9E7-4084-80F0-F06FB52F0D06}">
    <text>(poder-cancelamento + frequência) / 2
poder cancelamento
1 - até 11%
2 - até 22%
3 - até 33%
4 - até 44%
5 - até 55%
6 - até 66%
7 - até 77%
8 - até 88%
9 - até 99%
10 - limpeza completa
Frequência:
1 - 1/1min
2 - 1/50s
3 - 1/40s
4 - 1/30s
5 - 1/22s
6 - 1/15s
7 - 1/10s
8 - 1/7s
9 - 1/5s
10 - 1/3s
11...</text>
  </threadedComment>
  <threadedComment ref="BM2" dT="2026-06-02T03:33:10.36" personId="{B6012F0E-E5C6-4745-8A5E-4C6462E9C718}" id="{8EA36F2C-0057-47E3-A3AC-B3D3871A7710}">
    <text>0 - o brawler não tem essa capacidade
1 - pouco e apenas de muito perto e não possui formas rápidas de se aproximar
2 - pouco e apenas de perto e não possui formas rápidas de se aproximar
3 - pouco e apenas de medio alcance e não possui formas rápidas de se aproximar
4 - pouco e apenas de perto mas possui formas de se aproximar
5 - pouco e apenas de perto mas possui formas de se aproximar rapidamente
6 - de médias/longas distâncias
7 - longas distâncias
8 - ignorando muros
9 - ignorando obstaculos a médio/longo alcance
10 - ignorando obstáculos e objetos a longo alcance
11...</text>
  </threadedComment>
  <threadedComment ref="BN2" dT="2026-06-02T03:33:36.55" personId="{B6012F0E-E5C6-4745-8A5E-4C6462E9C718}" id="{F172D2BD-11A9-4DFF-BE19-B0DE8E98814C}">
    <text>Se o seu brawler não é especialmente afetado, assinale altamente competente (7). Caso seja (um frank por exemplo é muito afetado), tente medir o quão fácil é para o inimigo cancelar um ataque forte seu e te prejudicar.
6 - afetado levemente por demora até finalização do tiro
5 - afetado levemente numa situação específica
4 - afetado consideravelmente no super
3 - afetado consideravelmente no ataque principal
2 - afetado consideravelmente no super e ataque
-1 se dá mais de 1 segundo de tempo de reação na super
-2 se dá mais de 1 segundo de tempo de reação no ataque principal</text>
  </threadedComment>
</ThreadedComments>
</file>

<file path=xl/threadedComments/threadedComment6.xml><?xml version="1.0" encoding="utf-8"?>
<ThreadedComments xmlns="http://schemas.microsoft.com/office/spreadsheetml/2018/threadedcomments" xmlns:x="http://schemas.openxmlformats.org/spreadsheetml/2006/main">
  <threadedComment ref="X2" dT="2026-06-02T02:10:48.30" personId="{B6012F0E-E5C6-4745-8A5E-4C6462E9C718}" id="{674B3F5C-E5C7-4B63-AA46-1B62E367D55A}">
    <text>(Durabilidade_total / 1400) + (auto_heal_buffing / 3,5)</text>
  </threadedComment>
  <threadedComment ref="Y2" dT="2026-06-02T02:14:20.43" personId="{B6012F0E-E5C6-4745-8A5E-4C6462E9C718}" id="{F9BF6594-1646-46B5-A4F2-2DDAD507DF90}">
    <text>0 - Não ataca eu achokkk
1 - distância curta
2 - distância curta/normal
3 - distância normal/curta
4 - distância normal
5 - distância normal/longa
6 - distância longa/normal
7 - distância longa
8 - distância longa/mtlonga
9 - distância mtlonga/longa
10 - distância mtlonga
11...
-1 se o tiro é lento ou -2 se muito lento. Use isso para distinguir alcances aparentemente iguais.</text>
  </threadedComment>
  <threadedComment ref="Z2" dT="2026-06-02T02:17:02.99" personId="{B6012F0E-E5C6-4745-8A5E-4C6462E9C718}" id="{1011E8A4-5596-4CE5-BAD8-4578D22FCF54}">
    <text>(frequencia + potência + versatilidade)/3
frequência:
1 - 1 min
2 - 45s
3 - 35s
4 - 30s
5 - 25s
6 - 20s
7 - 15s
8 - 10s
9 - 5s
10 - menos de 5s
11...
potência do uso:
1 - distância curta
2 - distância curta/normal
3 - distância normal/curta
4 - distância normal
5 - distância normal/longa
6 - distância longa/normal
7 - distância longa
8 - distância longa/mtlonga
9 - distância mtlonga/longa
10 - distância mtlonga
11...
versatilidade:
1 - invulnerável, mas parado e vulnerável ao voltar
2 - invulnerável, mas parado ao voltar
3 - afasta inimigos um pouco
4 - afasta medio inimigos
5 - fuga lenta sem escolher direção ou circunstancial
6 - fuga lenta escolhendo direção quase livremente
7 - fuga lenta escolhendo direção livremente
8 - fuga rápida quase sem escolher direção
9 - fuga rápida escolhendo direção quase livremente
10 - fuga rápida escolhendo direção livremente
11...</text>
  </threadedComment>
  <threadedComment ref="AA2" dT="2026-06-02T02:18:20.46" personId="{B6012F0E-E5C6-4745-8A5E-4C6462E9C718}" id="{C145578B-5512-4AA2-820B-BCA2A0D4545C}">
    <text>0 - projétil único
1 - projétil único perfurante
2 - linha fina multiplos projéteis
3 - tiro em forma de cone pequeno (25° +ou-)
4 - tiro em forma retangular medio (1 brawler de largura)
5 - tiro em forma de cone médio (50° +ou-)
6 - tiro em forma retangular grande (1-2 brawler de largura)
7 - tiro em forma de cone grande (75° +ou-)
8 - tiro com amplitude maior (até 100° +ou-)
9 - tiro em todas as direções
10 - tiro frequente em todas as direções
11...</text>
  </threadedComment>
  <threadedComment ref="AB2" dT="2026-06-02T02:19:10.84" personId="{B6012F0E-E5C6-4745-8A5E-4C6462E9C718}" id="{F836B74D-3E97-41F8-99EB-DE92B9A78848}">
    <text>0 - mais de 1/30s
1 - 1/30s
2 - 1/20s
3 - 1/15s
4 - 1/10s
5 - 1/5s
6 - ataque básico frequente
7 - ataque básico e super frequente</text>
  </threadedComment>
  <threadedComment ref="AC2" dT="2026-06-02T02:22:12.72" personId="{B6012F0E-E5C6-4745-8A5E-4C6462E9C718}" id="{66582112-5DD0-44B1-A89A-91B44C8873F0}">
    <text>(duração + área + efeito + distância-arremesso)/4
Efeito:
3 - efeito ignorável muitas vezes
6 - efeito ignorável raramente
9 - efeito quase nunca ignoravel
Area:
1 - diâmetro de 1 brawler
2 - diâmetro de 2 brawler
3 - diâmetro de 3 brawler
4 - diâmetro de 4 brawler
5 - diâmetro de 5 brawler
6 - diâmetro de 6 brawler
7 - diâmetro de 7 brawler
8 - diâmetro de 8 brawler9 - diâmetro de 9 brawler
10 - diâmetro de 10 brawler
11...
Duração:
1 - 1s
2 - 2s
3 - 3s
4 - 4s
5 - 5s
6 - 6s
7 - 7s
8 - 8s
9 - 9s
10 - 10s
11...
Distância arremesso
0 - Não ataca eu achokkk
1 - distância curta
2 - distância curta/normal
3 - distância normal/curta
4 - distância normal
5 - distância normal/longa
6 - distância longa/normal
7 - distância longa
8 - distância longa/mtlonga
9 - distância mtlonga/longa
10 - distância mtlonga
11...
-1 se o tiro é lento ou -2 se muito lento. Use isso para distinguir alcances aparentemente iguais.</text>
  </threadedComment>
  <threadedComment ref="AD2" dT="2026-06-02T02:22:51.85" personId="{B6012F0E-E5C6-4745-8A5E-4C6462E9C718}" id="{4BE59F1C-2106-4F34-941B-115D4300FD04}">
    <text>0 - o brawler não tem essa capacidade
1 - consegue manipular pouco e apenas de muito perto e não possui formas rápidas de se aproximar
2 - consegue manipular pouco e apenas de perto e não possui formas rápidas de se aproximar
3 - consegue manipular pouco e apenas de medio alcance e não possui formas rápidas de se aproximar
4 - consegue manipular pouco e apenas de perto mas possui formas de se aproximar
5 - o brawler consegue fazer de longas distancias mas manipula pouco
6 - o brawler consegue manipular muito a posição e de médias distâncias
7 - o brawler consegue manipular muito a posição e de longas distâncias
8 - o brawler consegue manipular um pouco a posição mas ignorando muros
9 - o brawler consegue manipular muito a posição e ignorando obstaculos a médio alcance
10 - o brawler consegue manipular muito a posição e ignorando obstáculos e objetos a longo alcance</text>
  </threadedComment>
  <threadedComment ref="AE2" dT="2026-06-02T02:23:23.46" personId="{B6012F0E-E5C6-4745-8A5E-4C6462E9C718}" id="{7B63A108-32BF-4212-8910-2ECA0572BD5C}">
    <text>0 - absoluta incompetência
7 - altamente competente</text>
  </threadedComment>
  <threadedComment ref="AF2" dT="2026-06-02T02:23:42.82" personId="{B6012F0E-E5C6-4745-8A5E-4C6462E9C718}" id="{5DA76403-6ADE-483D-8544-82546738F873}">
    <text>0 - impossivel causar dano
1 - causa dano irrisório
2 - causa dano circunstancial
3 - causa dano ocasionalmente
4 - causa dano mortal as vezes
5 - causa dano mortal quase normalmente
6 - capaz de atacar o inimigo normalmente
7 - causa dano normalmente + anda na água tmb
8 - causa dano levemente superior
9 - causa dano muito maior a inimigos na água
10 - causa dano absurdamente maior
11...</text>
  </threadedComment>
  <threadedComment ref="AG2" dT="2026-06-02T02:25:21.34" personId="{B6012F0E-E5C6-4745-8A5E-4C6462E9C718}" id="{A4D7D6D7-A68C-4104-8980-C585BAC357ED}">
    <text>0 - não quebra muros
1 - 1/35min
2 - 1/30s
3 - 1/25s
4 - 1/20s
5 - 1/15s
6 - 1/12s
7 - 1/9s
8 - 1/6s
9 - 1/3s
10 - 1/1s
11...
-1 se a destruição é pouco controlável
-2 se a destruição é quase incontrolável ou se o brawler não deveria gastar os recursos dele focando nessa destruição</text>
  </threadedComment>
  <threadedComment ref="AH2" dT="2026-06-02T02:25:58.83" personId="{B6012F0E-E5C6-4745-8A5E-4C6462E9C718}" id="{4548AA0A-89B4-483D-A7A2-3F6F592D9E01}">
    <text>0 - não quebra moitas
1 - 1/25min
2 - 1/16s
3 - 1/12s
4 - 1/10s
5 - 1/8s
6 - 1/6s
7 - 1/4s
8 - 1/3s
9 - 1/2s
10 - 1/1s
11...
-1 se a destruição é pouco controlável
-2 se a destruição é quase incontrolável ou se o brawler não deveria gastar os recursos dele focando nessa destruição</text>
  </threadedComment>
  <threadedComment ref="AI2" dT="2026-06-02T02:26:57.22" personId="{B6012F0E-E5C6-4745-8A5E-4C6462E9C718}" id="{61BA3D98-A8FF-4A55-A708-40DBD2666A90}">
    <text>0 - não constroi cover
1 - 1/25min
2 - 1/16s
3 - 1/12s
4 - 1/10s
5 - 1/8s
6 - 1/6s
7 - 1/4s
8 - 1/3s
9 - 1/2s
10 - 1/1s
11...
-1 se a construção é pouco controlável
-2 se a construção é quase incontrolável ou se o brawler não deveria gastar os recursos dele focando nessa construção</text>
  </threadedComment>
  <threadedComment ref="AJ2" dT="2026-06-02T02:28:11.44" personId="{B6012F0E-E5C6-4745-8A5E-4C6462E9C718}" id="{76625504-22D5-414F-A2BA-4379DDD33CF9}">
    <text>1 - muito lento
2 - muito lento/lento
3 - lento
4 - lento/normal
5 - normal
6 - normal/rapido
7 - rapido
8 - rapido/muito rapido
9 - muito rapido
10 - suporter de velocidade
11...
-1 se a hitbox do brawler é do modelo maior</text>
  </threadedComment>
  <threadedComment ref="AK2" dT="2026-06-02T02:29:03.92" personId="{B6012F0E-E5C6-4745-8A5E-4C6462E9C718}" id="{3710AAAA-293D-45C1-8852-D8D9FD0ED2BD}">
    <text>1 - ataque lento e ineficaz
2 - ataque ineficaz
3 - ataque poderoso, mas super lento
4 - ataque poderoso, mas lento
5 - ataque poderoso e rápido, mas facilmente contornável sem sequelas
6 - ataque poderoso, mas contornavel/counterável facilmente
7 - ataque poderoso. Contornavel apenas se não estiver vulnerável
8 - mesmo counters tem dificuldade em prever/reagir ao ataque antes de levar um bom dano
9 - mesmo counters recebem muito dano antes de conseguirem reagir
10 - counterar um ataque bem planejado é quase impossível para qualquer brawler
+1 se aplica velocidade após o ataque
-1 se alcance é normal/longo
-2 se o alcance é curto/normal
-3 se o alcance é muito curto/curto</text>
  </threadedComment>
  <threadedComment ref="AL2" dT="2026-06-02T02:29:37.61" personId="{B6012F0E-E5C6-4745-8A5E-4C6462E9C718}" id="{BBEA535B-9252-4600-BDE0-1F0E274F9F3A}">
    <text>*fórmula pronta, utiliza stun como força adicional</text>
  </threadedComment>
  <threadedComment ref="AM2" dT="2026-06-02T02:31:13.55" personId="{B6012F0E-E5C6-4745-8A5E-4C6462E9C718}" id="{643ECF7B-FEDA-4492-BD6B-FEC735BED398}">
    <text>1 - 1/1min
2 - 1/50s
3 - 1/40s
4 - 1/30s
5 - 1/22s
6 - 1/15s
7 - 1/10s
8 - 1/7s
9 - 1/5s
10 - 1/3s
11...</text>
  </threadedComment>
  <threadedComment ref="AN2" dT="2026-06-02T02:31:34.22" personId="{B6012F0E-E5C6-4745-8A5E-4C6462E9C718}" id="{6D898BC5-F881-4F6A-A144-000F7BBAFD0D}">
    <text>1 - nunca acumula mais de 1
2 - raramente acumula mais de 1
3 - ocasionalmente acumula mais de 1
4 - frequentemente acumula ao menos 2
5 - raramente acumula mais de 2
6 - ocasionalmente acumula mais de 2
7 - frequentemente acumula ao menos 3
8 - ocasionalmente acumula mais de 3
9 - frequentemente acumula mais de 4
10 - frequentemente acumula mais de 5
11...</text>
  </threadedComment>
  <threadedComment ref="AO2" dT="2026-06-02T02:32:38.53" personId="{B6012F0E-E5C6-4745-8A5E-4C6462E9C718}" id="{A015F4EA-1EAC-4243-9C3E-E714AAF390CE}">
    <text>0 - A vida do(s) pet(s) não se deteriora sozinha com o tempo
1 - A vida do(s) pet(s) é deteriorável</text>
  </threadedComment>
  <threadedComment ref="AP2" dT="2026-06-02T02:33:31.06" personId="{B6012F0E-E5C6-4745-8A5E-4C6462E9C718}" id="{F2536301-EC63-4CB2-B160-02E3BE9CEEF7}">
    <text>1 - menos de 2000
2 - entre 2000 e 3000
3 - entre 3000 e 4000
4 - entre 4000 e 5000
5 - entre 5000 e 6000
6 - entre 6000 e 7000
7 - entre 7000 e 8000
8 - entre 8000 e 9000
9 - entre 9000 e 10000
10 - entre 10000 e 11000
11...</text>
  </threadedComment>
  <threadedComment ref="AQ2" dT="2026-06-02T02:33:49.93" personId="{B6012F0E-E5C6-4745-8A5E-4C6462E9C718}" id="{F42E8347-FBFF-4DE0-8B3F-C955D0045FDE}">
    <text>0 - dano médio menor de 500
1 - dano médio 500-800
2 - dano médio 800-1100
3 - dano médio 1100-1400
4 - dano médio 1400-1700
5 - dano médio 1700-2000
6 - dano médio 2000-2300
7 - dano médio 2300-2600
8 - dano médio 2900-3200
9 - dano médio 3200-3500
10 - dano médio 3500-3800
11...</text>
  </threadedComment>
  <threadedComment ref="AR2" dT="2026-06-02T02:34:34.37" personId="{B6012F0E-E5C6-4745-8A5E-4C6462E9C718}" id="{12F5F743-9170-47B2-924F-27A52C4D9E82}">
    <text>1 - distância curta
2 - distância curta/normal
3 - distância normal/curta
4 - distância normal
5 - distância normal/longa
6 - distância longa/normal
7 - distância longa
8 - distância longa/mtlonga
9 - distância mtlonga/longa
10 - distância mtlonga
11...
-1 se o tiro é lento ou -2 se muito lento. Use isso para distinguir alcances aparentemente iguais.</text>
  </threadedComment>
  <threadedComment ref="AS2" dT="2026-06-02T02:34:54.40" personId="{B6012F0E-E5C6-4745-8A5E-4C6462E9C718}" id="{0FC90FF2-C738-4DF1-B747-4ABDE811467C}">
    <text>1 - muito lento
2 - muito lento/lento
3 - lento/normal
4 - lento
5 - lento/normal
6 - normal/lento
7 - normal
8 - normal/rapido
9 - rapido
10 - MUITO rapido
11...</text>
  </threadedComment>
  <threadedComment ref="AT2" dT="2026-06-02T02:39:21.86" personId="{B6012F0E-E5C6-4745-8A5E-4C6462E9C718}" id="{3B2F8DEA-8476-41F3-BC32-9ACC79D967F9}">
    <text>0 - O dono não fica próximo ao pet em quase nenhum momento
2,5 - O dono fica próximo ao pet as vezes, mas raramente por muito tempo
5 - O dono fica próximo ao pet com alguma frequência, mas não é regra de usabilidade
7,5 - O dono fica próximo ao pet na maior parte do tempo, sendo grande parte da sua estratégia principal para avançar contra inimigos
10 - O dono fica próximo ao pet em quase todos os momentos. A exceção para esta regra resulta em inutilidade do pet na maior parte das vezes.</text>
  </threadedComment>
  <threadedComment ref="AU2" dT="2026-06-02T02:40:30.30" personId="{B6012F0E-E5C6-4745-8A5E-4C6462E9C718}" id="{201287DC-A221-4269-B775-EB831475F1F6}">
    <text>0 - não é o caso para esse brawler
1 - chance levemente maior de causar dano ao todo
2 - chance relativamente maior de causar dano ao todo
3 - chance muito maior de causar mais dano ao todo
4 - atinge multiplos inimigos com a super
5 - atinge facilmente multiplos inimigos com a super
6 - atinge multiplos inimigos com o ataque principal
7 - atinge facilmente multiplos inimigos com o ataque
8 - causa mais dano por projétil
9 - causa mais do dobro de dano por projétil
10 - causa mais que o triplo do dano por projétil
11...</text>
  </threadedComment>
  <threadedComment ref="AV2" dT="2026-06-02T02:42:26.97" personId="{B6012F0E-E5C6-4745-8A5E-4C6462E9C718}" id="{ECABA7EF-D5C2-485F-946F-66A47C09E158}">
    <text>(precisão + Área + duração + frequência)/4
Precisão:
3 - perseguição de pets
6 - precisão em posição fixa arremessavel
10 - precisão absoluta
Area:
1 - diâmetro de 1 brawler
2 - diâmetro de 2 brawler
3 - diâmetro de 3 brawler
4 - diâmetro de 4 brawler
5 - diâmetro de 5 brawler
6 - diâmetro de 6 brawler
7 - diâmetro de 7 brawler
8 - diâmetro de 8 brawler9 - diâmetro de 9 brawler
10 - diâmetro de 10 brawler
11...
Duração:
1 - 3s
2 - 6s
3 - 9s
4 - 12s
5 - 15s
6 - 18s
7 - 21s
8 - 24s
9 - 27s
10 - infinito
11...
Frequência:
1 - 1/1min
2 - 1/50s
3 - 1/40s
4 - 1/30s
5 - 1/22s
6 - 1/15s
7 - 1/10s
8 - 1/7s
9 - 1/5s
10 - 1/3s
11...</text>
  </threadedComment>
  <threadedComment ref="AW2" dT="2026-06-02T02:50:25.74" personId="{B6012F0E-E5C6-4745-8A5E-4C6462E9C718}" id="{6B6B2882-DBA0-4FFF-A701-DCB542C42CB2}">
    <text>0 - As informações do brawler/complemento não dependem de nenhuma forma da formação de inimigos ou terreno para que façam sentido
2,5 - As informações do brawler/complemento podem depender um pouco de formas de uso
5 - As informações do brawler/complemento podem depender um pouco de características de terreno, como presença de moitas/agua e/ou de formas de uso
7,5 - as informações dependem bastante de características externas como formas de uso, terreno e inimigos. A verificação humana é essencial para garantir que o brawler realmente seja bom.
10 - As informações dependem demais de fatores externos para funcionarem de forma adequada. Detalhes desses fatores devem ser destacados para o usuário.</text>
  </threadedComment>
  <threadedComment ref="AY2" dT="2026-06-02T02:56:43.63" personId="{B6012F0E-E5C6-4745-8A5E-4C6462E9C718}" id="{8A69B6AF-9FB0-4B04-A433-73A1BC5DFDE7}">
    <text>(frequência + potência + velocidade) / 3
Frequência:
1 - 1/1min
2 - 1/50s
3 - 1/40s
4 - 1/30s
5 - 1/22s
6 - 1/15s
7 - 1/10s
8 - 1/7s
9 - 1/5s
10 - 1/3s
11...
Potência do hp:
1 - 1-500
2 - 500-1000
3 - 1000-1500
4 - 1500 - 2000
5 - 2000 - 2500
6 - 2500 - 3000
7 - 3000 - 3500
8 - 3500 - 4000
9 - 4000 - 4500
10 - 4500 - 5000
Velocidade da cura
3 - Lenta e parcelada
6 - Lenta ou muito circunstancial
9 - Instantânea e pouco circunstancial</text>
  </threadedComment>
  <threadedComment ref="AZ2" dT="2026-06-02T02:57:40.08" personId="{B6012F0E-E5C6-4745-8A5E-4C6462E9C718}" id="{D4E26227-2DC2-4870-BEEE-A89E41A02124}">
    <text>(duração + potência) / 2 
potência:
1 - até 10%
2 - até 20%
3 - até 30%
4 - até 40%
5 - até 50%
6 - até 60%
7 - até 70%
8 - até 80%
9 - até 90%
10 - até 100%
duração
1 - 1s
2 - 2s
3 - 3s
4 - 4s
5 - 5s
6 - 6s
7 - 7s
8 - 8s
9 - 9s
10 - 10s</text>
  </threadedComment>
  <threadedComment ref="BA2" dT="2026-06-02T03:00:04.34" personId="{B6012F0E-E5C6-4745-8A5E-4C6462E9C718}" id="{55DDC066-256F-40C2-A7BE-E51D47E50174}">
    <text>(frequência + potência) / 2 
Frequência:
1 - 1/1min
2 - 1/50s
3 - 1/40s
4 - 1/30s
5 - 1/22s
6 - 1/15s
7 - 1/10s
8 - 1/7s
9 - 1/5s
10 - 1/3s
11...
Potência do escudo:
1 - 1-500
2 - 500-1000
3 - 1000-1500
4 - 1500 - 2000
5 - 2000 - 2500
6 - 2500 - 3000
7 - 3000 - 3500
8 - 3500 - 4000
9 - 4000 - 4500
10 - 4500 - 5000</text>
  </threadedComment>
  <threadedComment ref="BB2" dT="2026-06-02T03:02:46.74" personId="{B6012F0E-E5C6-4745-8A5E-4C6462E9C718}" id="{199F4209-F855-4DCD-AECD-3B28E2FE8C9A}">
    <text>(frequência + potência + duração)/3
0 - não tem essa capacidade
Frequência:
1 - 1/1min
2 - 1/50s
3 - 1/40s
4 - 1/30s
5 - 1/22s
6 - 1/15s
7 - 1/10s
8 - 1/7s
9 - 1/5s
10 - 1/3s
11...
Potência do aumento de dano:
1 - até 5%
2 - até 10%
3 - até 15%
4 - até 20%
5 - até 25%
6 - até 30%
7 - até 35%
8 - até 40%
9 - até 45%
10 - até 50%
11...
duração
1 - 1s
2 - 2s
3 - 3s
4 - 4s
5 - 5s
6 - 6s
7 - 7s
8 - 8s
9 - 9s
10 - 10s
11...</text>
  </threadedComment>
  <threadedComment ref="BC2" dT="2026-06-02T03:03:24.08" personId="{B6012F0E-E5C6-4745-8A5E-4C6462E9C718}" id="{9F689B5A-AFC5-42B7-87ED-8E35135885B1}">
    <text>(duração + potência) / 2 
potência:
1 - até 8%
2 - até 16%
3 - até 24%
4 - até 32%
5 - até 40%
6 - até 48%
7 - até 56%
8 - até 64%
9 - até 72%
10 - até 80%
11...
duração
1 - 1s
2 - 2s
3 - 3s
4 - 4s
5 - 5s
6 - 6s
7 - 7s
8 - 8s
9 - 9s
10 - 10s</text>
  </threadedComment>
  <threadedComment ref="BD2" dT="2026-06-02T03:06:12.21" personId="{B6012F0E-E5C6-4745-8A5E-4C6462E9C718}" id="{F9F95B5A-0770-4E64-9084-D80CDABBE688}">
    <text>(frequencia + duração) / 2 
Frequência
1 - 1/1min
2 - 1/50s
3 - 1/40s
4 - 1/30s
5 - 1/22s
6 - 1/15s
7 - 1/10s
8 - 1/7s
9 - 1/5s
10 - 1/3s
11...
Duração:
1 - 1s
2 - 2s
3 - 3s
4 - 4s
5 - 5s
6 - 6s
7 - 7s
8 - 8s
9 - 9s
10 - 10s
11...</text>
  </threadedComment>
  <threadedComment ref="BE2" dT="2026-06-02T03:20:06.88" personId="{B6012F0E-E5C6-4745-8A5E-4C6462E9C718}" id="{33377813-5443-426B-9115-2EFEC1C866FB}">
    <text>(frequência + duração + área) / 3
0 - não tem essa capacidade
Frequência:
1 - 1/1min
2 - 1/50s
3 - 1/40s
4 - 1/30s
5 - 1/22s
6 - 1/15s
7 - 1/10s
8 - 1/7s
9 - 1/5s
10 - 1/3s
11...
duração
1 - 1s
2 - 2s
3 - 3s
4 - 4s
5 - 5s
6 - 6s
7 - 7s
8 - 8s
9 - 9s
10 - 10s
11...
Area:
1 - diâmetro de 1 brawler
2 - diâmetro de 2 brawler
3 - diâmetro de 3 brawler
4 - diâmetro de 4 brawler
5 - diâmetro de 5 brawler
6 - diâmetro de 6 brawler
7 - diâmetro de 7 brawler
8 - diâmetro de 8 brawler9 - diâmetro de 9 brawler
10 - diâmetro de 10 brawler
11...</text>
  </threadedComment>
  <threadedComment ref="BG2" dT="2026-06-02T03:22:47.43" personId="{B6012F0E-E5C6-4745-8A5E-4C6462E9C718}" id="{839A561C-C6FA-440D-BC30-E684AB6FB836}">
    <text>0 - não aplica veneno
1 - duração de 1 hit
2 - duração de 2 hit
3 - duração de 3 hit
4 - duração de 4 hit
5 - duração de 5 hit
6 - duração de 6 hit
7 - duração de 7 hit
8 - duração de 8 hit
9 - duração de 9 hit
10 - duração de 10 hit
11...
/1 se proveniente do ataque principal
/2 se proveniente da super
/3 se proveniente de algo ainda mais ocasional</text>
  </threadedComment>
  <threadedComment ref="BH2" dT="2026-06-02T03:23:18.23" personId="{B6012F0E-E5C6-4745-8A5E-4C6462E9C718}" id="{928E070D-0DB3-4D83-85DB-354FB216FAE0}">
    <text>(poder-cancelamento + frequência) / 2
poder cancelamento
1 - até 11%
2 - até 22%
3 - até 33%
4 - até 44%
5 - até 55%
6 - até 66%
7 - até 77%
8 - até 88%
9 - até 99%
10 - limpeza completa
Frequência:
1 - 1/1min
2 - 1/50s
3 - 1/40s
4 - 1/30s
5 - 1/22s
6 - 1/15s
7 - 1/10s
8 - 1/7s
9 - 1/5s
10 - 1/3s
11...</text>
  </threadedComment>
  <threadedComment ref="BI2" dT="2026-06-02T03:24:11.83" personId="{B6012F0E-E5C6-4745-8A5E-4C6462E9C718}" id="{F2DD9A7C-F727-4CB5-A79F-466EE60652B8}">
    <text>1 - stun até 0.1s
2 - stun até 0.35s
3 - stun até 0.6s
4 - stun até 0.85s
5 - stun até 1.1s
6 - stun até 1.35s
7 - stun até 1.6s
8 - stun até 1.85s
9 - stun até 2.1s
10 - stun até 2.5s
11...</text>
  </threadedComment>
  <threadedComment ref="BJ2" dT="2026-06-02T03:24:39.33" personId="{B6012F0E-E5C6-4745-8A5E-4C6462E9C718}" id="{9E6746CF-83AA-4F85-92DB-03259C1D3C9B}">
    <text>(poder-cancelamento + frequência) / 2
poder cancelamento
1 - até 11%
2 - até 22%
3 - até 33%
4 - até 44%
5 - até 55%
6 - até 66%
7 - até 77%
8 - até 88%
9 - até 99%
10 - limpeza completa
Frequência:
1 - 1/1min
2 - 1/50s
3 - 1/40s
4 - 1/30s
5 - 1/22s
6 - 1/15s
7 - 1/10s
8 - 1/7s
9 - 1/5s
10 - 1/3s
11...</text>
  </threadedComment>
  <threadedComment ref="BK2" dT="2026-06-02T03:31:43.31" personId="{B6012F0E-E5C6-4745-8A5E-4C6462E9C718}" id="{9E1D11A0-DDB4-446C-8CDF-55B9F87E9F1D}">
    <text>(frequência + potência + duração)/3
0 - não tem essa capacidade
Frequência:
1 - 1/1min
2 - 1/50s
3 - 1/40s
4 - 1/30s
5 - 1/22s
6 - 1/15s
7 - 1/10s
8 - 1/7s
9 - 1/5s
10 - 1/3s
11...
Potência da lentidão:
1 - até 5%
2 - até 10%
3 - até 15%
4 - até 20%
5 - até 25%
6 - até 30%
7 - até 35%
8 - até 40%
9 - até 45%
10 - até 50%
11...
duração
1 - 0.5s
2 - 1s
3 - 1.5s
4 - 2s
5 - 2.5s
6 - 3s
7 - 3.5s
8 - 4s
9 - 4.5s
10 - 5s
11...</text>
  </threadedComment>
  <threadedComment ref="BL2" dT="2026-06-02T03:32:49.52" personId="{B6012F0E-E5C6-4745-8A5E-4C6462E9C718}" id="{C7B7DFB8-8909-4A2F-9649-19B6AAD5C7D6}">
    <text>(poder-cancelamento + frequência) / 2
poder cancelamento
1 - até 11%
2 - até 22%
3 - até 33%
4 - até 44%
5 - até 55%
6 - até 66%
7 - até 77%
8 - até 88%
9 - até 99%
10 - limpeza completa
Frequência:
1 - 1/1min
2 - 1/50s
3 - 1/40s
4 - 1/30s
5 - 1/22s
6 - 1/15s
7 - 1/10s
8 - 1/7s
9 - 1/5s
10 - 1/3s
11...</text>
  </threadedComment>
  <threadedComment ref="BM2" dT="2026-06-02T03:33:10.36" personId="{B6012F0E-E5C6-4745-8A5E-4C6462E9C718}" id="{7FE00BD2-15A5-462D-AC23-95DE2E163889}">
    <text>0 - o brawler não tem essa capacidade
1 - pouco e apenas de muito perto e não possui formas rápidas de se aproximar
2 - pouco e apenas de perto e não possui formas rápidas de se aproximar
3 - pouco e apenas de medio alcance e não possui formas rápidas de se aproximar
4 - pouco e apenas de perto mas possui formas de se aproximar
5 - pouco e apenas de perto mas possui formas de se aproximar rapidamente
6 - de médias/longas distâncias
7 - longas distâncias
8 - ignorando muros
9 - ignorando obstaculos a médio/longo alcance
10 - ignorando obstáculos e objetos a longo alcance
11...</text>
  </threadedComment>
  <threadedComment ref="BN2" dT="2026-06-02T03:33:36.55" personId="{B6012F0E-E5C6-4745-8A5E-4C6462E9C718}" id="{012F43A9-89DA-45CE-ABA6-35AAD60F0BB4}">
    <text>Se o seu brawler não é especialmente afetado, assinale altamente competente (7). Caso seja (um frank por exemplo é muito afetado), tente medir o quão fácil é para o inimigo cancelar um ataque forte seu e te prejudicar.
6 - afetado levemente por demora até finalização do tiro
5 - afetado levemente numa situação específica
4 - afetado consideravelmente no super
3 - afetado consideravelmente no ataque principal
2 - afetado consideravelmente no super e ataque
-1 se dá mais de 1 segundo de tempo de reação na super
-2 se dá mais de 1 segundo de tempo de reação no ataque principal</text>
  </threadedComment>
</ThreadedComments>
</file>

<file path=xl/threadedComments/threadedComment7.xml><?xml version="1.0" encoding="utf-8"?>
<ThreadedComments xmlns="http://schemas.microsoft.com/office/spreadsheetml/2018/threadedcomments" xmlns:x="http://schemas.openxmlformats.org/spreadsheetml/2006/main">
  <threadedComment ref="X2" dT="2026-06-02T02:10:48.30" personId="{B6012F0E-E5C6-4745-8A5E-4C6462E9C718}" id="{1C01040B-C1E2-4C9B-9471-9C92632B2399}">
    <text>(Durabilidade_total / 1400) + (auto_heal_buffing / 3,5)</text>
  </threadedComment>
  <threadedComment ref="Y2" dT="2026-06-02T02:14:20.43" personId="{B6012F0E-E5C6-4745-8A5E-4C6462E9C718}" id="{B71BF662-F81E-4B6F-AEF8-334FEDB4E3D8}">
    <text>0 - Não ataca eu achokkk
1 - distância curta
2 - distância curta/normal
3 - distância normal/curta
4 - distância normal
5 - distância normal/longa
6 - distância longa/normal
7 - distância longa
8 - distância longa/mtlonga
9 - distância mtlonga/longa
10 - distância mtlonga
11...
-1 se o tiro é lento ou -2 se muito lento. Use isso para distinguir alcances aparentemente iguais.</text>
  </threadedComment>
  <threadedComment ref="Z2" dT="2026-06-02T02:17:02.99" personId="{B6012F0E-E5C6-4745-8A5E-4C6462E9C718}" id="{75E84146-5093-40E3-A9CA-C655E7999A13}">
    <text>(frequencia + potência + versatilidade)/3
frequência:
1 - 1 min
2 - 45s
3 - 35s
4 - 30s
5 - 25s
6 - 20s
7 - 15s
8 - 10s
9 - 5s
10 - menos de 5s
11...
potência do uso:
1 - distância curta
2 - distância curta/normal
3 - distância normal/curta
4 - distância normal
5 - distância normal/longa
6 - distância longa/normal
7 - distância longa
8 - distância longa/mtlonga
9 - distância mtlonga/longa
10 - distância mtlonga
11...
versatilidade:
1 - invulnerável, mas parado e vulnerável ao voltar
2 - invulnerável, mas parado ao voltar
3 - afasta inimigos um pouco
4 - afasta medio inimigos
5 - fuga lenta sem escolher direção ou circunstancial
6 - fuga lenta escolhendo direção quase livremente
7 - fuga lenta escolhendo direção livremente
8 - fuga rápida quase sem escolher direção
9 - fuga rápida escolhendo direção quase livremente
10 - fuga rápida escolhendo direção livremente
11...</text>
  </threadedComment>
  <threadedComment ref="AA2" dT="2026-06-02T02:18:20.46" personId="{B6012F0E-E5C6-4745-8A5E-4C6462E9C718}" id="{5010CBE9-6DCB-4C97-B649-10D0F1E5BEC4}">
    <text>0 - projétil único
1 - projétil único perfurante
2 - linha fina multiplos projéteis
3 - tiro em forma de cone pequeno (25° +ou-)
4 - tiro em forma retangular medio (1 brawler de largura)
5 - tiro em forma de cone médio (50° +ou-)
6 - tiro em forma retangular grande (1-2 brawler de largura)
7 - tiro em forma de cone grande (75° +ou-)
8 - tiro com amplitude maior (até 100° +ou-)
9 - tiro em todas as direções
10 - tiro frequente em todas as direções
11...</text>
  </threadedComment>
  <threadedComment ref="AB2" dT="2026-06-02T02:19:10.84" personId="{B6012F0E-E5C6-4745-8A5E-4C6462E9C718}" id="{26F84EFB-735A-4E2E-827B-B60FB8F9E0D2}">
    <text>0 - mais de 1/30s
1 - 1/30s
2 - 1/20s
3 - 1/15s
4 - 1/10s
5 - 1/5s
6 - ataque básico frequente
7 - ataque básico e super frequente</text>
  </threadedComment>
  <threadedComment ref="AC2" dT="2026-06-02T02:22:12.72" personId="{B6012F0E-E5C6-4745-8A5E-4C6462E9C718}" id="{B1A26A6A-6D67-4607-B3A7-7EFF52A0B273}">
    <text>(duração + área + efeito + distância-arremesso)/4
Efeito:
3 - efeito ignorável muitas vezes
6 - efeito ignorável raramente
9 - efeito quase nunca ignoravel
Area:
1 - diâmetro de 1 brawler
2 - diâmetro de 2 brawler
3 - diâmetro de 3 brawler
4 - diâmetro de 4 brawler
5 - diâmetro de 5 brawler
6 - diâmetro de 6 brawler
7 - diâmetro de 7 brawler
8 - diâmetro de 8 brawler9 - diâmetro de 9 brawler
10 - diâmetro de 10 brawler
11...
Duração:
1 - 1s
2 - 2s
3 - 3s
4 - 4s
5 - 5s
6 - 6s
7 - 7s
8 - 8s
9 - 9s
10 - 10s
11...
Distância arremesso
0 - Não ataca eu achokkk
1 - distância curta
2 - distância curta/normal
3 - distância normal/curta
4 - distância normal
5 - distância normal/longa
6 - distância longa/normal
7 - distância longa
8 - distância longa/mtlonga
9 - distância mtlonga/longa
10 - distância mtlonga
11...
-1 se o tiro é lento ou -2 se muito lento. Use isso para distinguir alcances aparentemente iguais.</text>
  </threadedComment>
  <threadedComment ref="AD2" dT="2026-06-02T02:22:51.85" personId="{B6012F0E-E5C6-4745-8A5E-4C6462E9C718}" id="{B8807D1A-3E71-4EB4-B0F8-71AFCE7F1460}">
    <text>0 - o brawler não tem essa capacidade
1 - consegue manipular pouco e apenas de muito perto e não possui formas rápidas de se aproximar
2 - consegue manipular pouco e apenas de perto e não possui formas rápidas de se aproximar
3 - consegue manipular pouco e apenas de medio alcance e não possui formas rápidas de se aproximar
4 - consegue manipular pouco e apenas de perto mas possui formas de se aproximar
5 - o brawler consegue fazer de longas distancias mas manipula pouco
6 - o brawler consegue manipular muito a posição e de médias distâncias
7 - o brawler consegue manipular muito a posição e de longas distâncias
8 - o brawler consegue manipular um pouco a posição mas ignorando muros
9 - o brawler consegue manipular muito a posição e ignorando obstaculos a médio alcance
10 - o brawler consegue manipular muito a posição e ignorando obstáculos e objetos a longo alcance</text>
  </threadedComment>
  <threadedComment ref="AE2" dT="2026-06-02T02:23:23.46" personId="{B6012F0E-E5C6-4745-8A5E-4C6462E9C718}" id="{B5315BE0-2F85-45B7-B09C-0E003B466912}">
    <text>0 - absoluta incompetência
7 - altamente competente</text>
  </threadedComment>
  <threadedComment ref="AF2" dT="2026-06-02T02:23:42.82" personId="{B6012F0E-E5C6-4745-8A5E-4C6462E9C718}" id="{9495D7C6-77B4-4361-BC22-DC81D40D904F}">
    <text>0 - impossivel causar dano
1 - causa dano irrisório
2 - causa dano circunstancial
3 - causa dano ocasionalmente
4 - causa dano mortal as vezes
5 - causa dano mortal quase normalmente
6 - capaz de atacar o inimigo normalmente
7 - causa dano normalmente + anda na água tmb
8 - causa dano levemente superior
9 - causa dano muito maior a inimigos na água
10 - causa dano absurdamente maior
11...</text>
  </threadedComment>
  <threadedComment ref="AG2" dT="2026-06-02T02:25:21.34" personId="{B6012F0E-E5C6-4745-8A5E-4C6462E9C718}" id="{877F0BD9-4A91-4F4F-97CB-7E00545ABF77}">
    <text>0 - não quebra muros
1 - 1/35min
2 - 1/30s
3 - 1/25s
4 - 1/20s
5 - 1/15s
6 - 1/12s
7 - 1/9s
8 - 1/6s
9 - 1/3s
10 - 1/1s
11...
-1 se a destruição é pouco controlável
-2 se a destruição é quase incontrolável ou se o brawler não deveria gastar os recursos dele focando nessa destruição</text>
  </threadedComment>
  <threadedComment ref="AH2" dT="2026-06-02T02:25:58.83" personId="{B6012F0E-E5C6-4745-8A5E-4C6462E9C718}" id="{7684DC9F-CFC8-42FD-AFA9-27EE547BF146}">
    <text>0 - não quebra moitas
1 - 1/25min
2 - 1/16s
3 - 1/12s
4 - 1/10s
5 - 1/8s
6 - 1/6s
7 - 1/4s
8 - 1/3s
9 - 1/2s
10 - 1/1s
11...
-1 se a destruição é pouco controlável
-2 se a destruição é quase incontrolável ou se o brawler não deveria gastar os recursos dele focando nessa destruição</text>
  </threadedComment>
  <threadedComment ref="AI2" dT="2026-06-02T02:26:57.22" personId="{B6012F0E-E5C6-4745-8A5E-4C6462E9C718}" id="{05DFB8B4-8D2F-40C4-8A32-45AAC71336FE}">
    <text>0 - não constroi cover
1 - 1/25min
2 - 1/16s
3 - 1/12s
4 - 1/10s
5 - 1/8s
6 - 1/6s
7 - 1/4s
8 - 1/3s
9 - 1/2s
10 - 1/1s
11...
-1 se a construção é pouco controlável
-2 se a construção é quase incontrolável ou se o brawler não deveria gastar os recursos dele focando nessa construção</text>
  </threadedComment>
  <threadedComment ref="AJ2" dT="2026-06-02T02:28:11.44" personId="{B6012F0E-E5C6-4745-8A5E-4C6462E9C718}" id="{1893A89C-A5C4-4CD4-A95B-BFB4D7F59DA8}">
    <text>1 - muito lento
2 - muito lento/lento
3 - lento
4 - lento/normal
5 - normal
6 - normal/rapido
7 - rapido
8 - rapido/muito rapido
9 - muito rapido
10 - suporter de velocidade
11...
-1 se a hitbox do brawler é do modelo maior</text>
  </threadedComment>
  <threadedComment ref="AK2" dT="2026-06-02T02:29:03.92" personId="{B6012F0E-E5C6-4745-8A5E-4C6462E9C718}" id="{95A94A9A-CD20-4F51-8C29-D91B04B25934}">
    <text>1 - ataque lento e ineficaz
2 - ataque ineficaz
3 - ataque poderoso, mas super lento
4 - ataque poderoso, mas lento
5 - ataque poderoso e rápido, mas facilmente contornável sem sequelas
6 - ataque poderoso, mas contornavel/counterável facilmente
7 - ataque poderoso. Contornavel apenas se não estiver vulnerável
8 - mesmo counters tem dificuldade em prever/reagir ao ataque antes de levar um bom dano
9 - mesmo counters recebem muito dano antes de conseguirem reagir
10 - counterar um ataque bem planejado é quase impossível para qualquer brawler
+1 se aplica velocidade após o ataque
-1 se alcance é normal/longo
-2 se o alcance é curto/normal
-3 se o alcance é muito curto/curto</text>
  </threadedComment>
  <threadedComment ref="AL2" dT="2026-06-02T02:29:37.61" personId="{B6012F0E-E5C6-4745-8A5E-4C6462E9C718}" id="{86F620F7-F5B6-41D9-B545-2A5C4401D9A4}">
    <text>*fórmula pronta, utiliza stun como força adicional</text>
  </threadedComment>
  <threadedComment ref="AM2" dT="2026-06-02T02:31:13.55" personId="{B6012F0E-E5C6-4745-8A5E-4C6462E9C718}" id="{EA4EB7CB-F690-40F7-875A-AE65CACB2AF2}">
    <text>1 - 1/1min
2 - 1/50s
3 - 1/40s
4 - 1/30s
5 - 1/22s
6 - 1/15s
7 - 1/10s
8 - 1/7s
9 - 1/5s
10 - 1/3s
11...</text>
  </threadedComment>
  <threadedComment ref="AN2" dT="2026-06-02T02:31:34.22" personId="{B6012F0E-E5C6-4745-8A5E-4C6462E9C718}" id="{E72DC0A5-CE73-454E-B921-9CB3869A648F}">
    <text>1 - nunca acumula mais de 1
2 - raramente acumula mais de 1
3 - ocasionalmente acumula mais de 1
4 - frequentemente acumula ao menos 2
5 - raramente acumula mais de 2
6 - ocasionalmente acumula mais de 2
7 - frequentemente acumula ao menos 3
8 - ocasionalmente acumula mais de 3
9 - frequentemente acumula mais de 4
10 - frequentemente acumula mais de 5
11...</text>
  </threadedComment>
  <threadedComment ref="AO2" dT="2026-06-02T02:32:38.53" personId="{B6012F0E-E5C6-4745-8A5E-4C6462E9C718}" id="{AFB1A0E4-2D56-4CEA-AEE6-A4F5B5B34F04}">
    <text>0 - A vida do(s) pet(s) não se deteriora sozinha com o tempo
1 - A vida do(s) pet(s) é deteriorável</text>
  </threadedComment>
  <threadedComment ref="AP2" dT="2026-06-02T02:33:31.06" personId="{B6012F0E-E5C6-4745-8A5E-4C6462E9C718}" id="{4DA208C6-E492-4C9C-BA3D-D8DFF7E30A2D}">
    <text>1 - menos de 2000
2 - entre 2000 e 3000
3 - entre 3000 e 4000
4 - entre 4000 e 5000
5 - entre 5000 e 6000
6 - entre 6000 e 7000
7 - entre 7000 e 8000
8 - entre 8000 e 9000
9 - entre 9000 e 10000
10 - entre 10000 e 11000
11...</text>
  </threadedComment>
  <threadedComment ref="AQ2" dT="2026-06-02T02:33:49.93" personId="{B6012F0E-E5C6-4745-8A5E-4C6462E9C718}" id="{1DA44273-7AB5-497A-9D96-014499B10C6D}">
    <text>0 - dano médio menor de 500
1 - dano médio 500-800
2 - dano médio 800-1100
3 - dano médio 1100-1400
4 - dano médio 1400-1700
5 - dano médio 1700-2000
6 - dano médio 2000-2300
7 - dano médio 2300-2600
8 - dano médio 2900-3200
9 - dano médio 3200-3500
10 - dano médio 3500-3800
11...</text>
  </threadedComment>
  <threadedComment ref="AR2" dT="2026-06-02T02:34:34.37" personId="{B6012F0E-E5C6-4745-8A5E-4C6462E9C718}" id="{AE55D4EC-4D8B-4265-A4A3-2F02654CFB7C}">
    <text>1 - distância curta
2 - distância curta/normal
3 - distância normal/curta
4 - distância normal
5 - distância normal/longa
6 - distância longa/normal
7 - distância longa
8 - distância longa/mtlonga
9 - distância mtlonga/longa
10 - distância mtlonga
11...
-1 se o tiro é lento ou -2 se muito lento. Use isso para distinguir alcances aparentemente iguais.</text>
  </threadedComment>
  <threadedComment ref="AS2" dT="2026-06-02T02:34:54.40" personId="{B6012F0E-E5C6-4745-8A5E-4C6462E9C718}" id="{C4EEE4AF-4445-49D4-B0D7-902DE5FCD2F8}">
    <text>1 - muito lento
2 - muito lento/lento
3 - lento/normal
4 - lento
5 - lento/normal
6 - normal/lento
7 - normal
8 - normal/rapido
9 - rapido
10 - MUITO rapido
11...</text>
  </threadedComment>
  <threadedComment ref="AT2" dT="2026-06-02T02:39:21.86" personId="{B6012F0E-E5C6-4745-8A5E-4C6462E9C718}" id="{A5080B27-3471-4EED-91A5-71B0FA115539}">
    <text>0 - O dono não fica próximo ao pet em quase nenhum momento
2,5 - O dono fica próximo ao pet as vezes, mas raramente por muito tempo
5 - O dono fica próximo ao pet com alguma frequência, mas não é regra de usabilidade
7,5 - O dono fica próximo ao pet na maior parte do tempo, sendo grande parte da sua estratégia principal para avançar contra inimigos
10 - O dono fica próximo ao pet em quase todos os momentos. A exceção para esta regra resulta em inutilidade do pet na maior parte das vezes.</text>
  </threadedComment>
  <threadedComment ref="AU2" dT="2026-06-02T02:40:30.30" personId="{B6012F0E-E5C6-4745-8A5E-4C6462E9C718}" id="{C34BA8B9-04D5-4825-8508-A43BD13B9F50}">
    <text>0 - não é o caso para esse brawler
1 - chance levemente maior de causar dano ao todo
2 - chance relativamente maior de causar dano ao todo
3 - chance muito maior de causar mais dano ao todo
4 - atinge multiplos inimigos com a super
5 - atinge facilmente multiplos inimigos com a super
6 - atinge multiplos inimigos com o ataque principal
7 - atinge facilmente multiplos inimigos com o ataque
8 - causa mais dano por projétil
9 - causa mais do dobro de dano por projétil
10 - causa mais que o triplo do dano por projétil
11...</text>
  </threadedComment>
  <threadedComment ref="AV2" dT="2026-06-02T02:42:26.97" personId="{B6012F0E-E5C6-4745-8A5E-4C6462E9C718}" id="{97A98E9B-19E3-4AFE-BE9A-78EBB4116F16}">
    <text>(precisão + Área + duração + frequência)/4
Precisão:
3 - perseguição de pets
6 - precisão em posição fixa arremessavel
10 - precisão absoluta
Area:
1 - diâmetro de 1 brawler
2 - diâmetro de 2 brawler
3 - diâmetro de 3 brawler
4 - diâmetro de 4 brawler
5 - diâmetro de 5 brawler
6 - diâmetro de 6 brawler
7 - diâmetro de 7 brawler
8 - diâmetro de 8 brawler9 - diâmetro de 9 brawler
10 - diâmetro de 10 brawler
11...
Duração:
1 - 3s
2 - 6s
3 - 9s
4 - 12s
5 - 15s
6 - 18s
7 - 21s
8 - 24s
9 - 27s
10 - infinito
11...
Frequência:
1 - 1/1min
2 - 1/50s
3 - 1/40s
4 - 1/30s
5 - 1/22s
6 - 1/15s
7 - 1/10s
8 - 1/7s
9 - 1/5s
10 - 1/3s
11...</text>
  </threadedComment>
  <threadedComment ref="AW2" dT="2026-06-02T02:50:25.74" personId="{B6012F0E-E5C6-4745-8A5E-4C6462E9C718}" id="{9757A7C1-1536-4550-8692-E71204F59585}">
    <text>0 - As informações do brawler/complemento não dependem de nenhuma forma da formação de inimigos ou terreno para que façam sentido
2,5 - As informações do brawler/complemento podem depender um pouco de formas de uso
5 - As informações do brawler/complemento podem depender um pouco de características de terreno, como presença de moitas/agua e/ou de formas de uso
7,5 - as informações dependem bastante de características externas como formas de uso, terreno e inimigos. A verificação humana é essencial para garantir que o brawler realmente seja bom.
10 - As informações dependem demais de fatores externos para funcionarem de forma adequada. Detalhes desses fatores devem ser destacados para o usuário.</text>
  </threadedComment>
  <threadedComment ref="AY2" dT="2026-06-02T02:56:43.63" personId="{B6012F0E-E5C6-4745-8A5E-4C6462E9C718}" id="{BA9408F7-257F-4DFD-9027-01F4C7DB27DA}">
    <text>(frequência + potência + velocidade) / 3
Frequência:
1 - 1/1min
2 - 1/50s
3 - 1/40s
4 - 1/30s
5 - 1/22s
6 - 1/15s
7 - 1/10s
8 - 1/7s
9 - 1/5s
10 - 1/3s
11...
Potência do hp:
1 - 1-500
2 - 500-1000
3 - 1000-1500
4 - 1500 - 2000
5 - 2000 - 2500
6 - 2500 - 3000
7 - 3000 - 3500
8 - 3500 - 4000
9 - 4000 - 4500
10 - 4500 - 5000
Velocidade da cura
3 - Lenta e parcelada
6 - Lenta ou muito circunstancial
9 - Instantânea e pouco circunstancial</text>
  </threadedComment>
  <threadedComment ref="AZ2" dT="2026-06-02T02:57:40.08" personId="{B6012F0E-E5C6-4745-8A5E-4C6462E9C718}" id="{3BA07920-6923-430E-80C5-0C85D4AE2BA0}">
    <text>(duração + potência) / 2 
potência:
1 - até 10%
2 - até 20%
3 - até 30%
4 - até 40%
5 - até 50%
6 - até 60%
7 - até 70%
8 - até 80%
9 - até 90%
10 - até 100%
duração
1 - 1s
2 - 2s
3 - 3s
4 - 4s
5 - 5s
6 - 6s
7 - 7s
8 - 8s
9 - 9s
10 - 10s</text>
  </threadedComment>
  <threadedComment ref="BA2" dT="2026-06-02T03:00:04.34" personId="{B6012F0E-E5C6-4745-8A5E-4C6462E9C718}" id="{BFC5B272-7AB6-4AB7-B3DD-C0CB3C2D5EE4}">
    <text>(frequência + potência) / 2 
Frequência:
1 - 1/1min
2 - 1/50s
3 - 1/40s
4 - 1/30s
5 - 1/22s
6 - 1/15s
7 - 1/10s
8 - 1/7s
9 - 1/5s
10 - 1/3s
11...
Potência do escudo:
1 - 1-500
2 - 500-1000
3 - 1000-1500
4 - 1500 - 2000
5 - 2000 - 2500
6 - 2500 - 3000
7 - 3000 - 3500
8 - 3500 - 4000
9 - 4000 - 4500
10 - 4500 - 5000</text>
  </threadedComment>
  <threadedComment ref="BB2" dT="2026-06-02T03:02:46.74" personId="{B6012F0E-E5C6-4745-8A5E-4C6462E9C718}" id="{2F78080D-0BB4-4EDA-BC8B-BBA37D7DB7D8}">
    <text>(frequência + potência + duração)/3
0 - não tem essa capacidade
Frequência:
1 - 1/1min
2 - 1/50s
3 - 1/40s
4 - 1/30s
5 - 1/22s
6 - 1/15s
7 - 1/10s
8 - 1/7s
9 - 1/5s
10 - 1/3s
11...
Potência do aumento de dano:
1 - até 5%
2 - até 10%
3 - até 15%
4 - até 20%
5 - até 25%
6 - até 30%
7 - até 35%
8 - até 40%
9 - até 45%
10 - até 50%
11...
duração
1 - 1s
2 - 2s
3 - 3s
4 - 4s
5 - 5s
6 - 6s
7 - 7s
8 - 8s
9 - 9s
10 - 10s
11...</text>
  </threadedComment>
  <threadedComment ref="BC2" dT="2026-06-02T03:03:24.08" personId="{B6012F0E-E5C6-4745-8A5E-4C6462E9C718}" id="{6A70DF2D-7FA9-4898-AF2E-503F0BD9C410}">
    <text>(duração + potência) / 2 
potência:
1 - até 8%
2 - até 16%
3 - até 24%
4 - até 32%
5 - até 40%
6 - até 48%
7 - até 56%
8 - até 64%
9 - até 72%
10 - até 80%
11...
duração
1 - 1s
2 - 2s
3 - 3s
4 - 4s
5 - 5s
6 - 6s
7 - 7s
8 - 8s
9 - 9s
10 - 10s</text>
  </threadedComment>
  <threadedComment ref="BD2" dT="2026-06-02T03:06:12.21" personId="{B6012F0E-E5C6-4745-8A5E-4C6462E9C718}" id="{E3B5C75E-A63E-4DF1-AB21-96072BE88947}">
    <text>(frequencia + duração) / 2 
Frequência
1 - 1/1min
2 - 1/50s
3 - 1/40s
4 - 1/30s
5 - 1/22s
6 - 1/15s
7 - 1/10s
8 - 1/7s
9 - 1/5s
10 - 1/3s
11...
Duração:
1 - 1s
2 - 2s
3 - 3s
4 - 4s
5 - 5s
6 - 6s
7 - 7s
8 - 8s
9 - 9s
10 - 10s
11...</text>
  </threadedComment>
  <threadedComment ref="BE2" dT="2026-06-02T03:20:06.88" personId="{B6012F0E-E5C6-4745-8A5E-4C6462E9C718}" id="{2C4F4EC5-6006-4309-8C21-C207444C929A}">
    <text>(frequência + duração + área) / 3
0 - não tem essa capacidade
Frequência:
1 - 1/1min
2 - 1/50s
3 - 1/40s
4 - 1/30s
5 - 1/22s
6 - 1/15s
7 - 1/10s
8 - 1/7s
9 - 1/5s
10 - 1/3s
11...
duração
1 - 1s
2 - 2s
3 - 3s
4 - 4s
5 - 5s
6 - 6s
7 - 7s
8 - 8s
9 - 9s
10 - 10s
11...
Area:
1 - diâmetro de 1 brawler
2 - diâmetro de 2 brawler
3 - diâmetro de 3 brawler
4 - diâmetro de 4 brawler
5 - diâmetro de 5 brawler
6 - diâmetro de 6 brawler
7 - diâmetro de 7 brawler
8 - diâmetro de 8 brawler9 - diâmetro de 9 brawler
10 - diâmetro de 10 brawler
11...</text>
  </threadedComment>
  <threadedComment ref="BG2" dT="2026-06-02T03:22:47.43" personId="{B6012F0E-E5C6-4745-8A5E-4C6462E9C718}" id="{BF3EF9EE-8771-4879-9B67-EA31C54B5816}">
    <text>0 - não aplica veneno
1 - duração de 1 hit
2 - duração de 2 hit
3 - duração de 3 hit
4 - duração de 4 hit
5 - duração de 5 hit
6 - duração de 6 hit
7 - duração de 7 hit
8 - duração de 8 hit
9 - duração de 9 hit
10 - duração de 10 hit
11...
/1 se proveniente do ataque principal
/2 se proveniente da super
/3 se proveniente de algo ainda mais ocasional</text>
  </threadedComment>
  <threadedComment ref="BH2" dT="2026-06-02T03:23:18.23" personId="{B6012F0E-E5C6-4745-8A5E-4C6462E9C718}" id="{98500EC3-98EB-46A3-9B91-2E318A31BEF2}">
    <text>(poder-cancelamento + frequência) / 2
poder cancelamento
1 - até 11%
2 - até 22%
3 - até 33%
4 - até 44%
5 - até 55%
6 - até 66%
7 - até 77%
8 - até 88%
9 - até 99%
10 - limpeza completa
Frequência:
1 - 1/1min
2 - 1/50s
3 - 1/40s
4 - 1/30s
5 - 1/22s
6 - 1/15s
7 - 1/10s
8 - 1/7s
9 - 1/5s
10 - 1/3s
11...</text>
  </threadedComment>
  <threadedComment ref="BI2" dT="2026-06-02T03:24:11.83" personId="{B6012F0E-E5C6-4745-8A5E-4C6462E9C718}" id="{27889731-7270-4229-931F-CFAAA24CB773}">
    <text>1 - stun até 0.1s
2 - stun até 0.35s
3 - stun até 0.6s
4 - stun até 0.85s
5 - stun até 1.1s
6 - stun até 1.35s
7 - stun até 1.6s
8 - stun até 1.85s
9 - stun até 2.1s
10 - stun até 2.5s
11...</text>
  </threadedComment>
  <threadedComment ref="BJ2" dT="2026-06-02T03:24:39.33" personId="{B6012F0E-E5C6-4745-8A5E-4C6462E9C718}" id="{532C8B5E-D4B0-45D9-A19A-AC90B97A1CE6}">
    <text>(poder-cancelamento + frequência) / 2
poder cancelamento
1 - até 11%
2 - até 22%
3 - até 33%
4 - até 44%
5 - até 55%
6 - até 66%
7 - até 77%
8 - até 88%
9 - até 99%
10 - limpeza completa
Frequência:
1 - 1/1min
2 - 1/50s
3 - 1/40s
4 - 1/30s
5 - 1/22s
6 - 1/15s
7 - 1/10s
8 - 1/7s
9 - 1/5s
10 - 1/3s
11...</text>
  </threadedComment>
  <threadedComment ref="BK2" dT="2026-06-02T03:31:43.31" personId="{B6012F0E-E5C6-4745-8A5E-4C6462E9C718}" id="{2FCE083B-8685-4397-ABBD-1FAEA5F3C471}">
    <text>(frequência + potência + duração)/3
0 - não tem essa capacidade
Frequência:
1 - 1/1min
2 - 1/50s
3 - 1/40s
4 - 1/30s
5 - 1/22s
6 - 1/15s
7 - 1/10s
8 - 1/7s
9 - 1/5s
10 - 1/3s
11...
Potência da lentidão:
1 - até 5%
2 - até 10%
3 - até 15%
4 - até 20%
5 - até 25%
6 - até 30%
7 - até 35%
8 - até 40%
9 - até 45%
10 - até 50%
11...
duração
1 - 0.5s
2 - 1s
3 - 1.5s
4 - 2s
5 - 2.5s
6 - 3s
7 - 3.5s
8 - 4s
9 - 4.5s
10 - 5s
11...</text>
  </threadedComment>
  <threadedComment ref="BL2" dT="2026-06-02T03:32:49.52" personId="{B6012F0E-E5C6-4745-8A5E-4C6462E9C718}" id="{4F3C11AD-7618-48A2-8113-98DDD4BAAE2A}">
    <text>(poder-cancelamento + frequência) / 2
poder cancelamento
1 - até 11%
2 - até 22%
3 - até 33%
4 - até 44%
5 - até 55%
6 - até 66%
7 - até 77%
8 - até 88%
9 - até 99%
10 - limpeza completa
Frequência:
1 - 1/1min
2 - 1/50s
3 - 1/40s
4 - 1/30s
5 - 1/22s
6 - 1/15s
7 - 1/10s
8 - 1/7s
9 - 1/5s
10 - 1/3s
11...</text>
  </threadedComment>
  <threadedComment ref="BM2" dT="2026-06-02T03:33:10.36" personId="{B6012F0E-E5C6-4745-8A5E-4C6462E9C718}" id="{6B8DA9B2-B31C-47E0-8E90-405EDA0F39F9}">
    <text>0 - o brawler não tem essa capacidade
1 - pouco e apenas de muito perto e não possui formas rápidas de se aproximar
2 - pouco e apenas de perto e não possui formas rápidas de se aproximar
3 - pouco e apenas de medio alcance e não possui formas rápidas de se aproximar
4 - pouco e apenas de perto mas possui formas de se aproximar
5 - pouco e apenas de perto mas possui formas de se aproximar rapidamente
6 - de médias/longas distâncias
7 - longas distâncias
8 - ignorando muros
9 - ignorando obstaculos a médio/longo alcance
10 - ignorando obstáculos e objetos a longo alcance
11...</text>
  </threadedComment>
  <threadedComment ref="BN2" dT="2026-06-02T03:33:36.55" personId="{B6012F0E-E5C6-4745-8A5E-4C6462E9C718}" id="{1AF3A5F1-F54A-45BB-BC53-D25CCAF0DA2C}">
    <text>Se o seu brawler não é especialmente afetado, assinale altamente competente (7). Caso seja (um frank por exemplo é muito afetado), tente medir o quão fácil é para o inimigo cancelar um ataque forte seu e te prejudicar.
6 - afetado levemente por demora até finalização do tiro
5 - afetado levemente numa situação específica
4 - afetado consideravelmente no super
3 - afetado consideravelmente no ataque principal
2 - afetado consideravelmente no super e ataque
-1 se dá mais de 1 segundo de tempo de reação na super
-2 se dá mais de 1 segundo de tempo de reação no ataque principal</text>
  </threadedComment>
</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00B00-423F-419C-BC3E-8C17D559405A}">
  <dimension ref="A9:G109"/>
  <sheetViews>
    <sheetView workbookViewId="0">
      <selection activeCell="B17" sqref="B17"/>
    </sheetView>
  </sheetViews>
  <sheetFormatPr defaultRowHeight="15"/>
  <cols>
    <col min="1" max="1" width="16.5703125" bestFit="1" customWidth="1"/>
    <col min="2" max="2" width="17.5703125" bestFit="1" customWidth="1"/>
    <col min="3" max="3" width="24.28515625" bestFit="1" customWidth="1"/>
    <col min="4" max="4" width="19.28515625" bestFit="1" customWidth="1"/>
    <col min="5" max="5" width="23.85546875" bestFit="1" customWidth="1"/>
    <col min="6" max="6" width="25.42578125" bestFit="1" customWidth="1"/>
    <col min="7" max="7" width="25.85546875" bestFit="1" customWidth="1"/>
    <col min="8" max="8" width="19.28515625" bestFit="1" customWidth="1"/>
    <col min="9" max="9" width="23.85546875" bestFit="1" customWidth="1"/>
    <col min="10" max="10" width="25.42578125" bestFit="1" customWidth="1"/>
    <col min="11" max="11" width="25.85546875" bestFit="1" customWidth="1"/>
    <col min="12" max="12" width="24.28515625" bestFit="1" customWidth="1"/>
    <col min="13" max="13" width="19.28515625" bestFit="1" customWidth="1"/>
    <col min="14" max="14" width="23.85546875" bestFit="1" customWidth="1"/>
    <col min="15" max="15" width="25.42578125" bestFit="1" customWidth="1"/>
    <col min="16" max="16" width="25.85546875" bestFit="1" customWidth="1"/>
    <col min="17" max="17" width="24.28515625" bestFit="1" customWidth="1"/>
    <col min="18" max="18" width="19.28515625" bestFit="1" customWidth="1"/>
    <col min="19" max="19" width="23.85546875" bestFit="1" customWidth="1"/>
    <col min="20" max="20" width="25.42578125" bestFit="1" customWidth="1"/>
    <col min="21" max="21" width="25.85546875" bestFit="1" customWidth="1"/>
    <col min="22" max="22" width="24.28515625" bestFit="1" customWidth="1"/>
    <col min="23" max="23" width="19.28515625" bestFit="1" customWidth="1"/>
    <col min="24" max="24" width="23.85546875" bestFit="1" customWidth="1"/>
    <col min="25" max="25" width="25.42578125" bestFit="1" customWidth="1"/>
    <col min="26" max="26" width="25.85546875" bestFit="1" customWidth="1"/>
    <col min="27" max="27" width="24.28515625" bestFit="1" customWidth="1"/>
    <col min="28" max="28" width="19.28515625" bestFit="1" customWidth="1"/>
    <col min="29" max="29" width="23.85546875" bestFit="1" customWidth="1"/>
    <col min="30" max="30" width="25.42578125" bestFit="1" customWidth="1"/>
    <col min="31" max="31" width="25.85546875" bestFit="1" customWidth="1"/>
    <col min="32" max="32" width="24.28515625" bestFit="1" customWidth="1"/>
    <col min="33" max="33" width="19.28515625" bestFit="1" customWidth="1"/>
    <col min="34" max="34" width="23.85546875" bestFit="1" customWidth="1"/>
    <col min="35" max="35" width="25.42578125" bestFit="1" customWidth="1"/>
    <col min="36" max="36" width="25.85546875" bestFit="1" customWidth="1"/>
    <col min="37" max="37" width="24.28515625" bestFit="1" customWidth="1"/>
    <col min="38" max="38" width="19.28515625" bestFit="1" customWidth="1"/>
    <col min="39" max="39" width="23.85546875" bestFit="1" customWidth="1"/>
    <col min="40" max="40" width="25.42578125" bestFit="1" customWidth="1"/>
    <col min="41" max="41" width="25.85546875" bestFit="1" customWidth="1"/>
    <col min="42" max="42" width="24.28515625" bestFit="1" customWidth="1"/>
    <col min="43" max="43" width="19.28515625" bestFit="1" customWidth="1"/>
    <col min="44" max="44" width="23.85546875" bestFit="1" customWidth="1"/>
    <col min="45" max="45" width="25.42578125" bestFit="1" customWidth="1"/>
    <col min="46" max="46" width="25.85546875" bestFit="1" customWidth="1"/>
    <col min="47" max="47" width="24.28515625" bestFit="1" customWidth="1"/>
    <col min="48" max="48" width="19.28515625" bestFit="1" customWidth="1"/>
    <col min="49" max="49" width="23.85546875" bestFit="1" customWidth="1"/>
    <col min="50" max="50" width="25.42578125" bestFit="1" customWidth="1"/>
    <col min="51" max="51" width="25.85546875" bestFit="1" customWidth="1"/>
    <col min="52" max="52" width="29" bestFit="1" customWidth="1"/>
    <col min="53" max="53" width="24.140625" bestFit="1" customWidth="1"/>
    <col min="54" max="54" width="28.5703125" bestFit="1" customWidth="1"/>
    <col min="55" max="55" width="30.140625" bestFit="1" customWidth="1"/>
    <col min="56" max="56" width="30.5703125" bestFit="1" customWidth="1"/>
  </cols>
  <sheetData>
    <row r="9" spans="1:7">
      <c r="A9" s="16" t="s">
        <v>0</v>
      </c>
      <c r="B9" t="s">
        <v>1</v>
      </c>
      <c r="C9" t="s">
        <v>2</v>
      </c>
      <c r="D9" t="s">
        <v>3</v>
      </c>
      <c r="E9" t="s">
        <v>4</v>
      </c>
      <c r="F9" t="s">
        <v>5</v>
      </c>
      <c r="G9" t="s">
        <v>6</v>
      </c>
    </row>
    <row r="10" spans="1:7">
      <c r="A10" t="s">
        <v>7</v>
      </c>
      <c r="B10" s="18">
        <v>7</v>
      </c>
      <c r="C10" s="18">
        <v>8</v>
      </c>
      <c r="D10" s="18">
        <v>6</v>
      </c>
      <c r="E10" s="18">
        <v>0</v>
      </c>
      <c r="F10" s="17">
        <v>1.9966666666666666</v>
      </c>
      <c r="G10" s="17">
        <v>7.3318518518518516</v>
      </c>
    </row>
    <row r="11" spans="1:7">
      <c r="A11" t="s">
        <v>8</v>
      </c>
      <c r="B11" s="18">
        <v>4</v>
      </c>
      <c r="C11" s="18">
        <v>1</v>
      </c>
      <c r="D11" s="18">
        <v>5</v>
      </c>
      <c r="E11" s="18">
        <v>6</v>
      </c>
      <c r="F11" s="17">
        <v>6.996666666666667</v>
      </c>
      <c r="G11" s="17">
        <v>5.5540740740740739</v>
      </c>
    </row>
    <row r="12" spans="1:7">
      <c r="A12" t="s">
        <v>9</v>
      </c>
      <c r="B12" s="18">
        <v>3</v>
      </c>
      <c r="C12" s="18">
        <v>7</v>
      </c>
      <c r="D12" s="18">
        <v>6</v>
      </c>
      <c r="E12" s="18">
        <v>0</v>
      </c>
      <c r="F12" s="17">
        <v>1.9966666666666666</v>
      </c>
      <c r="G12" s="17">
        <v>5.9985185185185186</v>
      </c>
    </row>
    <row r="13" spans="1:7">
      <c r="A13" t="s">
        <v>10</v>
      </c>
      <c r="B13" s="18">
        <v>3</v>
      </c>
      <c r="C13" s="18">
        <v>9</v>
      </c>
      <c r="D13" s="18">
        <v>6</v>
      </c>
      <c r="E13" s="18">
        <v>0</v>
      </c>
      <c r="F13" s="17">
        <v>3.33</v>
      </c>
      <c r="G13" s="17">
        <v>7.4799999999999995</v>
      </c>
    </row>
    <row r="14" spans="1:7">
      <c r="A14" t="s">
        <v>11</v>
      </c>
      <c r="B14" s="18">
        <v>9</v>
      </c>
      <c r="C14" s="18">
        <v>4</v>
      </c>
      <c r="D14" s="18">
        <v>5</v>
      </c>
      <c r="E14" s="18">
        <v>0</v>
      </c>
      <c r="F14" s="17">
        <v>3.996666666666667</v>
      </c>
      <c r="G14" s="17">
        <v>6.6651851851851847</v>
      </c>
    </row>
    <row r="15" spans="1:7">
      <c r="A15" t="s">
        <v>12</v>
      </c>
      <c r="B15" s="18">
        <v>2</v>
      </c>
      <c r="C15" s="18">
        <v>6</v>
      </c>
      <c r="D15" s="18">
        <v>5</v>
      </c>
      <c r="E15" s="18">
        <v>0</v>
      </c>
      <c r="F15" s="17">
        <v>1.6633333333333336</v>
      </c>
      <c r="G15" s="17">
        <v>4.9614814814814814</v>
      </c>
    </row>
    <row r="16" spans="1:7">
      <c r="A16" t="s">
        <v>13</v>
      </c>
      <c r="B16" s="18">
        <v>3</v>
      </c>
      <c r="C16" s="18">
        <v>8</v>
      </c>
      <c r="D16" s="18">
        <v>6</v>
      </c>
      <c r="E16" s="18">
        <v>0</v>
      </c>
      <c r="F16" s="17">
        <v>1.9966666666666666</v>
      </c>
      <c r="G16" s="17">
        <v>6.4429629629629623</v>
      </c>
    </row>
    <row r="17" spans="1:7">
      <c r="A17" t="s">
        <v>14</v>
      </c>
      <c r="B17" s="18">
        <v>2</v>
      </c>
      <c r="C17" s="18">
        <v>8</v>
      </c>
      <c r="D17" s="18">
        <v>4</v>
      </c>
      <c r="E17" s="18">
        <v>0</v>
      </c>
      <c r="F17" s="17">
        <v>1.6633333333333336</v>
      </c>
      <c r="G17" s="17">
        <v>5.6281481481481483</v>
      </c>
    </row>
    <row r="18" spans="1:7">
      <c r="A18" t="s">
        <v>15</v>
      </c>
      <c r="B18" s="18">
        <v>2</v>
      </c>
      <c r="C18" s="18">
        <v>5</v>
      </c>
      <c r="D18" s="18">
        <v>5</v>
      </c>
      <c r="E18" s="18">
        <v>7</v>
      </c>
      <c r="F18" s="17">
        <v>6.33</v>
      </c>
      <c r="G18" s="17">
        <v>6.5911111111111111</v>
      </c>
    </row>
    <row r="19" spans="1:7">
      <c r="A19" t="s">
        <v>16</v>
      </c>
      <c r="B19" s="18">
        <v>7</v>
      </c>
      <c r="C19" s="18">
        <v>2</v>
      </c>
      <c r="D19" s="18">
        <v>5</v>
      </c>
      <c r="E19" s="18">
        <v>0</v>
      </c>
      <c r="F19" s="17">
        <v>4.6633333333333331</v>
      </c>
      <c r="G19" s="17">
        <v>5.6281481481481483</v>
      </c>
    </row>
    <row r="20" spans="1:7">
      <c r="A20" t="s">
        <v>17</v>
      </c>
      <c r="B20" s="18">
        <v>4</v>
      </c>
      <c r="C20" s="18">
        <v>7</v>
      </c>
      <c r="D20" s="18">
        <v>5</v>
      </c>
      <c r="E20" s="18">
        <v>0</v>
      </c>
      <c r="F20" s="17">
        <v>2.33</v>
      </c>
      <c r="G20" s="17">
        <v>6.1466666666666665</v>
      </c>
    </row>
    <row r="21" spans="1:7">
      <c r="A21" t="s">
        <v>18</v>
      </c>
      <c r="B21" s="18">
        <v>6</v>
      </c>
      <c r="C21" s="18">
        <v>8</v>
      </c>
      <c r="D21" s="18">
        <v>5</v>
      </c>
      <c r="E21" s="18">
        <v>7</v>
      </c>
      <c r="F21" s="17">
        <v>6.996666666666667</v>
      </c>
      <c r="G21" s="17">
        <v>9.1096296296296302</v>
      </c>
    </row>
    <row r="22" spans="1:7">
      <c r="A22" t="s">
        <v>19</v>
      </c>
      <c r="B22" s="18">
        <v>3</v>
      </c>
      <c r="C22" s="18">
        <v>7</v>
      </c>
      <c r="D22" s="18">
        <v>6</v>
      </c>
      <c r="E22" s="18">
        <v>0</v>
      </c>
      <c r="F22" s="17">
        <v>1.9966666666666666</v>
      </c>
      <c r="G22" s="17">
        <v>5.9985185185185186</v>
      </c>
    </row>
    <row r="23" spans="1:7">
      <c r="A23" t="s">
        <v>20</v>
      </c>
      <c r="B23" s="18">
        <v>7</v>
      </c>
      <c r="C23" s="18">
        <v>2</v>
      </c>
      <c r="D23" s="18">
        <v>8</v>
      </c>
      <c r="E23" s="18">
        <v>4</v>
      </c>
      <c r="F23" s="17">
        <v>6.6633333333333331</v>
      </c>
      <c r="G23" s="17">
        <v>7.1837037037037037</v>
      </c>
    </row>
    <row r="24" spans="1:7">
      <c r="A24" t="s">
        <v>21</v>
      </c>
      <c r="B24" s="18">
        <v>7</v>
      </c>
      <c r="C24" s="18">
        <v>4</v>
      </c>
      <c r="D24" s="18">
        <v>4</v>
      </c>
      <c r="E24" s="18">
        <v>0</v>
      </c>
      <c r="F24" s="17">
        <v>3.996666666666667</v>
      </c>
      <c r="G24" s="17">
        <v>5.9985185185185186</v>
      </c>
    </row>
    <row r="25" spans="1:7">
      <c r="A25" t="s">
        <v>22</v>
      </c>
      <c r="B25" s="18">
        <v>7</v>
      </c>
      <c r="C25" s="18">
        <v>1</v>
      </c>
      <c r="D25" s="18">
        <v>6</v>
      </c>
      <c r="E25" s="18">
        <v>7</v>
      </c>
      <c r="F25" s="17">
        <v>8.663333333333334</v>
      </c>
      <c r="G25" s="17">
        <v>7.1837037037037037</v>
      </c>
    </row>
    <row r="26" spans="1:7">
      <c r="A26" t="s">
        <v>23</v>
      </c>
      <c r="B26" s="18">
        <v>2</v>
      </c>
      <c r="C26" s="18">
        <v>8</v>
      </c>
      <c r="D26" s="18">
        <v>4</v>
      </c>
      <c r="E26" s="18">
        <v>0</v>
      </c>
      <c r="F26" s="17">
        <v>1.6633333333333336</v>
      </c>
      <c r="G26" s="17">
        <v>5.6281481481481483</v>
      </c>
    </row>
    <row r="27" spans="1:7">
      <c r="A27" t="s">
        <v>24</v>
      </c>
      <c r="B27" s="18">
        <v>5</v>
      </c>
      <c r="C27" s="18">
        <v>7</v>
      </c>
      <c r="D27" s="18">
        <v>6</v>
      </c>
      <c r="E27" s="18">
        <v>0</v>
      </c>
      <c r="F27" s="17">
        <v>2.6633333333333336</v>
      </c>
      <c r="G27" s="17">
        <v>6.7392592592592599</v>
      </c>
    </row>
    <row r="28" spans="1:7">
      <c r="A28" t="s">
        <v>25</v>
      </c>
      <c r="B28" s="18">
        <v>4</v>
      </c>
      <c r="C28" s="18">
        <v>7</v>
      </c>
      <c r="D28" s="18">
        <v>5</v>
      </c>
      <c r="E28" s="18">
        <v>0</v>
      </c>
      <c r="F28" s="17">
        <v>2.33</v>
      </c>
      <c r="G28" s="17">
        <v>6.1466666666666665</v>
      </c>
    </row>
    <row r="29" spans="1:7">
      <c r="A29" t="s">
        <v>26</v>
      </c>
      <c r="B29" s="18">
        <v>4</v>
      </c>
      <c r="C29" s="18">
        <v>6</v>
      </c>
      <c r="D29" s="18">
        <v>7</v>
      </c>
      <c r="E29" s="18">
        <v>0</v>
      </c>
      <c r="F29" s="17">
        <v>2.9966666666666666</v>
      </c>
      <c r="G29" s="17">
        <v>6.4429629629629623</v>
      </c>
    </row>
    <row r="30" spans="1:7">
      <c r="A30" t="s">
        <v>27</v>
      </c>
      <c r="B30" s="18">
        <v>6</v>
      </c>
      <c r="C30" s="18">
        <v>4</v>
      </c>
      <c r="D30" s="18">
        <v>5</v>
      </c>
      <c r="E30" s="18">
        <v>5</v>
      </c>
      <c r="F30" s="17">
        <v>6.996666666666667</v>
      </c>
      <c r="G30" s="17">
        <v>7.3318518518518516</v>
      </c>
    </row>
    <row r="31" spans="1:7">
      <c r="A31" t="s">
        <v>28</v>
      </c>
      <c r="B31" s="18">
        <v>4</v>
      </c>
      <c r="C31" s="18">
        <v>7</v>
      </c>
      <c r="D31" s="18">
        <v>7</v>
      </c>
      <c r="E31" s="18">
        <v>0</v>
      </c>
      <c r="F31" s="17">
        <v>2.33</v>
      </c>
      <c r="G31" s="17">
        <v>6.5911111111111111</v>
      </c>
    </row>
    <row r="32" spans="1:7">
      <c r="A32" t="s">
        <v>29</v>
      </c>
      <c r="B32" s="18">
        <v>4</v>
      </c>
      <c r="C32" s="18">
        <v>8</v>
      </c>
      <c r="D32" s="18">
        <v>4</v>
      </c>
      <c r="E32" s="18">
        <v>0</v>
      </c>
      <c r="F32" s="17">
        <v>2.33</v>
      </c>
      <c r="G32" s="17">
        <v>6.3688888888888888</v>
      </c>
    </row>
    <row r="33" spans="1:7">
      <c r="A33" t="s">
        <v>30</v>
      </c>
      <c r="B33" s="18">
        <v>3</v>
      </c>
      <c r="C33" s="18">
        <v>8</v>
      </c>
      <c r="D33" s="18">
        <v>9</v>
      </c>
      <c r="E33" s="18">
        <v>0</v>
      </c>
      <c r="F33" s="17">
        <v>1.9966666666666666</v>
      </c>
      <c r="G33" s="17">
        <v>7.1096296296296293</v>
      </c>
    </row>
    <row r="34" spans="1:7">
      <c r="A34" t="s">
        <v>31</v>
      </c>
      <c r="B34" s="18">
        <v>4</v>
      </c>
      <c r="C34" s="18">
        <v>4</v>
      </c>
      <c r="D34" s="18">
        <v>6</v>
      </c>
      <c r="E34" s="18">
        <v>8</v>
      </c>
      <c r="F34" s="17">
        <v>8.9966666666666661</v>
      </c>
      <c r="G34" s="17">
        <v>7.9985185185185186</v>
      </c>
    </row>
    <row r="35" spans="1:7">
      <c r="A35" t="s">
        <v>32</v>
      </c>
      <c r="B35" s="18">
        <v>3</v>
      </c>
      <c r="C35" s="18">
        <v>6</v>
      </c>
      <c r="D35" s="18">
        <v>6</v>
      </c>
      <c r="E35" s="18">
        <v>7</v>
      </c>
      <c r="F35" s="17">
        <v>7.9966666666666661</v>
      </c>
      <c r="G35" s="17">
        <v>8.2207407407407409</v>
      </c>
    </row>
    <row r="36" spans="1:7">
      <c r="A36" t="s">
        <v>33</v>
      </c>
      <c r="B36" s="18">
        <v>8</v>
      </c>
      <c r="C36" s="18">
        <v>4</v>
      </c>
      <c r="D36" s="18">
        <v>5</v>
      </c>
      <c r="E36" s="18">
        <v>6</v>
      </c>
      <c r="F36" s="17">
        <v>8.33</v>
      </c>
      <c r="G36" s="17">
        <v>8.3688888888888879</v>
      </c>
    </row>
    <row r="37" spans="1:7">
      <c r="A37" t="s">
        <v>34</v>
      </c>
      <c r="B37" s="18">
        <v>7</v>
      </c>
      <c r="C37" s="18">
        <v>3</v>
      </c>
      <c r="D37" s="18">
        <v>5</v>
      </c>
      <c r="E37" s="18">
        <v>0</v>
      </c>
      <c r="F37" s="17">
        <v>3.996666666666667</v>
      </c>
      <c r="G37" s="17">
        <v>5.7762962962962963</v>
      </c>
    </row>
    <row r="38" spans="1:7">
      <c r="A38" t="s">
        <v>35</v>
      </c>
      <c r="B38" s="18">
        <v>8</v>
      </c>
      <c r="C38" s="18">
        <v>3</v>
      </c>
      <c r="D38" s="18">
        <v>5</v>
      </c>
      <c r="E38" s="18">
        <v>0</v>
      </c>
      <c r="F38" s="17">
        <v>3.6633333333333331</v>
      </c>
      <c r="G38" s="17">
        <v>5.8503703703703707</v>
      </c>
    </row>
    <row r="39" spans="1:7">
      <c r="A39" t="s">
        <v>36</v>
      </c>
      <c r="B39" s="18">
        <v>3</v>
      </c>
      <c r="C39" s="18">
        <v>6</v>
      </c>
      <c r="D39" s="18">
        <v>8</v>
      </c>
      <c r="E39" s="18">
        <v>0</v>
      </c>
      <c r="F39" s="17">
        <v>2.6633333333333336</v>
      </c>
      <c r="G39" s="17">
        <v>6.2948148148148153</v>
      </c>
    </row>
    <row r="40" spans="1:7">
      <c r="A40" t="s">
        <v>37</v>
      </c>
      <c r="B40" s="18">
        <v>4</v>
      </c>
      <c r="C40" s="18">
        <v>1</v>
      </c>
      <c r="D40" s="18">
        <v>5</v>
      </c>
      <c r="E40" s="18">
        <v>6</v>
      </c>
      <c r="F40" s="17">
        <v>7.663333333333334</v>
      </c>
      <c r="G40" s="17">
        <v>5.8503703703703707</v>
      </c>
    </row>
    <row r="41" spans="1:7">
      <c r="A41" t="s">
        <v>38</v>
      </c>
      <c r="B41" s="18">
        <v>10</v>
      </c>
      <c r="C41" s="18">
        <v>1</v>
      </c>
      <c r="D41" s="18">
        <v>5</v>
      </c>
      <c r="E41" s="18">
        <v>3</v>
      </c>
      <c r="F41" s="17">
        <v>6.996666666666667</v>
      </c>
      <c r="G41" s="17">
        <v>6.887407407407407</v>
      </c>
    </row>
    <row r="42" spans="1:7">
      <c r="A42" t="s">
        <v>39</v>
      </c>
      <c r="B42" s="18">
        <v>4</v>
      </c>
      <c r="C42" s="18">
        <v>5</v>
      </c>
      <c r="D42" s="18">
        <v>6</v>
      </c>
      <c r="E42" s="18">
        <v>0</v>
      </c>
      <c r="F42" s="17">
        <v>2.33</v>
      </c>
      <c r="G42" s="17">
        <v>5.48</v>
      </c>
    </row>
    <row r="43" spans="1:7">
      <c r="A43" t="s">
        <v>40</v>
      </c>
      <c r="B43" s="18">
        <v>3</v>
      </c>
      <c r="C43" s="18">
        <v>8</v>
      </c>
      <c r="D43" s="18">
        <v>4</v>
      </c>
      <c r="E43" s="18">
        <v>0</v>
      </c>
      <c r="F43" s="17">
        <v>1.9966666666666666</v>
      </c>
      <c r="G43" s="17">
        <v>5.9985185185185186</v>
      </c>
    </row>
    <row r="44" spans="1:7">
      <c r="A44" t="s">
        <v>41</v>
      </c>
      <c r="B44" s="18">
        <v>6</v>
      </c>
      <c r="C44" s="18">
        <v>8</v>
      </c>
      <c r="D44" s="18">
        <v>6</v>
      </c>
      <c r="E44" s="18">
        <v>8</v>
      </c>
      <c r="F44" s="17">
        <v>8.9966666666666661</v>
      </c>
      <c r="G44" s="17">
        <v>10.220740740740741</v>
      </c>
    </row>
    <row r="45" spans="1:7">
      <c r="A45" t="s">
        <v>42</v>
      </c>
      <c r="B45" s="18">
        <v>4</v>
      </c>
      <c r="C45" s="18">
        <v>6</v>
      </c>
      <c r="D45" s="18">
        <v>5</v>
      </c>
      <c r="E45" s="18">
        <v>0</v>
      </c>
      <c r="F45" s="17">
        <v>2.9966666666666666</v>
      </c>
      <c r="G45" s="17">
        <v>5.9985185185185186</v>
      </c>
    </row>
    <row r="46" spans="1:7">
      <c r="A46" t="s">
        <v>43</v>
      </c>
      <c r="B46" s="18">
        <v>10</v>
      </c>
      <c r="C46" s="18">
        <v>5</v>
      </c>
      <c r="D46" s="18">
        <v>5</v>
      </c>
      <c r="E46" s="18">
        <v>0</v>
      </c>
      <c r="F46" s="17">
        <v>4.996666666666667</v>
      </c>
      <c r="G46" s="17">
        <v>7.7762962962962963</v>
      </c>
    </row>
    <row r="47" spans="1:7">
      <c r="A47" t="s">
        <v>44</v>
      </c>
      <c r="B47" s="18">
        <v>5</v>
      </c>
      <c r="C47" s="18">
        <v>7</v>
      </c>
      <c r="D47" s="18">
        <v>5</v>
      </c>
      <c r="E47" s="18">
        <v>0</v>
      </c>
      <c r="F47" s="17">
        <v>2.6633333333333336</v>
      </c>
      <c r="G47" s="17">
        <v>6.5170370370370376</v>
      </c>
    </row>
    <row r="48" spans="1:7">
      <c r="A48" t="s">
        <v>45</v>
      </c>
      <c r="B48" s="18">
        <v>4</v>
      </c>
      <c r="C48" s="18">
        <v>9</v>
      </c>
      <c r="D48" s="18">
        <v>3</v>
      </c>
      <c r="E48" s="18">
        <v>0</v>
      </c>
      <c r="F48" s="17">
        <v>2.33</v>
      </c>
      <c r="G48" s="17">
        <v>6.5911111111111111</v>
      </c>
    </row>
    <row r="49" spans="1:7">
      <c r="A49" t="s">
        <v>46</v>
      </c>
      <c r="B49" s="18">
        <v>5</v>
      </c>
      <c r="C49" s="18">
        <v>1</v>
      </c>
      <c r="D49" s="18">
        <v>5</v>
      </c>
      <c r="E49" s="18">
        <v>6</v>
      </c>
      <c r="F49" s="17">
        <v>7.9966666666666661</v>
      </c>
      <c r="G49" s="17">
        <v>6.2207407407407409</v>
      </c>
    </row>
    <row r="50" spans="1:7">
      <c r="A50" t="s">
        <v>47</v>
      </c>
      <c r="B50" s="18">
        <v>4</v>
      </c>
      <c r="C50" s="18">
        <v>6</v>
      </c>
      <c r="D50" s="18">
        <v>3</v>
      </c>
      <c r="E50" s="18">
        <v>0</v>
      </c>
      <c r="F50" s="17">
        <v>2.9966666666666666</v>
      </c>
      <c r="G50" s="17">
        <v>5.5540740740740739</v>
      </c>
    </row>
    <row r="51" spans="1:7">
      <c r="A51" t="s">
        <v>48</v>
      </c>
      <c r="B51" s="18">
        <v>4</v>
      </c>
      <c r="C51" s="18">
        <v>7</v>
      </c>
      <c r="D51" s="18">
        <v>4</v>
      </c>
      <c r="E51" s="18">
        <v>7</v>
      </c>
      <c r="F51" s="17">
        <v>6.996666666666667</v>
      </c>
      <c r="G51" s="17">
        <v>7.9985185185185186</v>
      </c>
    </row>
    <row r="52" spans="1:7">
      <c r="A52" t="s">
        <v>49</v>
      </c>
      <c r="B52" s="18">
        <v>4</v>
      </c>
      <c r="C52" s="18">
        <v>7</v>
      </c>
      <c r="D52" s="18">
        <v>9</v>
      </c>
      <c r="E52" s="18">
        <v>0</v>
      </c>
      <c r="F52" s="17">
        <v>2.33</v>
      </c>
      <c r="G52" s="17">
        <v>7.0355555555555558</v>
      </c>
    </row>
    <row r="53" spans="1:7">
      <c r="A53" t="s">
        <v>50</v>
      </c>
      <c r="B53" s="18">
        <v>3</v>
      </c>
      <c r="C53" s="18">
        <v>7</v>
      </c>
      <c r="D53" s="18">
        <v>4</v>
      </c>
      <c r="E53" s="18">
        <v>0</v>
      </c>
      <c r="F53" s="17">
        <v>1.9966666666666666</v>
      </c>
      <c r="G53" s="17">
        <v>5.5540740740740739</v>
      </c>
    </row>
    <row r="54" spans="1:7">
      <c r="A54" t="s">
        <v>51</v>
      </c>
      <c r="B54" s="18">
        <v>3</v>
      </c>
      <c r="C54" s="18">
        <v>8</v>
      </c>
      <c r="D54" s="18">
        <v>4</v>
      </c>
      <c r="E54" s="18">
        <v>0</v>
      </c>
      <c r="F54" s="17">
        <v>1.9966666666666666</v>
      </c>
      <c r="G54" s="17">
        <v>5.9985185185185186</v>
      </c>
    </row>
    <row r="55" spans="1:7">
      <c r="A55" t="s">
        <v>52</v>
      </c>
      <c r="B55" s="18">
        <v>7</v>
      </c>
      <c r="C55" s="18">
        <v>4</v>
      </c>
      <c r="D55" s="18">
        <v>5</v>
      </c>
      <c r="E55" s="18">
        <v>0</v>
      </c>
      <c r="F55" s="17">
        <v>3.33</v>
      </c>
      <c r="G55" s="17">
        <v>5.9244444444444442</v>
      </c>
    </row>
    <row r="56" spans="1:7">
      <c r="A56" t="s">
        <v>53</v>
      </c>
      <c r="B56" s="18">
        <v>7</v>
      </c>
      <c r="C56" s="18">
        <v>3</v>
      </c>
      <c r="D56" s="18">
        <v>4</v>
      </c>
      <c r="E56" s="18">
        <v>0</v>
      </c>
      <c r="F56" s="17">
        <v>3.996666666666667</v>
      </c>
      <c r="G56" s="17">
        <v>5.5540740740740739</v>
      </c>
    </row>
    <row r="57" spans="1:7">
      <c r="A57" t="s">
        <v>54</v>
      </c>
      <c r="B57" s="18">
        <v>4</v>
      </c>
      <c r="C57" s="18">
        <v>7</v>
      </c>
      <c r="D57" s="18">
        <v>3</v>
      </c>
      <c r="E57" s="18">
        <v>0</v>
      </c>
      <c r="F57" s="17">
        <v>2.9966666666666666</v>
      </c>
      <c r="G57" s="17">
        <v>5.9985185185185186</v>
      </c>
    </row>
    <row r="58" spans="1:7">
      <c r="A58" t="s">
        <v>55</v>
      </c>
      <c r="B58" s="18">
        <v>3</v>
      </c>
      <c r="C58" s="18">
        <v>5</v>
      </c>
      <c r="D58" s="18">
        <v>4</v>
      </c>
      <c r="E58" s="18">
        <v>2</v>
      </c>
      <c r="F58" s="17">
        <v>3.33</v>
      </c>
      <c r="G58" s="17">
        <v>5.2577777777777781</v>
      </c>
    </row>
    <row r="59" spans="1:7">
      <c r="A59" t="s">
        <v>56</v>
      </c>
      <c r="B59" s="18">
        <v>3</v>
      </c>
      <c r="C59" s="18">
        <v>7</v>
      </c>
      <c r="D59" s="18">
        <v>6</v>
      </c>
      <c r="E59" s="18">
        <v>0</v>
      </c>
      <c r="F59" s="17">
        <v>1.9966666666666666</v>
      </c>
      <c r="G59" s="17">
        <v>5.9985185185185186</v>
      </c>
    </row>
    <row r="60" spans="1:7">
      <c r="A60" t="s">
        <v>57</v>
      </c>
      <c r="B60" s="18">
        <v>3</v>
      </c>
      <c r="C60" s="18">
        <v>7</v>
      </c>
      <c r="D60" s="18">
        <v>5</v>
      </c>
      <c r="E60" s="18">
        <v>0</v>
      </c>
      <c r="F60" s="17">
        <v>1.9966666666666666</v>
      </c>
      <c r="G60" s="17">
        <v>5.7762962962962963</v>
      </c>
    </row>
    <row r="61" spans="1:7">
      <c r="A61" t="s">
        <v>58</v>
      </c>
      <c r="B61" s="18">
        <v>5</v>
      </c>
      <c r="C61" s="18">
        <v>4</v>
      </c>
      <c r="D61" s="18">
        <v>6</v>
      </c>
      <c r="E61" s="18">
        <v>8</v>
      </c>
      <c r="F61" s="17">
        <v>9.33</v>
      </c>
      <c r="G61" s="17">
        <v>8.3688888888888879</v>
      </c>
    </row>
    <row r="62" spans="1:7">
      <c r="A62" t="s">
        <v>59</v>
      </c>
      <c r="B62" s="18">
        <v>5</v>
      </c>
      <c r="C62" s="18">
        <v>2</v>
      </c>
      <c r="D62" s="18">
        <v>4</v>
      </c>
      <c r="E62" s="18">
        <v>3</v>
      </c>
      <c r="F62" s="17">
        <v>5.996666666666667</v>
      </c>
      <c r="G62" s="17">
        <v>5.5540740740740739</v>
      </c>
    </row>
    <row r="63" spans="1:7">
      <c r="A63" t="s">
        <v>60</v>
      </c>
      <c r="B63" s="18">
        <v>3</v>
      </c>
      <c r="C63" s="18">
        <v>4</v>
      </c>
      <c r="D63" s="18">
        <v>5</v>
      </c>
      <c r="E63" s="18">
        <v>7</v>
      </c>
      <c r="F63" s="17">
        <v>7.9966666666666661</v>
      </c>
      <c r="G63" s="17">
        <v>7.1096296296296293</v>
      </c>
    </row>
    <row r="64" spans="1:7">
      <c r="A64" t="s">
        <v>61</v>
      </c>
      <c r="B64" s="18">
        <v>3</v>
      </c>
      <c r="C64" s="18">
        <v>5</v>
      </c>
      <c r="D64" s="18">
        <v>5</v>
      </c>
      <c r="E64" s="18">
        <v>0</v>
      </c>
      <c r="F64" s="17">
        <v>2.6633333333333336</v>
      </c>
      <c r="G64" s="17">
        <v>5.1837037037037037</v>
      </c>
    </row>
    <row r="65" spans="1:7">
      <c r="A65" t="s">
        <v>62</v>
      </c>
      <c r="B65" s="18">
        <v>4</v>
      </c>
      <c r="C65" s="18">
        <v>7</v>
      </c>
      <c r="D65" s="18">
        <v>4</v>
      </c>
      <c r="E65" s="18">
        <v>9</v>
      </c>
      <c r="F65" s="17">
        <v>9.663333333333334</v>
      </c>
      <c r="G65" s="17">
        <v>9.1837037037037046</v>
      </c>
    </row>
    <row r="66" spans="1:7">
      <c r="A66" t="s">
        <v>63</v>
      </c>
      <c r="B66" s="18">
        <v>5</v>
      </c>
      <c r="C66" s="18">
        <v>1</v>
      </c>
      <c r="D66" s="18">
        <v>6</v>
      </c>
      <c r="E66" s="18">
        <v>9</v>
      </c>
      <c r="F66" s="17">
        <v>9.9966666666666661</v>
      </c>
      <c r="G66" s="17">
        <v>7.3318518518518516</v>
      </c>
    </row>
    <row r="67" spans="1:7">
      <c r="A67" t="s">
        <v>64</v>
      </c>
      <c r="B67" s="18">
        <v>5</v>
      </c>
      <c r="C67" s="18">
        <v>7</v>
      </c>
      <c r="D67" s="18">
        <v>6</v>
      </c>
      <c r="E67" s="18">
        <v>0</v>
      </c>
      <c r="F67" s="17">
        <v>2.6633333333333336</v>
      </c>
      <c r="G67" s="17">
        <v>6.7392592592592599</v>
      </c>
    </row>
    <row r="68" spans="1:7">
      <c r="A68" t="s">
        <v>65</v>
      </c>
      <c r="B68" s="18">
        <v>4</v>
      </c>
      <c r="C68" s="18">
        <v>8</v>
      </c>
      <c r="D68" s="18">
        <v>5</v>
      </c>
      <c r="E68" s="18">
        <v>0</v>
      </c>
      <c r="F68" s="17">
        <v>2.33</v>
      </c>
      <c r="G68" s="17">
        <v>6.5911111111111111</v>
      </c>
    </row>
    <row r="69" spans="1:7">
      <c r="A69" t="s">
        <v>66</v>
      </c>
      <c r="B69" s="18">
        <v>3</v>
      </c>
      <c r="C69" s="18">
        <v>7</v>
      </c>
      <c r="D69" s="18">
        <v>5</v>
      </c>
      <c r="E69" s="18">
        <v>0</v>
      </c>
      <c r="F69" s="17">
        <v>1.9966666666666666</v>
      </c>
      <c r="G69" s="17">
        <v>5.7762962962962963</v>
      </c>
    </row>
    <row r="70" spans="1:7">
      <c r="A70" t="s">
        <v>67</v>
      </c>
      <c r="B70" s="18">
        <v>5</v>
      </c>
      <c r="C70" s="18">
        <v>7</v>
      </c>
      <c r="D70" s="18">
        <v>5</v>
      </c>
      <c r="E70" s="18">
        <v>0</v>
      </c>
      <c r="F70" s="17">
        <v>2.6633333333333336</v>
      </c>
      <c r="G70" s="17">
        <v>6.5170370370370376</v>
      </c>
    </row>
    <row r="71" spans="1:7">
      <c r="A71" t="s">
        <v>68</v>
      </c>
      <c r="B71" s="18">
        <v>3</v>
      </c>
      <c r="C71" s="18">
        <v>10</v>
      </c>
      <c r="D71" s="18">
        <v>6</v>
      </c>
      <c r="E71" s="18">
        <v>0</v>
      </c>
      <c r="F71" s="17">
        <v>1.9966666666666666</v>
      </c>
      <c r="G71" s="17">
        <v>7.3318518518518516</v>
      </c>
    </row>
    <row r="72" spans="1:7">
      <c r="A72" t="s">
        <v>69</v>
      </c>
      <c r="B72" s="18">
        <v>4</v>
      </c>
      <c r="C72" s="18">
        <v>7</v>
      </c>
      <c r="D72" s="18">
        <v>5</v>
      </c>
      <c r="E72" s="18">
        <v>0</v>
      </c>
      <c r="F72" s="17">
        <v>3.6633333333333331</v>
      </c>
      <c r="G72" s="17">
        <v>6.7392592592592599</v>
      </c>
    </row>
    <row r="73" spans="1:7">
      <c r="A73" t="s">
        <v>70</v>
      </c>
      <c r="B73" s="18">
        <v>3</v>
      </c>
      <c r="C73" s="18">
        <v>7</v>
      </c>
      <c r="D73" s="18">
        <v>4</v>
      </c>
      <c r="E73" s="18">
        <v>0</v>
      </c>
      <c r="F73" s="17">
        <v>1.9966666666666666</v>
      </c>
      <c r="G73" s="17">
        <v>5.5540740740740739</v>
      </c>
    </row>
    <row r="74" spans="1:7">
      <c r="A74" t="s">
        <v>71</v>
      </c>
      <c r="B74" s="18">
        <v>7</v>
      </c>
      <c r="C74" s="18">
        <v>6</v>
      </c>
      <c r="D74" s="18">
        <v>7</v>
      </c>
      <c r="E74" s="18">
        <v>0</v>
      </c>
      <c r="F74" s="17">
        <v>3.996666666666667</v>
      </c>
      <c r="G74" s="17">
        <v>7.5540740740740739</v>
      </c>
    </row>
    <row r="75" spans="1:7">
      <c r="A75" t="s">
        <v>72</v>
      </c>
      <c r="B75" s="18">
        <v>4</v>
      </c>
      <c r="C75" s="18">
        <v>6</v>
      </c>
      <c r="D75" s="18">
        <v>5</v>
      </c>
      <c r="E75" s="18">
        <v>4</v>
      </c>
      <c r="F75" s="17">
        <v>4.996666666666667</v>
      </c>
      <c r="G75" s="17">
        <v>6.887407407407407</v>
      </c>
    </row>
    <row r="76" spans="1:7">
      <c r="A76" t="s">
        <v>73</v>
      </c>
      <c r="B76" s="18">
        <v>4</v>
      </c>
      <c r="C76" s="18">
        <v>2</v>
      </c>
      <c r="D76" s="18">
        <v>4</v>
      </c>
      <c r="E76" s="18">
        <v>5</v>
      </c>
      <c r="F76" s="17">
        <v>6.996666666666667</v>
      </c>
      <c r="G76" s="17">
        <v>5.7762962962962963</v>
      </c>
    </row>
    <row r="77" spans="1:7">
      <c r="A77" t="s">
        <v>74</v>
      </c>
      <c r="B77" s="18">
        <v>4</v>
      </c>
      <c r="C77" s="18">
        <v>6</v>
      </c>
      <c r="D77" s="18">
        <v>5</v>
      </c>
      <c r="E77" s="18">
        <v>4</v>
      </c>
      <c r="F77" s="17">
        <v>5.6633333333333331</v>
      </c>
      <c r="G77" s="17">
        <v>7.1837037037037037</v>
      </c>
    </row>
    <row r="78" spans="1:7">
      <c r="A78" t="s">
        <v>75</v>
      </c>
      <c r="B78" s="18">
        <v>4</v>
      </c>
      <c r="C78" s="18">
        <v>7</v>
      </c>
      <c r="D78" s="18">
        <v>5</v>
      </c>
      <c r="E78" s="18">
        <v>0</v>
      </c>
      <c r="F78" s="17">
        <v>2.33</v>
      </c>
      <c r="G78" s="17">
        <v>6.1466666666666665</v>
      </c>
    </row>
    <row r="79" spans="1:7">
      <c r="A79" t="s">
        <v>76</v>
      </c>
      <c r="B79" s="18">
        <v>4</v>
      </c>
      <c r="C79" s="18">
        <v>6</v>
      </c>
      <c r="D79" s="18">
        <v>5</v>
      </c>
      <c r="E79" s="18">
        <v>6</v>
      </c>
      <c r="F79" s="17">
        <v>6.996666666666667</v>
      </c>
      <c r="G79" s="17">
        <v>7.7762962962962963</v>
      </c>
    </row>
    <row r="80" spans="1:7">
      <c r="A80" t="s">
        <v>77</v>
      </c>
      <c r="B80" s="18">
        <v>5</v>
      </c>
      <c r="C80" s="18">
        <v>1</v>
      </c>
      <c r="D80" s="18">
        <v>4</v>
      </c>
      <c r="E80" s="18">
        <v>4</v>
      </c>
      <c r="F80" s="17">
        <v>6.6633333333333331</v>
      </c>
      <c r="G80" s="17">
        <v>5.405925925925926</v>
      </c>
    </row>
    <row r="81" spans="1:7">
      <c r="A81" t="s">
        <v>78</v>
      </c>
      <c r="B81" s="18">
        <v>2</v>
      </c>
      <c r="C81" s="18">
        <v>10</v>
      </c>
      <c r="D81" s="18">
        <v>7</v>
      </c>
      <c r="E81" s="18">
        <v>0</v>
      </c>
      <c r="F81" s="17">
        <v>1.6633333333333336</v>
      </c>
      <c r="G81" s="17">
        <v>7.1837037037037037</v>
      </c>
    </row>
    <row r="82" spans="1:7">
      <c r="A82" t="s">
        <v>79</v>
      </c>
      <c r="B82" s="18">
        <v>5</v>
      </c>
      <c r="C82" s="18">
        <v>5</v>
      </c>
      <c r="D82" s="18">
        <v>6</v>
      </c>
      <c r="E82" s="18">
        <v>0</v>
      </c>
      <c r="F82" s="17">
        <v>2.6633333333333336</v>
      </c>
      <c r="G82" s="17">
        <v>5.8503703703703707</v>
      </c>
    </row>
    <row r="83" spans="1:7">
      <c r="A83" t="s">
        <v>80</v>
      </c>
      <c r="B83" s="18">
        <v>7</v>
      </c>
      <c r="C83" s="18">
        <v>4</v>
      </c>
      <c r="D83" s="18">
        <v>2</v>
      </c>
      <c r="E83" s="18">
        <v>4</v>
      </c>
      <c r="F83" s="17">
        <v>6.6633333333333331</v>
      </c>
      <c r="G83" s="17">
        <v>6.7392592592592599</v>
      </c>
    </row>
    <row r="84" spans="1:7">
      <c r="A84" t="s">
        <v>81</v>
      </c>
      <c r="B84" s="18">
        <v>4</v>
      </c>
      <c r="C84" s="18">
        <v>7</v>
      </c>
      <c r="D84" s="18">
        <v>5</v>
      </c>
      <c r="E84" s="18">
        <v>0</v>
      </c>
      <c r="F84" s="17">
        <v>2.33</v>
      </c>
      <c r="G84" s="17">
        <v>6.1466666666666665</v>
      </c>
    </row>
    <row r="85" spans="1:7">
      <c r="A85" t="s">
        <v>82</v>
      </c>
      <c r="B85" s="18">
        <v>7</v>
      </c>
      <c r="C85" s="18">
        <v>7</v>
      </c>
      <c r="D85" s="18">
        <v>5</v>
      </c>
      <c r="E85" s="18">
        <v>0</v>
      </c>
      <c r="F85" s="17">
        <v>3.33</v>
      </c>
      <c r="G85" s="17">
        <v>7.2577777777777772</v>
      </c>
    </row>
    <row r="86" spans="1:7">
      <c r="A86" t="s">
        <v>83</v>
      </c>
      <c r="B86" s="18">
        <v>5</v>
      </c>
      <c r="C86" s="18">
        <v>7</v>
      </c>
      <c r="D86" s="18">
        <v>6</v>
      </c>
      <c r="E86" s="18">
        <v>0</v>
      </c>
      <c r="F86" s="17">
        <v>2.6633333333333336</v>
      </c>
      <c r="G86" s="17">
        <v>6.7392592592592599</v>
      </c>
    </row>
    <row r="87" spans="1:7">
      <c r="A87" t="s">
        <v>84</v>
      </c>
      <c r="B87" s="18">
        <v>4</v>
      </c>
      <c r="C87" s="18">
        <v>6</v>
      </c>
      <c r="D87" s="18">
        <v>5</v>
      </c>
      <c r="E87" s="18">
        <v>0</v>
      </c>
      <c r="F87" s="17">
        <v>2.33</v>
      </c>
      <c r="G87" s="17">
        <v>5.7022222222222219</v>
      </c>
    </row>
    <row r="88" spans="1:7">
      <c r="A88" t="s">
        <v>85</v>
      </c>
      <c r="B88" s="18">
        <v>3</v>
      </c>
      <c r="C88" s="18">
        <v>9</v>
      </c>
      <c r="D88" s="18">
        <v>6</v>
      </c>
      <c r="E88" s="18">
        <v>0</v>
      </c>
      <c r="F88" s="17">
        <v>1.9966666666666666</v>
      </c>
      <c r="G88" s="17">
        <v>6.887407407407407</v>
      </c>
    </row>
    <row r="89" spans="1:7">
      <c r="A89" t="s">
        <v>86</v>
      </c>
      <c r="B89" s="18">
        <v>2</v>
      </c>
      <c r="C89" s="18">
        <v>9</v>
      </c>
      <c r="D89" s="18">
        <v>6</v>
      </c>
      <c r="E89" s="18">
        <v>1</v>
      </c>
      <c r="F89" s="17">
        <v>2.33</v>
      </c>
      <c r="G89" s="17">
        <v>6.8133333333333335</v>
      </c>
    </row>
    <row r="90" spans="1:7">
      <c r="A90" t="s">
        <v>87</v>
      </c>
      <c r="B90" s="18">
        <v>5</v>
      </c>
      <c r="C90" s="18">
        <v>6</v>
      </c>
      <c r="D90" s="18">
        <v>2</v>
      </c>
      <c r="E90" s="18">
        <v>0</v>
      </c>
      <c r="F90" s="17">
        <v>2.6633333333333336</v>
      </c>
      <c r="G90" s="17">
        <v>5.405925925925926</v>
      </c>
    </row>
    <row r="91" spans="1:7">
      <c r="A91" t="s">
        <v>88</v>
      </c>
      <c r="B91" s="18">
        <v>3</v>
      </c>
      <c r="C91" s="18">
        <v>8</v>
      </c>
      <c r="D91" s="18">
        <v>9</v>
      </c>
      <c r="E91" s="18">
        <v>0</v>
      </c>
      <c r="F91" s="17">
        <v>1.9966666666666666</v>
      </c>
      <c r="G91" s="17">
        <v>7.1096296296296293</v>
      </c>
    </row>
    <row r="92" spans="1:7">
      <c r="A92" t="s">
        <v>89</v>
      </c>
      <c r="B92" s="18">
        <v>7</v>
      </c>
      <c r="C92" s="18">
        <v>3</v>
      </c>
      <c r="D92" s="18">
        <v>4</v>
      </c>
      <c r="E92" s="18">
        <v>0</v>
      </c>
      <c r="F92" s="17">
        <v>3.996666666666667</v>
      </c>
      <c r="G92" s="17">
        <v>5.5540740740740739</v>
      </c>
    </row>
    <row r="93" spans="1:7">
      <c r="A93" t="s">
        <v>90</v>
      </c>
      <c r="B93" s="18">
        <v>5</v>
      </c>
      <c r="C93" s="18">
        <v>8</v>
      </c>
      <c r="D93" s="18">
        <v>7</v>
      </c>
      <c r="E93" s="18">
        <v>0</v>
      </c>
      <c r="F93" s="17">
        <v>2.6633333333333336</v>
      </c>
      <c r="G93" s="17">
        <v>7.405925925925926</v>
      </c>
    </row>
    <row r="94" spans="1:7">
      <c r="A94" t="s">
        <v>91</v>
      </c>
      <c r="B94" s="18">
        <v>3</v>
      </c>
      <c r="C94" s="18">
        <v>7</v>
      </c>
      <c r="D94" s="18">
        <v>5</v>
      </c>
      <c r="E94" s="18">
        <v>0</v>
      </c>
      <c r="F94" s="17">
        <v>1.9966666666666666</v>
      </c>
      <c r="G94" s="17">
        <v>5.7762962962962963</v>
      </c>
    </row>
    <row r="95" spans="1:7">
      <c r="A95" t="s">
        <v>92</v>
      </c>
      <c r="B95" s="18">
        <v>8</v>
      </c>
      <c r="C95" s="18">
        <v>3</v>
      </c>
      <c r="D95" s="18">
        <v>4</v>
      </c>
      <c r="E95" s="18">
        <v>0</v>
      </c>
      <c r="F95" s="17">
        <v>4.33</v>
      </c>
      <c r="G95" s="17">
        <v>5.9244444444444442</v>
      </c>
    </row>
    <row r="96" spans="1:7">
      <c r="A96" t="s">
        <v>93</v>
      </c>
      <c r="B96" s="18">
        <v>5</v>
      </c>
      <c r="C96" s="18">
        <v>4</v>
      </c>
      <c r="D96" s="18">
        <v>3</v>
      </c>
      <c r="E96" s="18">
        <v>0</v>
      </c>
      <c r="F96" s="17">
        <v>3.33</v>
      </c>
      <c r="G96" s="17">
        <v>5.0355555555555558</v>
      </c>
    </row>
    <row r="97" spans="1:7">
      <c r="A97" t="s">
        <v>94</v>
      </c>
      <c r="B97" s="18">
        <v>4</v>
      </c>
      <c r="C97" s="18">
        <v>2</v>
      </c>
      <c r="D97" s="18">
        <v>4</v>
      </c>
      <c r="E97" s="18">
        <v>5</v>
      </c>
      <c r="F97" s="17">
        <v>6.996666666666667</v>
      </c>
      <c r="G97" s="17">
        <v>5.7762962962962963</v>
      </c>
    </row>
    <row r="98" spans="1:7">
      <c r="A98" t="s">
        <v>95</v>
      </c>
      <c r="B98" s="18">
        <v>4</v>
      </c>
      <c r="C98" s="18">
        <v>6</v>
      </c>
      <c r="D98" s="18">
        <v>8</v>
      </c>
      <c r="E98" s="18">
        <v>0</v>
      </c>
      <c r="F98" s="17">
        <v>2.9966666666666666</v>
      </c>
      <c r="G98" s="17">
        <v>6.6651851851851847</v>
      </c>
    </row>
    <row r="99" spans="1:7">
      <c r="A99" t="s">
        <v>96</v>
      </c>
      <c r="B99" s="18">
        <v>3</v>
      </c>
      <c r="C99" s="18">
        <v>7</v>
      </c>
      <c r="D99" s="18">
        <v>7</v>
      </c>
      <c r="E99" s="18">
        <v>0</v>
      </c>
      <c r="F99" s="17">
        <v>1.9966666666666666</v>
      </c>
      <c r="G99" s="17">
        <v>6.2207407407407409</v>
      </c>
    </row>
    <row r="100" spans="1:7">
      <c r="A100" t="s">
        <v>97</v>
      </c>
      <c r="B100" s="18">
        <v>3</v>
      </c>
      <c r="C100" s="18">
        <v>6</v>
      </c>
      <c r="D100" s="18">
        <v>4</v>
      </c>
      <c r="E100" s="18">
        <v>0</v>
      </c>
      <c r="F100" s="17">
        <v>1.9966666666666666</v>
      </c>
      <c r="G100" s="17">
        <v>5.1096296296296293</v>
      </c>
    </row>
    <row r="101" spans="1:7">
      <c r="A101" t="s">
        <v>98</v>
      </c>
      <c r="B101" s="18">
        <v>4</v>
      </c>
      <c r="C101" s="18">
        <v>7</v>
      </c>
      <c r="D101" s="18">
        <v>6</v>
      </c>
      <c r="E101" s="18">
        <v>0</v>
      </c>
      <c r="F101" s="17">
        <v>2.33</v>
      </c>
      <c r="G101" s="17">
        <v>6.3688888888888888</v>
      </c>
    </row>
    <row r="102" spans="1:7">
      <c r="A102" t="s">
        <v>99</v>
      </c>
      <c r="B102" s="18">
        <v>4</v>
      </c>
      <c r="C102" s="18">
        <v>6</v>
      </c>
      <c r="D102" s="18">
        <v>4</v>
      </c>
      <c r="E102" s="18">
        <v>3</v>
      </c>
      <c r="F102" s="17">
        <v>4.33</v>
      </c>
      <c r="G102" s="17">
        <v>6.3688888888888888</v>
      </c>
    </row>
    <row r="103" spans="1:7">
      <c r="A103" t="s">
        <v>100</v>
      </c>
      <c r="B103" s="18">
        <v>3</v>
      </c>
      <c r="C103" s="18">
        <v>6</v>
      </c>
      <c r="D103" s="18">
        <v>4</v>
      </c>
      <c r="E103" s="18">
        <v>0</v>
      </c>
      <c r="F103" s="17">
        <v>1.9966666666666666</v>
      </c>
      <c r="G103" s="17">
        <v>5.1096296296296293</v>
      </c>
    </row>
    <row r="104" spans="1:7">
      <c r="A104" t="s">
        <v>101</v>
      </c>
      <c r="B104" s="18">
        <v>1</v>
      </c>
      <c r="C104" s="18">
        <v>7</v>
      </c>
      <c r="D104" s="18">
        <v>5</v>
      </c>
      <c r="E104" s="18">
        <v>0</v>
      </c>
      <c r="F104" s="17">
        <v>1.33</v>
      </c>
      <c r="G104" s="17">
        <v>5.0355555555555558</v>
      </c>
    </row>
    <row r="105" spans="1:7">
      <c r="A105" t="s">
        <v>102</v>
      </c>
      <c r="B105" s="18">
        <v>7</v>
      </c>
      <c r="C105" s="18">
        <v>3</v>
      </c>
      <c r="D105" s="18">
        <v>6</v>
      </c>
      <c r="E105" s="18">
        <v>6</v>
      </c>
      <c r="F105" s="17">
        <v>7.9966666666666661</v>
      </c>
      <c r="G105" s="17">
        <v>7.7762962962962963</v>
      </c>
    </row>
    <row r="106" spans="1:7">
      <c r="A106" t="s">
        <v>103</v>
      </c>
      <c r="B106" s="18">
        <v>3</v>
      </c>
      <c r="C106" s="18">
        <v>7</v>
      </c>
      <c r="D106" s="18">
        <v>5</v>
      </c>
      <c r="E106" s="18">
        <v>2</v>
      </c>
      <c r="F106" s="17">
        <v>2.9966666666666666</v>
      </c>
      <c r="G106" s="17">
        <v>6.2207407407407409</v>
      </c>
    </row>
    <row r="107" spans="1:7">
      <c r="A107" t="s">
        <v>104</v>
      </c>
      <c r="B107" s="18">
        <v>3</v>
      </c>
      <c r="C107" s="18">
        <v>6</v>
      </c>
      <c r="D107" s="18">
        <v>4</v>
      </c>
      <c r="E107" s="18">
        <v>0</v>
      </c>
      <c r="F107" s="17">
        <v>1.9966666666666666</v>
      </c>
      <c r="G107" s="17">
        <v>5.1096296296296293</v>
      </c>
    </row>
    <row r="108" spans="1:7">
      <c r="A108" t="s">
        <v>105</v>
      </c>
      <c r="B108" s="18">
        <v>3</v>
      </c>
      <c r="C108" s="18">
        <v>7</v>
      </c>
      <c r="D108" s="18">
        <v>5</v>
      </c>
      <c r="E108" s="18">
        <v>0</v>
      </c>
      <c r="F108" s="17">
        <v>2.6633333333333336</v>
      </c>
      <c r="G108" s="17">
        <v>6.072592592592593</v>
      </c>
    </row>
    <row r="109" spans="1:7">
      <c r="A109" t="s">
        <v>106</v>
      </c>
      <c r="B109" s="18">
        <v>442</v>
      </c>
      <c r="C109" s="18">
        <v>570</v>
      </c>
      <c r="D109" s="18">
        <v>514</v>
      </c>
      <c r="E109" s="18">
        <v>169</v>
      </c>
      <c r="F109" s="17">
        <v>394.33666666666687</v>
      </c>
      <c r="G109" s="17">
        <v>641.0385185185188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F132"/>
  <sheetViews>
    <sheetView topLeftCell="A105" workbookViewId="0">
      <selection activeCell="B114" sqref="B114"/>
    </sheetView>
  </sheetViews>
  <sheetFormatPr defaultRowHeight="15"/>
  <cols>
    <col min="2" max="2" width="16" style="3" customWidth="1"/>
    <col min="3" max="3" width="15.5703125" style="3" bestFit="1" customWidth="1"/>
    <col min="4" max="7" width="6.5703125" style="3" customWidth="1"/>
    <col min="8" max="8" width="7.7109375" style="3" customWidth="1"/>
    <col min="9" max="9" width="7.42578125" style="3" customWidth="1"/>
    <col min="10" max="10" width="7.85546875" style="3" customWidth="1"/>
    <col min="11" max="11" width="7.42578125" style="3" customWidth="1"/>
    <col min="12" max="12" width="6.7109375" style="3" customWidth="1"/>
    <col min="13" max="13" width="8.28515625" style="3" customWidth="1"/>
    <col min="14" max="14" width="7.5703125" style="3" customWidth="1"/>
    <col min="15" max="16" width="8.140625" style="3" customWidth="1"/>
    <col min="17" max="17" width="6.85546875" style="3" customWidth="1"/>
    <col min="18" max="18" width="7" style="3" customWidth="1"/>
    <col min="19" max="19" width="7.5703125" style="3" customWidth="1"/>
    <col min="20" max="20" width="7.28515625" style="3" customWidth="1"/>
    <col min="21" max="21" width="6.42578125" style="3" customWidth="1"/>
    <col min="22" max="22" width="7" style="3" customWidth="1"/>
    <col min="23" max="23" width="6.28515625" style="3" customWidth="1"/>
    <col min="24" max="24" width="6.5703125" style="3" customWidth="1"/>
    <col min="25" max="25" width="6" style="3" customWidth="1"/>
    <col min="26" max="26" width="5.42578125" style="3" customWidth="1"/>
    <col min="27" max="27" width="5.5703125" style="12" customWidth="1"/>
    <col min="28" max="28" width="5.5703125" style="3" customWidth="1"/>
    <col min="29" max="29" width="5.7109375" style="3" customWidth="1"/>
    <col min="30" max="30" width="5.42578125" style="3" customWidth="1"/>
    <col min="31" max="31" width="5.85546875" style="3" customWidth="1"/>
    <col min="32" max="32" width="6.28515625" style="3" customWidth="1"/>
    <col min="33" max="33" width="6.42578125" style="3" customWidth="1"/>
    <col min="34" max="34" width="6.5703125" style="3" customWidth="1"/>
    <col min="35" max="35" width="6.7109375" style="3" customWidth="1"/>
    <col min="36" max="36" width="6.5703125" style="3" customWidth="1"/>
    <col min="37" max="37" width="6.140625" style="3" customWidth="1"/>
    <col min="38" max="39" width="6.42578125" style="3" customWidth="1"/>
    <col min="40" max="40" width="7" style="3" customWidth="1"/>
    <col min="41" max="41" width="7.28515625" style="3" customWidth="1"/>
    <col min="42" max="42" width="7" style="3" customWidth="1"/>
    <col min="43" max="43" width="7.85546875" customWidth="1"/>
    <col min="53" max="53" width="5.5703125" style="3" customWidth="1"/>
  </cols>
  <sheetData>
    <row r="1" spans="2:53" ht="44.25" customHeight="1">
      <c r="W1" s="19" t="s">
        <v>107</v>
      </c>
      <c r="X1" s="19"/>
      <c r="Y1" s="19"/>
      <c r="Z1" s="19"/>
      <c r="AA1" s="15" t="s">
        <v>108</v>
      </c>
      <c r="AB1" s="15" t="s">
        <v>109</v>
      </c>
      <c r="AC1" s="19" t="s">
        <v>110</v>
      </c>
    </row>
    <row r="2" spans="2:53">
      <c r="C2" s="5"/>
      <c r="D2" s="5"/>
      <c r="E2" s="5"/>
      <c r="F2" s="5"/>
      <c r="G2" s="5"/>
      <c r="H2" s="5"/>
      <c r="I2" s="5"/>
      <c r="J2" s="5"/>
      <c r="K2" s="5"/>
      <c r="L2" s="5"/>
      <c r="M2" s="5"/>
      <c r="N2" s="5"/>
      <c r="O2" s="5"/>
      <c r="P2" s="5"/>
      <c r="Q2" s="5"/>
      <c r="R2" s="5"/>
      <c r="S2" s="5"/>
      <c r="T2" s="5"/>
      <c r="U2" s="5"/>
      <c r="V2" s="5"/>
      <c r="AB2" s="12"/>
      <c r="AO2" s="6"/>
      <c r="BA2" s="6"/>
    </row>
    <row r="3" spans="2:53">
      <c r="B3" s="2" t="s">
        <v>111</v>
      </c>
      <c r="C3" s="7" t="s">
        <v>0</v>
      </c>
      <c r="D3" s="20"/>
      <c r="E3" s="20"/>
      <c r="F3" s="20"/>
      <c r="G3" s="20"/>
      <c r="H3" s="20" t="s">
        <v>112</v>
      </c>
      <c r="I3" s="20"/>
      <c r="J3" s="20" t="s">
        <v>113</v>
      </c>
      <c r="K3" s="20"/>
      <c r="L3" s="20"/>
      <c r="M3" s="20"/>
      <c r="N3" s="20"/>
      <c r="O3" s="20"/>
      <c r="P3" s="20" t="s">
        <v>114</v>
      </c>
      <c r="Q3" s="20"/>
      <c r="R3" s="20"/>
      <c r="S3" s="20"/>
      <c r="T3" s="20"/>
      <c r="U3" s="20"/>
      <c r="V3" s="20"/>
      <c r="W3" s="8" t="s">
        <v>115</v>
      </c>
      <c r="X3" s="8" t="s">
        <v>116</v>
      </c>
      <c r="Y3" s="8" t="s">
        <v>117</v>
      </c>
      <c r="Z3" s="8" t="s">
        <v>118</v>
      </c>
      <c r="AA3" s="13" t="s">
        <v>119</v>
      </c>
      <c r="AB3" s="13" t="s">
        <v>120</v>
      </c>
      <c r="AC3" s="8" t="s">
        <v>121</v>
      </c>
      <c r="AO3" s="6"/>
      <c r="BA3" s="6"/>
    </row>
    <row r="4" spans="2:53">
      <c r="B4" s="4">
        <v>1</v>
      </c>
      <c r="C4" s="10" t="s">
        <v>95</v>
      </c>
      <c r="D4" s="22"/>
      <c r="E4" s="22"/>
      <c r="F4" s="22"/>
      <c r="G4" s="22"/>
      <c r="H4" s="22">
        <v>7</v>
      </c>
      <c r="I4" s="22"/>
      <c r="J4" s="22"/>
      <c r="K4" s="22"/>
      <c r="L4" s="22"/>
      <c r="M4" s="22"/>
      <c r="N4" s="22"/>
      <c r="O4" s="22"/>
      <c r="P4" s="22"/>
      <c r="Q4" s="22"/>
      <c r="R4" s="22"/>
      <c r="S4" s="22"/>
      <c r="T4" s="22"/>
      <c r="U4" s="22"/>
      <c r="V4" s="22"/>
      <c r="W4" s="9">
        <v>4</v>
      </c>
      <c r="X4" s="9">
        <v>6</v>
      </c>
      <c r="Y4" s="9">
        <v>8</v>
      </c>
      <c r="Z4" s="9">
        <v>0</v>
      </c>
      <c r="AA4" s="14">
        <f>SUM(Z4, AVERAGE(7, W4))/1.5-0.67</f>
        <v>2.9966666666666666</v>
      </c>
      <c r="AB4" s="14">
        <f>SUM(X4, AA4, AVERAGE(Y4, W4))/2.25</f>
        <v>6.6651851851851847</v>
      </c>
      <c r="AC4" s="23">
        <f>SUM(AVERAGE(Y4, W4), AVERAGE(Y4, 7))/1.5</f>
        <v>9</v>
      </c>
      <c r="AO4" s="6"/>
      <c r="BA4" s="6"/>
    </row>
    <row r="5" spans="2:53">
      <c r="B5" s="4">
        <v>2</v>
      </c>
      <c r="C5" s="11" t="s">
        <v>79</v>
      </c>
      <c r="D5" s="21"/>
      <c r="E5" s="21"/>
      <c r="F5" s="21"/>
      <c r="G5" s="21"/>
      <c r="H5" s="21">
        <v>9</v>
      </c>
      <c r="I5" s="21"/>
      <c r="J5" s="21"/>
      <c r="K5" s="21"/>
      <c r="L5" s="21"/>
      <c r="M5" s="21"/>
      <c r="N5" s="21"/>
      <c r="O5" s="21"/>
      <c r="P5" s="21"/>
      <c r="Q5" s="21"/>
      <c r="R5" s="21"/>
      <c r="S5" s="21"/>
      <c r="T5" s="21"/>
      <c r="U5" s="21"/>
      <c r="V5" s="21"/>
      <c r="W5" s="9">
        <v>5</v>
      </c>
      <c r="X5" s="9">
        <v>5</v>
      </c>
      <c r="Y5" s="9">
        <v>6</v>
      </c>
      <c r="Z5" s="9">
        <v>0</v>
      </c>
      <c r="AA5" s="14">
        <f>SUM(Z5, AVERAGE(5, W5))/1.5-0.67</f>
        <v>2.6633333333333336</v>
      </c>
      <c r="AB5" s="14">
        <f>SUM(X5, AA5, AVERAGE(Y5, W5))/2.25</f>
        <v>5.8503703703703707</v>
      </c>
      <c r="AC5" s="23">
        <f>SUM(AVERAGE(Y5, W5), AVERAGE(Y5, 9))/1.5</f>
        <v>8.6666666666666661</v>
      </c>
      <c r="AO5" s="6"/>
      <c r="BA5" s="6"/>
    </row>
    <row r="6" spans="2:53">
      <c r="B6" s="4">
        <v>3</v>
      </c>
      <c r="C6" s="10" t="s">
        <v>30</v>
      </c>
      <c r="D6" s="22"/>
      <c r="E6" s="22"/>
      <c r="F6" s="22"/>
      <c r="G6" s="22"/>
      <c r="H6" s="22">
        <v>6</v>
      </c>
      <c r="I6" s="22"/>
      <c r="J6" s="22"/>
      <c r="K6" s="22"/>
      <c r="L6" s="22"/>
      <c r="M6" s="22"/>
      <c r="N6" s="22"/>
      <c r="O6" s="22"/>
      <c r="P6" s="22"/>
      <c r="Q6" s="22"/>
      <c r="R6" s="22"/>
      <c r="S6" s="22"/>
      <c r="T6" s="22"/>
      <c r="U6" s="22"/>
      <c r="V6" s="22"/>
      <c r="W6" s="9">
        <v>3</v>
      </c>
      <c r="X6" s="9">
        <v>8</v>
      </c>
      <c r="Y6" s="9">
        <v>9</v>
      </c>
      <c r="Z6" s="9">
        <v>0</v>
      </c>
      <c r="AA6" s="14">
        <f>SUM(Z6, AVERAGE(5, W6))/1.5-0.67</f>
        <v>1.9966666666666666</v>
      </c>
      <c r="AB6" s="14">
        <f>SUM(X6, AA6, AVERAGE(Y6, W6))/2.25</f>
        <v>7.1096296296296293</v>
      </c>
      <c r="AC6" s="23">
        <f>SUM(AVERAGE(Y6, W6), AVERAGE(Y6, 6))/1.5</f>
        <v>9</v>
      </c>
      <c r="AO6" s="6"/>
      <c r="BA6" s="6"/>
    </row>
    <row r="7" spans="2:53">
      <c r="B7" s="4">
        <v>4</v>
      </c>
      <c r="C7" s="10" t="s">
        <v>20</v>
      </c>
      <c r="D7" s="22"/>
      <c r="E7" s="22"/>
      <c r="F7" s="22"/>
      <c r="G7" s="22"/>
      <c r="H7" s="22">
        <v>7</v>
      </c>
      <c r="I7" s="22"/>
      <c r="J7" s="22"/>
      <c r="K7" s="22"/>
      <c r="L7" s="22"/>
      <c r="M7" s="22"/>
      <c r="N7" s="22"/>
      <c r="O7" s="22"/>
      <c r="P7" s="22"/>
      <c r="Q7" s="22"/>
      <c r="R7" s="22"/>
      <c r="S7" s="22"/>
      <c r="T7" s="22"/>
      <c r="U7" s="22"/>
      <c r="V7" s="22"/>
      <c r="W7" s="9">
        <v>7</v>
      </c>
      <c r="X7" s="9">
        <v>2</v>
      </c>
      <c r="Y7" s="9">
        <v>8</v>
      </c>
      <c r="Z7" s="9">
        <v>4</v>
      </c>
      <c r="AA7" s="14">
        <f>SUM(Z7, AVERAGE(7, W7))/1.5-0.67</f>
        <v>6.6633333333333331</v>
      </c>
      <c r="AB7" s="14">
        <f>SUM(X7, AA7, AVERAGE(Y7, W7))/2.25</f>
        <v>7.1837037037037037</v>
      </c>
      <c r="AC7" s="23">
        <f>SUM(AVERAGE(Y7, W7), AVERAGE(Y7, 7))/1.5</f>
        <v>10</v>
      </c>
      <c r="AO7" s="6"/>
      <c r="BA7" s="6"/>
    </row>
    <row r="8" spans="2:53">
      <c r="B8" s="4">
        <v>5</v>
      </c>
      <c r="C8" s="11" t="s">
        <v>19</v>
      </c>
      <c r="D8" s="21"/>
      <c r="E8" s="21"/>
      <c r="F8" s="21"/>
      <c r="G8" s="21"/>
      <c r="H8" s="21">
        <v>7</v>
      </c>
      <c r="I8" s="21"/>
      <c r="J8" s="21"/>
      <c r="K8" s="21"/>
      <c r="L8" s="21"/>
      <c r="M8" s="21"/>
      <c r="N8" s="21"/>
      <c r="O8" s="21"/>
      <c r="P8" s="21"/>
      <c r="Q8" s="21"/>
      <c r="R8" s="21"/>
      <c r="S8" s="21"/>
      <c r="T8" s="21"/>
      <c r="U8" s="21"/>
      <c r="V8" s="21"/>
      <c r="W8" s="9">
        <v>3</v>
      </c>
      <c r="X8" s="9">
        <v>7</v>
      </c>
      <c r="Y8" s="9">
        <v>6</v>
      </c>
      <c r="Z8" s="9">
        <v>0</v>
      </c>
      <c r="AA8" s="14">
        <f>SUM(Z8, AVERAGE(5, W8))/1.5-0.67</f>
        <v>1.9966666666666666</v>
      </c>
      <c r="AB8" s="14">
        <f>SUM(X8, AA8, AVERAGE(Y8, W8))/2.25</f>
        <v>5.9985185185185186</v>
      </c>
      <c r="AC8" s="23">
        <f>SUM(AVERAGE(Y8, W8), AVERAGE(Y8, 7))/1.5</f>
        <v>7.333333333333333</v>
      </c>
      <c r="AO8" s="6"/>
      <c r="BA8" s="6"/>
    </row>
    <row r="9" spans="2:53">
      <c r="B9" s="4">
        <v>6</v>
      </c>
      <c r="C9" s="10" t="s">
        <v>38</v>
      </c>
      <c r="D9" s="22"/>
      <c r="E9" s="22"/>
      <c r="F9" s="22"/>
      <c r="G9" s="22"/>
      <c r="H9" s="22">
        <v>7</v>
      </c>
      <c r="I9" s="22"/>
      <c r="J9" s="22"/>
      <c r="K9" s="22"/>
      <c r="L9" s="22"/>
      <c r="M9" s="22"/>
      <c r="N9" s="22"/>
      <c r="O9" s="22"/>
      <c r="P9" s="22"/>
      <c r="Q9" s="22"/>
      <c r="R9" s="22"/>
      <c r="S9" s="22"/>
      <c r="T9" s="22"/>
      <c r="U9" s="22"/>
      <c r="V9" s="22"/>
      <c r="W9" s="9">
        <v>10</v>
      </c>
      <c r="X9" s="9">
        <v>1</v>
      </c>
      <c r="Y9" s="9">
        <v>5</v>
      </c>
      <c r="Z9" s="9">
        <v>3</v>
      </c>
      <c r="AA9" s="14">
        <f>SUM(Z9, AVERAGE(7, W9))/1.5-0.67</f>
        <v>6.996666666666667</v>
      </c>
      <c r="AB9" s="14">
        <f>SUM(X9, AA9, AVERAGE(Y9, W9))/2.25</f>
        <v>6.887407407407407</v>
      </c>
      <c r="AC9" s="23">
        <f>SUM(AVERAGE(Y9, W9), AVERAGE(Y9, 7))/1.5</f>
        <v>9</v>
      </c>
      <c r="AO9" s="6"/>
      <c r="BA9" s="6"/>
    </row>
    <row r="10" spans="2:53">
      <c r="B10" s="4">
        <v>7</v>
      </c>
      <c r="C10" s="10" t="s">
        <v>12</v>
      </c>
      <c r="D10" s="22"/>
      <c r="E10" s="22"/>
      <c r="F10" s="22"/>
      <c r="G10" s="22"/>
      <c r="H10" s="22">
        <v>5</v>
      </c>
      <c r="I10" s="22"/>
      <c r="J10" s="22"/>
      <c r="K10" s="22"/>
      <c r="L10" s="22"/>
      <c r="M10" s="22"/>
      <c r="N10" s="22"/>
      <c r="O10" s="22"/>
      <c r="P10" s="22"/>
      <c r="Q10" s="22"/>
      <c r="R10" s="22"/>
      <c r="S10" s="22"/>
      <c r="T10" s="22"/>
      <c r="U10" s="22"/>
      <c r="V10" s="22"/>
      <c r="W10" s="9">
        <v>2</v>
      </c>
      <c r="X10" s="9">
        <v>6</v>
      </c>
      <c r="Y10" s="9">
        <v>5</v>
      </c>
      <c r="Z10" s="9">
        <v>0</v>
      </c>
      <c r="AA10" s="14">
        <f>SUM(Z10, AVERAGE(5, W10))/1.5-0.67</f>
        <v>1.6633333333333336</v>
      </c>
      <c r="AB10" s="14">
        <f>SUM(X10, AA10, AVERAGE(Y10, W10))/2.25</f>
        <v>4.9614814814814814</v>
      </c>
      <c r="AC10" s="23">
        <f>SUM(AVERAGE(Y10, W10), AVERAGE(Y10, 5))/1.5</f>
        <v>5.666666666666667</v>
      </c>
      <c r="AO10" s="6"/>
      <c r="BA10" s="6"/>
    </row>
    <row r="11" spans="2:53">
      <c r="B11" s="4">
        <v>8</v>
      </c>
      <c r="C11" s="10" t="s">
        <v>87</v>
      </c>
      <c r="D11" s="22"/>
      <c r="E11" s="22"/>
      <c r="F11" s="22"/>
      <c r="G11" s="22"/>
      <c r="H11" s="22">
        <v>9</v>
      </c>
      <c r="I11" s="22"/>
      <c r="J11" s="22"/>
      <c r="K11" s="22"/>
      <c r="L11" s="22"/>
      <c r="M11" s="22"/>
      <c r="N11" s="22"/>
      <c r="O11" s="22"/>
      <c r="P11" s="22"/>
      <c r="Q11" s="22"/>
      <c r="R11" s="22"/>
      <c r="S11" s="22"/>
      <c r="T11" s="22"/>
      <c r="U11" s="22"/>
      <c r="V11" s="22"/>
      <c r="W11" s="9">
        <v>5</v>
      </c>
      <c r="X11" s="9">
        <v>6</v>
      </c>
      <c r="Y11" s="9">
        <v>2</v>
      </c>
      <c r="Z11" s="9">
        <v>0</v>
      </c>
      <c r="AA11" s="14">
        <f>SUM(Z11, AVERAGE(5, W11))/1.5-0.67</f>
        <v>2.6633333333333336</v>
      </c>
      <c r="AB11" s="14">
        <f>SUM(X11, AA11, AVERAGE(Y11, W11))/2.25</f>
        <v>5.405925925925926</v>
      </c>
      <c r="AC11" s="23">
        <f>SUM(AVERAGE(Y11, W11), AVERAGE(Y11, 9))/1.5</f>
        <v>6</v>
      </c>
      <c r="AO11" s="6"/>
      <c r="BA11" s="6"/>
    </row>
    <row r="12" spans="2:53">
      <c r="B12" s="4">
        <v>9</v>
      </c>
      <c r="C12" s="11" t="s">
        <v>89</v>
      </c>
      <c r="D12" s="21"/>
      <c r="E12" s="21"/>
      <c r="F12" s="21"/>
      <c r="G12" s="21"/>
      <c r="H12" s="21">
        <v>8</v>
      </c>
      <c r="I12" s="21"/>
      <c r="J12" s="21"/>
      <c r="K12" s="21"/>
      <c r="L12" s="21"/>
      <c r="M12" s="21"/>
      <c r="N12" s="21"/>
      <c r="O12" s="21"/>
      <c r="P12" s="21"/>
      <c r="Q12" s="21"/>
      <c r="R12" s="21"/>
      <c r="S12" s="21"/>
      <c r="T12" s="21"/>
      <c r="U12" s="21"/>
      <c r="V12" s="21"/>
      <c r="W12" s="9">
        <v>7</v>
      </c>
      <c r="X12" s="9">
        <v>3</v>
      </c>
      <c r="Y12" s="9">
        <v>4</v>
      </c>
      <c r="Z12" s="9">
        <v>0</v>
      </c>
      <c r="AA12" s="14">
        <f>SUM(Z12, AVERAGE(7, W12))/1.5-0.67</f>
        <v>3.996666666666667</v>
      </c>
      <c r="AB12" s="14">
        <f>SUM(X12, AA12, AVERAGE(Y12, W12))/2.25</f>
        <v>5.5540740740740739</v>
      </c>
      <c r="AC12" s="23">
        <f>SUM(AVERAGE(Y12, W12), AVERAGE(Y12, 8))/1.5</f>
        <v>7.666666666666667</v>
      </c>
      <c r="AO12" s="6"/>
      <c r="BA12" s="6"/>
    </row>
    <row r="13" spans="2:53">
      <c r="B13" s="4">
        <v>10</v>
      </c>
      <c r="C13" s="10" t="s">
        <v>56</v>
      </c>
      <c r="D13" s="22"/>
      <c r="E13" s="22"/>
      <c r="F13" s="22"/>
      <c r="G13" s="22"/>
      <c r="H13" s="22">
        <v>8</v>
      </c>
      <c r="I13" s="22"/>
      <c r="J13" s="22"/>
      <c r="K13" s="22"/>
      <c r="L13" s="22"/>
      <c r="M13" s="22"/>
      <c r="N13" s="22"/>
      <c r="O13" s="22"/>
      <c r="P13" s="22"/>
      <c r="Q13" s="22"/>
      <c r="R13" s="22"/>
      <c r="S13" s="22"/>
      <c r="T13" s="22"/>
      <c r="U13" s="22"/>
      <c r="V13" s="22"/>
      <c r="W13" s="9">
        <v>3</v>
      </c>
      <c r="X13" s="9">
        <v>7</v>
      </c>
      <c r="Y13" s="9">
        <v>6</v>
      </c>
      <c r="Z13" s="9">
        <v>0</v>
      </c>
      <c r="AA13" s="14">
        <f>SUM(Z13, AVERAGE(5, W13))/1.5-0.67</f>
        <v>1.9966666666666666</v>
      </c>
      <c r="AB13" s="14">
        <f>SUM(X13, AA13, AVERAGE(Y13, W13))/2.25</f>
        <v>5.9985185185185186</v>
      </c>
      <c r="AC13" s="23">
        <f>SUM(AVERAGE(Y13, W13), AVERAGE(Y13, 8))/1.5</f>
        <v>7.666666666666667</v>
      </c>
      <c r="AO13" s="6"/>
      <c r="BA13" s="6"/>
    </row>
    <row r="14" spans="2:53">
      <c r="B14" s="4">
        <v>11</v>
      </c>
      <c r="C14" s="10" t="s">
        <v>36</v>
      </c>
      <c r="D14" s="22"/>
      <c r="E14" s="22"/>
      <c r="F14" s="22"/>
      <c r="G14" s="22"/>
      <c r="H14" s="22">
        <v>3</v>
      </c>
      <c r="I14" s="22"/>
      <c r="J14" s="22"/>
      <c r="K14" s="22"/>
      <c r="L14" s="22"/>
      <c r="M14" s="22"/>
      <c r="N14" s="22"/>
      <c r="O14" s="22"/>
      <c r="P14" s="22"/>
      <c r="Q14" s="22"/>
      <c r="R14" s="22"/>
      <c r="S14" s="22"/>
      <c r="T14" s="22"/>
      <c r="U14" s="22"/>
      <c r="V14" s="22"/>
      <c r="W14" s="9">
        <v>3</v>
      </c>
      <c r="X14" s="9">
        <v>6</v>
      </c>
      <c r="Y14" s="9">
        <v>8</v>
      </c>
      <c r="Z14" s="9">
        <v>0</v>
      </c>
      <c r="AA14" s="14">
        <f>SUM(Z14, AVERAGE(7, W14))/1.5-0.67</f>
        <v>2.6633333333333336</v>
      </c>
      <c r="AB14" s="14">
        <f>SUM(X14, AA14, AVERAGE(Y14, W14))/2.25</f>
        <v>6.2948148148148153</v>
      </c>
      <c r="AC14" s="23">
        <f>SUM(AVERAGE(Y14, W14), AVERAGE(Y14, 3))/1.5</f>
        <v>7.333333333333333</v>
      </c>
      <c r="AO14" s="6"/>
      <c r="BA14" s="6"/>
    </row>
    <row r="15" spans="2:53">
      <c r="B15" s="4">
        <v>12</v>
      </c>
      <c r="C15" s="10" t="s">
        <v>101</v>
      </c>
      <c r="D15" s="22"/>
      <c r="E15" s="22"/>
      <c r="F15" s="22"/>
      <c r="G15" s="22"/>
      <c r="H15" s="22">
        <v>4</v>
      </c>
      <c r="I15" s="22"/>
      <c r="J15" s="22"/>
      <c r="K15" s="22"/>
      <c r="L15" s="22"/>
      <c r="M15" s="22"/>
      <c r="N15" s="22"/>
      <c r="O15" s="22"/>
      <c r="P15" s="22"/>
      <c r="Q15" s="22"/>
      <c r="R15" s="22"/>
      <c r="S15" s="22"/>
      <c r="T15" s="22"/>
      <c r="U15" s="22"/>
      <c r="V15" s="22"/>
      <c r="W15" s="9">
        <v>1</v>
      </c>
      <c r="X15" s="9">
        <v>7</v>
      </c>
      <c r="Y15" s="9">
        <v>5</v>
      </c>
      <c r="Z15" s="9">
        <v>0</v>
      </c>
      <c r="AA15" s="14">
        <f>SUM(Z15, AVERAGE(5, W15))/1.5-0.67</f>
        <v>1.33</v>
      </c>
      <c r="AB15" s="14">
        <f>SUM(X15, AA15, AVERAGE(Y15, W15))/2.25</f>
        <v>5.0355555555555558</v>
      </c>
      <c r="AC15" s="23">
        <f>SUM(AVERAGE(Y15, W15), AVERAGE(Y15, 4))/1.5</f>
        <v>5</v>
      </c>
      <c r="AO15" s="6"/>
      <c r="BA15" s="6"/>
    </row>
    <row r="16" spans="2:53">
      <c r="B16" s="4">
        <v>13</v>
      </c>
      <c r="C16" s="11" t="s">
        <v>7</v>
      </c>
      <c r="D16" s="21"/>
      <c r="E16" s="21"/>
      <c r="F16" s="21"/>
      <c r="G16" s="21"/>
      <c r="H16" s="21">
        <v>5</v>
      </c>
      <c r="I16" s="21"/>
      <c r="J16" s="21"/>
      <c r="K16" s="21"/>
      <c r="L16" s="21"/>
      <c r="M16" s="21"/>
      <c r="N16" s="21"/>
      <c r="O16" s="21"/>
      <c r="P16" s="21"/>
      <c r="Q16" s="21"/>
      <c r="R16" s="21"/>
      <c r="S16" s="21"/>
      <c r="T16" s="21"/>
      <c r="U16" s="21"/>
      <c r="V16" s="21"/>
      <c r="W16" s="9">
        <v>7</v>
      </c>
      <c r="X16" s="9">
        <v>8</v>
      </c>
      <c r="Y16" s="9">
        <v>6</v>
      </c>
      <c r="Z16" s="9">
        <v>0</v>
      </c>
      <c r="AA16" s="14">
        <f>SUM(Z16, AVERAGE(1, W16))/1.5-0.67</f>
        <v>1.9966666666666666</v>
      </c>
      <c r="AB16" s="14">
        <f>SUM(X16, AA16, AVERAGE(Y16, W16))/2.25</f>
        <v>7.3318518518518516</v>
      </c>
      <c r="AC16" s="23">
        <f>SUM(AVERAGE(Y16, W16), AVERAGE(Y16, 5))/1.5</f>
        <v>8</v>
      </c>
      <c r="AO16" s="6"/>
      <c r="BA16" s="6"/>
    </row>
    <row r="17" spans="2:53">
      <c r="B17" s="4">
        <v>14</v>
      </c>
      <c r="C17" s="10" t="s">
        <v>88</v>
      </c>
      <c r="D17" s="22"/>
      <c r="E17" s="22"/>
      <c r="F17" s="22"/>
      <c r="G17" s="22"/>
      <c r="H17" s="22">
        <v>6</v>
      </c>
      <c r="I17" s="22"/>
      <c r="J17" s="22"/>
      <c r="K17" s="22"/>
      <c r="L17" s="22"/>
      <c r="M17" s="22"/>
      <c r="N17" s="22"/>
      <c r="O17" s="22"/>
      <c r="P17" s="22"/>
      <c r="Q17" s="22"/>
      <c r="R17" s="22"/>
      <c r="S17" s="22"/>
      <c r="T17" s="22"/>
      <c r="U17" s="22"/>
      <c r="V17" s="22"/>
      <c r="W17" s="9">
        <v>3</v>
      </c>
      <c r="X17" s="9">
        <v>8</v>
      </c>
      <c r="Y17" s="9">
        <v>9</v>
      </c>
      <c r="Z17" s="9">
        <v>0</v>
      </c>
      <c r="AA17" s="14">
        <f>SUM(Z17, AVERAGE(5, W17))/1.5-0.67</f>
        <v>1.9966666666666666</v>
      </c>
      <c r="AB17" s="14">
        <f>SUM(X17, AA17, AVERAGE(Y17, W17))/2.25</f>
        <v>7.1096296296296293</v>
      </c>
      <c r="AC17" s="23">
        <f>SUM(AVERAGE(Y17, W17), AVERAGE(Y17, 6))/1.5</f>
        <v>9</v>
      </c>
      <c r="AO17" s="6"/>
      <c r="BA17" s="6"/>
    </row>
    <row r="18" spans="2:53">
      <c r="B18" s="4">
        <v>15</v>
      </c>
      <c r="C18" s="10" t="s">
        <v>33</v>
      </c>
      <c r="D18" s="22"/>
      <c r="E18" s="22"/>
      <c r="F18" s="22"/>
      <c r="G18" s="22"/>
      <c r="H18" s="22">
        <v>7</v>
      </c>
      <c r="I18" s="22"/>
      <c r="J18" s="22"/>
      <c r="K18" s="22"/>
      <c r="L18" s="22"/>
      <c r="M18" s="22"/>
      <c r="N18" s="22"/>
      <c r="O18" s="22"/>
      <c r="P18" s="22"/>
      <c r="Q18" s="22"/>
      <c r="R18" s="22"/>
      <c r="S18" s="22"/>
      <c r="T18" s="22"/>
      <c r="U18" s="22"/>
      <c r="V18" s="22"/>
      <c r="W18" s="9">
        <v>8</v>
      </c>
      <c r="X18" s="9">
        <v>4</v>
      </c>
      <c r="Y18" s="9">
        <v>5</v>
      </c>
      <c r="Z18" s="9">
        <v>6</v>
      </c>
      <c r="AA18" s="14">
        <f>SUM(Z18, AVERAGE(7, W18))/1.5-0.67</f>
        <v>8.33</v>
      </c>
      <c r="AB18" s="14">
        <f>SUM(X18, AA18, AVERAGE(Y18, W18))/2.25</f>
        <v>8.3688888888888879</v>
      </c>
      <c r="AC18" s="23">
        <f>SUM(AVERAGE(Y18, W18), AVERAGE(Y18, 7))/1.5</f>
        <v>8.3333333333333339</v>
      </c>
      <c r="AO18" s="6"/>
      <c r="BA18" s="6"/>
    </row>
    <row r="19" spans="2:53">
      <c r="B19" s="4">
        <v>16</v>
      </c>
      <c r="C19" s="10" t="s">
        <v>84</v>
      </c>
      <c r="D19" s="22"/>
      <c r="E19" s="22"/>
      <c r="F19" s="22"/>
      <c r="G19" s="22"/>
      <c r="H19" s="22">
        <v>8</v>
      </c>
      <c r="I19" s="22"/>
      <c r="J19" s="22"/>
      <c r="K19" s="22"/>
      <c r="L19" s="22"/>
      <c r="M19" s="22"/>
      <c r="N19" s="22"/>
      <c r="O19" s="22"/>
      <c r="P19" s="22"/>
      <c r="Q19" s="22"/>
      <c r="R19" s="22"/>
      <c r="S19" s="22"/>
      <c r="T19" s="22"/>
      <c r="U19" s="22"/>
      <c r="V19" s="22"/>
      <c r="W19" s="9">
        <v>4</v>
      </c>
      <c r="X19" s="9">
        <v>6</v>
      </c>
      <c r="Y19" s="9">
        <v>5</v>
      </c>
      <c r="Z19" s="9">
        <v>0</v>
      </c>
      <c r="AA19" s="14">
        <f>SUM(Z19, AVERAGE(5, W19))/1.5-0.67</f>
        <v>2.33</v>
      </c>
      <c r="AB19" s="14">
        <f>SUM(X19, AA19, AVERAGE(Y19, W19))/2.25</f>
        <v>5.7022222222222219</v>
      </c>
      <c r="AC19" s="23">
        <f>SUM(AVERAGE(Y19, W19), AVERAGE(Y19, 8))/1.5</f>
        <v>7.333333333333333</v>
      </c>
      <c r="AO19" s="6"/>
      <c r="BA19" s="6"/>
    </row>
    <row r="20" spans="2:53">
      <c r="B20" s="4">
        <v>17</v>
      </c>
      <c r="C20" s="10" t="s">
        <v>24</v>
      </c>
      <c r="D20" s="22"/>
      <c r="E20" s="22"/>
      <c r="F20" s="22"/>
      <c r="G20" s="22"/>
      <c r="H20" s="22">
        <v>6</v>
      </c>
      <c r="I20" s="22"/>
      <c r="J20" s="22"/>
      <c r="K20" s="22"/>
      <c r="L20" s="22"/>
      <c r="M20" s="22"/>
      <c r="N20" s="22"/>
      <c r="O20" s="22"/>
      <c r="P20" s="22"/>
      <c r="Q20" s="22"/>
      <c r="R20" s="22"/>
      <c r="S20" s="22"/>
      <c r="T20" s="22"/>
      <c r="U20" s="22"/>
      <c r="V20" s="22"/>
      <c r="W20" s="9">
        <v>5</v>
      </c>
      <c r="X20" s="9">
        <v>7</v>
      </c>
      <c r="Y20" s="9">
        <v>6</v>
      </c>
      <c r="Z20" s="9">
        <v>0</v>
      </c>
      <c r="AA20" s="14">
        <f>SUM(Z20, AVERAGE(5, W20))/1.5-0.67</f>
        <v>2.6633333333333336</v>
      </c>
      <c r="AB20" s="14">
        <f>SUM(X20, AA20, AVERAGE(Y20, W20))/2.25</f>
        <v>6.7392592592592599</v>
      </c>
      <c r="AC20" s="23">
        <f>SUM(AVERAGE(Y20, W20), AVERAGE(Y20, 6))/1.5</f>
        <v>7.666666666666667</v>
      </c>
      <c r="AO20" s="6"/>
      <c r="BA20" s="6"/>
    </row>
    <row r="21" spans="2:53">
      <c r="B21" s="4">
        <v>18</v>
      </c>
      <c r="C21" s="10" t="s">
        <v>53</v>
      </c>
      <c r="D21" s="22"/>
      <c r="E21" s="22"/>
      <c r="F21" s="22"/>
      <c r="G21" s="22"/>
      <c r="H21" s="22">
        <v>8</v>
      </c>
      <c r="I21" s="22"/>
      <c r="J21" s="22"/>
      <c r="K21" s="22"/>
      <c r="L21" s="22"/>
      <c r="M21" s="22"/>
      <c r="N21" s="22"/>
      <c r="O21" s="22"/>
      <c r="P21" s="22"/>
      <c r="Q21" s="22"/>
      <c r="R21" s="22"/>
      <c r="S21" s="22"/>
      <c r="T21" s="22"/>
      <c r="U21" s="22"/>
      <c r="V21" s="22"/>
      <c r="W21" s="9">
        <v>7</v>
      </c>
      <c r="X21" s="9">
        <v>3</v>
      </c>
      <c r="Y21" s="9">
        <v>4</v>
      </c>
      <c r="Z21" s="9">
        <v>0</v>
      </c>
      <c r="AA21" s="14">
        <f>SUM(Z21, AVERAGE(7, W21))/1.5-0.67</f>
        <v>3.996666666666667</v>
      </c>
      <c r="AB21" s="14">
        <f>SUM(X21, AA21, AVERAGE(Y21, W21))/2.25</f>
        <v>5.5540740740740739</v>
      </c>
      <c r="AC21" s="23">
        <f>SUM(AVERAGE(Y21, W21), AVERAGE(Y21, 8))/1.5</f>
        <v>7.666666666666667</v>
      </c>
      <c r="AO21" s="6"/>
      <c r="BA21" s="6"/>
    </row>
    <row r="22" spans="2:53">
      <c r="B22" s="4">
        <v>19</v>
      </c>
      <c r="C22" s="11" t="s">
        <v>51</v>
      </c>
      <c r="D22" s="21"/>
      <c r="E22" s="21"/>
      <c r="F22" s="21"/>
      <c r="G22" s="21"/>
      <c r="H22" s="21">
        <v>8</v>
      </c>
      <c r="I22" s="21"/>
      <c r="J22" s="21"/>
      <c r="K22" s="21"/>
      <c r="L22" s="21"/>
      <c r="M22" s="21"/>
      <c r="N22" s="21"/>
      <c r="O22" s="21"/>
      <c r="P22" s="21"/>
      <c r="Q22" s="21"/>
      <c r="R22" s="21"/>
      <c r="S22" s="21"/>
      <c r="T22" s="21"/>
      <c r="U22" s="21"/>
      <c r="V22" s="21"/>
      <c r="W22" s="9">
        <v>3</v>
      </c>
      <c r="X22" s="9">
        <v>8</v>
      </c>
      <c r="Y22" s="9">
        <v>4</v>
      </c>
      <c r="Z22" s="9">
        <v>0</v>
      </c>
      <c r="AA22" s="14">
        <f>SUM(Z22, AVERAGE(5, W22))/1.5-0.67</f>
        <v>1.9966666666666666</v>
      </c>
      <c r="AB22" s="14">
        <f>SUM(X22, AA22, AVERAGE(Y22, W22))/2.25</f>
        <v>5.9985185185185186</v>
      </c>
      <c r="AC22" s="23">
        <f>SUM(AVERAGE(Y22, W22), AVERAGE(Y22, 8))/1.5</f>
        <v>6.333333333333333</v>
      </c>
      <c r="AO22" s="6"/>
      <c r="BA22" s="6"/>
    </row>
    <row r="23" spans="2:53">
      <c r="B23" s="4">
        <v>20</v>
      </c>
      <c r="C23" s="10" t="s">
        <v>17</v>
      </c>
      <c r="D23" s="22"/>
      <c r="E23" s="22"/>
      <c r="F23" s="22"/>
      <c r="G23" s="22"/>
      <c r="H23" s="22">
        <v>8</v>
      </c>
      <c r="I23" s="22"/>
      <c r="J23" s="22"/>
      <c r="K23" s="22"/>
      <c r="L23" s="22"/>
      <c r="M23" s="22"/>
      <c r="N23" s="22"/>
      <c r="O23" s="22"/>
      <c r="P23" s="22"/>
      <c r="Q23" s="22"/>
      <c r="R23" s="22"/>
      <c r="S23" s="22"/>
      <c r="T23" s="22"/>
      <c r="U23" s="22"/>
      <c r="V23" s="22"/>
      <c r="W23" s="9">
        <v>4</v>
      </c>
      <c r="X23" s="9">
        <v>7</v>
      </c>
      <c r="Y23" s="9">
        <v>5</v>
      </c>
      <c r="Z23" s="9">
        <v>0</v>
      </c>
      <c r="AA23" s="14">
        <f>SUM(Z23, AVERAGE(5, W23))/1.5-0.67</f>
        <v>2.33</v>
      </c>
      <c r="AB23" s="14">
        <f>SUM(X23, AA23, AVERAGE(Y23, W23))/2.25</f>
        <v>6.1466666666666665</v>
      </c>
      <c r="AC23" s="23">
        <f>SUM(AVERAGE(Y23, W23), AVERAGE(Y23, 8))/1.5</f>
        <v>7.333333333333333</v>
      </c>
      <c r="AO23" s="6"/>
      <c r="BA23" s="6"/>
    </row>
    <row r="24" spans="2:53">
      <c r="B24" s="4">
        <v>21</v>
      </c>
      <c r="C24" s="10" t="s">
        <v>39</v>
      </c>
      <c r="D24" s="22"/>
      <c r="E24" s="22"/>
      <c r="F24" s="22"/>
      <c r="G24" s="22"/>
      <c r="H24" s="22">
        <v>6</v>
      </c>
      <c r="I24" s="22"/>
      <c r="J24" s="22"/>
      <c r="K24" s="22"/>
      <c r="L24" s="22"/>
      <c r="M24" s="22"/>
      <c r="N24" s="22"/>
      <c r="O24" s="22"/>
      <c r="P24" s="22"/>
      <c r="Q24" s="22"/>
      <c r="R24" s="22"/>
      <c r="S24" s="22"/>
      <c r="T24" s="22"/>
      <c r="U24" s="22"/>
      <c r="V24" s="22"/>
      <c r="W24" s="9">
        <v>4</v>
      </c>
      <c r="X24" s="9">
        <v>5</v>
      </c>
      <c r="Y24" s="9">
        <v>6</v>
      </c>
      <c r="Z24" s="9">
        <v>0</v>
      </c>
      <c r="AA24" s="14">
        <f>SUM(Z24, AVERAGE(5, W24))/1.5-0.67</f>
        <v>2.33</v>
      </c>
      <c r="AB24" s="14">
        <f>SUM(X24, AA24, AVERAGE(Y24, W24))/2.25</f>
        <v>5.48</v>
      </c>
      <c r="AC24" s="23">
        <f>SUM(AVERAGE(Y24, W24), AVERAGE(Y24, 6))/1.5</f>
        <v>7.333333333333333</v>
      </c>
      <c r="AO24" s="6"/>
      <c r="BA24" s="6"/>
    </row>
    <row r="25" spans="2:53">
      <c r="B25" s="4">
        <v>22</v>
      </c>
      <c r="C25" s="10" t="s">
        <v>99</v>
      </c>
      <c r="D25" s="22"/>
      <c r="E25" s="22"/>
      <c r="F25" s="22"/>
      <c r="G25" s="22"/>
      <c r="H25" s="22">
        <v>8</v>
      </c>
      <c r="I25" s="22"/>
      <c r="J25" s="22"/>
      <c r="K25" s="22"/>
      <c r="L25" s="22"/>
      <c r="M25" s="22"/>
      <c r="N25" s="22"/>
      <c r="O25" s="22"/>
      <c r="P25" s="22"/>
      <c r="Q25" s="22"/>
      <c r="R25" s="22"/>
      <c r="S25" s="22"/>
      <c r="T25" s="22"/>
      <c r="U25" s="22"/>
      <c r="V25" s="22"/>
      <c r="W25" s="9">
        <v>4</v>
      </c>
      <c r="X25" s="9">
        <v>6</v>
      </c>
      <c r="Y25" s="9">
        <v>4</v>
      </c>
      <c r="Z25" s="9">
        <v>3</v>
      </c>
      <c r="AA25" s="14">
        <f>SUM(Z25, AVERAGE(5, W25))/1.5-0.67</f>
        <v>4.33</v>
      </c>
      <c r="AB25" s="14">
        <f>SUM(X25, AA25, AVERAGE(Y25, W25))/2.25</f>
        <v>6.3688888888888888</v>
      </c>
      <c r="AC25" s="23">
        <f>SUM(AVERAGE(Y25, W25), AVERAGE(Y25, 8))/1.5</f>
        <v>6.666666666666667</v>
      </c>
      <c r="AO25" s="6"/>
      <c r="BA25" s="6"/>
    </row>
    <row r="26" spans="2:53">
      <c r="B26" s="4">
        <v>23</v>
      </c>
      <c r="C26" s="10" t="s">
        <v>86</v>
      </c>
      <c r="D26" s="22"/>
      <c r="E26" s="22"/>
      <c r="F26" s="22"/>
      <c r="G26" s="22"/>
      <c r="H26" s="22">
        <v>4</v>
      </c>
      <c r="I26" s="22"/>
      <c r="J26" s="22"/>
      <c r="K26" s="22"/>
      <c r="L26" s="22"/>
      <c r="M26" s="22"/>
      <c r="N26" s="22"/>
      <c r="O26" s="22"/>
      <c r="P26" s="22"/>
      <c r="Q26" s="22"/>
      <c r="R26" s="22"/>
      <c r="S26" s="22"/>
      <c r="T26" s="22"/>
      <c r="U26" s="22"/>
      <c r="V26" s="22"/>
      <c r="W26" s="9">
        <v>2</v>
      </c>
      <c r="X26" s="9">
        <v>9</v>
      </c>
      <c r="Y26" s="9">
        <v>6</v>
      </c>
      <c r="Z26" s="9">
        <v>1</v>
      </c>
      <c r="AA26" s="14">
        <f>SUM(Z26, AVERAGE(5, W26))/1.5-0.67</f>
        <v>2.33</v>
      </c>
      <c r="AB26" s="14">
        <f>SUM(X26, AA26, AVERAGE(Y26, W26))/2.25</f>
        <v>6.8133333333333335</v>
      </c>
      <c r="AC26" s="23">
        <f>SUM(AVERAGE(Y26, W26), AVERAGE(Y26, 4))/1.5</f>
        <v>6</v>
      </c>
      <c r="AO26" s="6"/>
      <c r="BA26" s="6"/>
    </row>
    <row r="27" spans="2:53">
      <c r="B27" s="4">
        <v>24</v>
      </c>
      <c r="C27" s="11" t="s">
        <v>82</v>
      </c>
      <c r="D27" s="21"/>
      <c r="E27" s="21"/>
      <c r="F27" s="21"/>
      <c r="G27" s="21"/>
      <c r="H27" s="21">
        <v>6</v>
      </c>
      <c r="I27" s="21"/>
      <c r="J27" s="21"/>
      <c r="K27" s="21"/>
      <c r="L27" s="21"/>
      <c r="M27" s="21"/>
      <c r="N27" s="21"/>
      <c r="O27" s="21"/>
      <c r="P27" s="21"/>
      <c r="Q27" s="21"/>
      <c r="R27" s="21"/>
      <c r="S27" s="21"/>
      <c r="T27" s="21"/>
      <c r="U27" s="21"/>
      <c r="V27" s="21"/>
      <c r="W27" s="9">
        <v>7</v>
      </c>
      <c r="X27" s="9">
        <v>7</v>
      </c>
      <c r="Y27" s="9">
        <v>5</v>
      </c>
      <c r="Z27" s="9">
        <v>0</v>
      </c>
      <c r="AA27" s="14">
        <f>SUM(Z27, AVERAGE(5, W27))/1.5-0.67</f>
        <v>3.33</v>
      </c>
      <c r="AB27" s="14">
        <f>SUM(X27, AA27, AVERAGE(Y27, W27))/2.25</f>
        <v>7.2577777777777772</v>
      </c>
      <c r="AC27" s="23">
        <f>SUM(AVERAGE(Y27, W27), AVERAGE(Y27, 6))/1.5</f>
        <v>7.666666666666667</v>
      </c>
      <c r="AO27" s="6"/>
      <c r="BA27" s="6"/>
    </row>
    <row r="28" spans="2:53">
      <c r="B28" s="4">
        <v>25</v>
      </c>
      <c r="C28" s="10" t="s">
        <v>43</v>
      </c>
      <c r="D28" s="22"/>
      <c r="E28" s="22"/>
      <c r="F28" s="22"/>
      <c r="G28" s="22"/>
      <c r="H28" s="22">
        <v>8</v>
      </c>
      <c r="I28" s="22"/>
      <c r="J28" s="22"/>
      <c r="K28" s="22"/>
      <c r="L28" s="22"/>
      <c r="M28" s="22"/>
      <c r="N28" s="22"/>
      <c r="O28" s="22"/>
      <c r="P28" s="22"/>
      <c r="Q28" s="22"/>
      <c r="R28" s="22"/>
      <c r="S28" s="22"/>
      <c r="T28" s="22"/>
      <c r="U28" s="22"/>
      <c r="V28" s="22"/>
      <c r="W28" s="9">
        <v>10</v>
      </c>
      <c r="X28" s="9">
        <v>5</v>
      </c>
      <c r="Y28" s="9">
        <v>5</v>
      </c>
      <c r="Z28" s="9">
        <v>0</v>
      </c>
      <c r="AA28" s="14">
        <f>SUM(Z28, AVERAGE(7, W28))/1.5-0.67</f>
        <v>4.996666666666667</v>
      </c>
      <c r="AB28" s="14">
        <f>SUM(X28, AA28, AVERAGE(Y28, W28))/2.25</f>
        <v>7.7762962962962963</v>
      </c>
      <c r="AC28" s="23">
        <f>SUM(AVERAGE(Y28, W28), AVERAGE(Y28, 8))/1.5</f>
        <v>9.3333333333333339</v>
      </c>
      <c r="AO28" s="6"/>
      <c r="BA28" s="6"/>
    </row>
    <row r="29" spans="2:53">
      <c r="B29" s="4">
        <v>26</v>
      </c>
      <c r="C29" s="10" t="s">
        <v>16</v>
      </c>
      <c r="D29" s="22"/>
      <c r="E29" s="22"/>
      <c r="F29" s="22"/>
      <c r="G29" s="22"/>
      <c r="H29" s="22">
        <v>8</v>
      </c>
      <c r="I29" s="22"/>
      <c r="J29" s="22"/>
      <c r="K29" s="22"/>
      <c r="L29" s="22"/>
      <c r="M29" s="22"/>
      <c r="N29" s="22"/>
      <c r="O29" s="22"/>
      <c r="P29" s="22"/>
      <c r="Q29" s="22"/>
      <c r="R29" s="22"/>
      <c r="S29" s="22"/>
      <c r="T29" s="22"/>
      <c r="U29" s="22"/>
      <c r="V29" s="22"/>
      <c r="W29" s="9">
        <v>7</v>
      </c>
      <c r="X29" s="9">
        <v>2</v>
      </c>
      <c r="Y29" s="9">
        <v>5</v>
      </c>
      <c r="Z29" s="9">
        <v>0</v>
      </c>
      <c r="AA29" s="14">
        <f>SUM(Z29, AVERAGE(9, W29))/1.5-0.67</f>
        <v>4.6633333333333331</v>
      </c>
      <c r="AB29" s="14">
        <f>SUM(X29, AA29, AVERAGE(Y29, W29))/2.25</f>
        <v>5.6281481481481483</v>
      </c>
      <c r="AC29" s="23">
        <f>SUM(AVERAGE(Y29, W29), AVERAGE(Y29, 8))/1.5</f>
        <v>8.3333333333333339</v>
      </c>
      <c r="AO29" s="6"/>
      <c r="BA29" s="6"/>
    </row>
    <row r="30" spans="2:53">
      <c r="B30" s="4">
        <v>27</v>
      </c>
      <c r="C30" s="10" t="s">
        <v>13</v>
      </c>
      <c r="D30" s="22"/>
      <c r="E30" s="22"/>
      <c r="F30" s="22"/>
      <c r="G30" s="22"/>
      <c r="H30" s="22">
        <v>8</v>
      </c>
      <c r="I30" s="22"/>
      <c r="J30" s="22"/>
      <c r="K30" s="22"/>
      <c r="L30" s="22"/>
      <c r="M30" s="22"/>
      <c r="N30" s="22"/>
      <c r="O30" s="22"/>
      <c r="P30" s="22"/>
      <c r="Q30" s="22"/>
      <c r="R30" s="22"/>
      <c r="S30" s="22"/>
      <c r="T30" s="22"/>
      <c r="U30" s="22"/>
      <c r="V30" s="22"/>
      <c r="W30" s="9">
        <v>3</v>
      </c>
      <c r="X30" s="9">
        <v>8</v>
      </c>
      <c r="Y30" s="9">
        <v>6</v>
      </c>
      <c r="Z30" s="9">
        <v>0</v>
      </c>
      <c r="AA30" s="14">
        <f>SUM(Z30, AVERAGE(5, W30))/1.5-0.67</f>
        <v>1.9966666666666666</v>
      </c>
      <c r="AB30" s="14">
        <f>SUM(X30, AA30, AVERAGE(Y30, W30))/2.25</f>
        <v>6.4429629629629623</v>
      </c>
      <c r="AC30" s="23">
        <f>SUM(AVERAGE(Y30, W30), AVERAGE(Y30, 8))/1.5</f>
        <v>7.666666666666667</v>
      </c>
      <c r="AO30" s="6"/>
      <c r="BA30" s="6"/>
    </row>
    <row r="31" spans="2:53">
      <c r="B31" s="4">
        <v>28</v>
      </c>
      <c r="C31" s="11" t="s">
        <v>78</v>
      </c>
      <c r="D31" s="21"/>
      <c r="E31" s="21"/>
      <c r="F31" s="21"/>
      <c r="G31" s="21"/>
      <c r="H31" s="21">
        <v>8</v>
      </c>
      <c r="I31" s="21"/>
      <c r="J31" s="21"/>
      <c r="K31" s="21"/>
      <c r="L31" s="21"/>
      <c r="M31" s="21"/>
      <c r="N31" s="21"/>
      <c r="O31" s="21"/>
      <c r="P31" s="21"/>
      <c r="Q31" s="21"/>
      <c r="R31" s="21"/>
      <c r="S31" s="21"/>
      <c r="T31" s="21"/>
      <c r="U31" s="21"/>
      <c r="V31" s="21"/>
      <c r="W31" s="9">
        <v>2</v>
      </c>
      <c r="X31" s="9">
        <v>10</v>
      </c>
      <c r="Y31" s="9">
        <v>7</v>
      </c>
      <c r="Z31" s="9">
        <v>0</v>
      </c>
      <c r="AA31" s="14">
        <f>SUM(Z31, AVERAGE(5, W31))/1.5-0.67</f>
        <v>1.6633333333333336</v>
      </c>
      <c r="AB31" s="14">
        <f>SUM(X31, AA31, AVERAGE(Y31, W31))/2.25</f>
        <v>7.1837037037037037</v>
      </c>
      <c r="AC31" s="23">
        <f>SUM(AVERAGE(Y31, W31), AVERAGE(Y31, 8))/1.5</f>
        <v>8</v>
      </c>
    </row>
    <row r="32" spans="2:53">
      <c r="B32" s="4">
        <v>29</v>
      </c>
      <c r="C32" s="11" t="s">
        <v>37</v>
      </c>
      <c r="D32" s="21"/>
      <c r="E32" s="21"/>
      <c r="F32" s="21"/>
      <c r="G32" s="21"/>
      <c r="H32" s="21">
        <v>7</v>
      </c>
      <c r="I32" s="21"/>
      <c r="J32" s="21"/>
      <c r="K32" s="21"/>
      <c r="L32" s="21"/>
      <c r="M32" s="21"/>
      <c r="N32" s="21"/>
      <c r="O32" s="21"/>
      <c r="P32" s="21"/>
      <c r="Q32" s="21"/>
      <c r="R32" s="21"/>
      <c r="S32" s="21"/>
      <c r="T32" s="21"/>
      <c r="U32" s="21"/>
      <c r="V32" s="21"/>
      <c r="W32" s="9">
        <v>4</v>
      </c>
      <c r="X32" s="9">
        <v>1</v>
      </c>
      <c r="Y32" s="9">
        <v>5</v>
      </c>
      <c r="Z32" s="9">
        <v>6</v>
      </c>
      <c r="AA32" s="14">
        <f>SUM(Z32, AVERAGE(9, W32))/1.5-0.67</f>
        <v>7.663333333333334</v>
      </c>
      <c r="AB32" s="14">
        <f>SUM(X32, AA32, AVERAGE(Y32, W32))/2.25</f>
        <v>5.8503703703703707</v>
      </c>
      <c r="AC32" s="23">
        <f>SUM(AVERAGE(Y32, W32), AVERAGE(Y32, 7))/1.5</f>
        <v>7</v>
      </c>
      <c r="AO32" s="6"/>
    </row>
    <row r="33" spans="2:41">
      <c r="B33" s="4">
        <v>30</v>
      </c>
      <c r="C33" s="11" t="s">
        <v>49</v>
      </c>
      <c r="D33" s="21"/>
      <c r="E33" s="21"/>
      <c r="F33" s="21"/>
      <c r="G33" s="21"/>
      <c r="H33" s="21">
        <v>8</v>
      </c>
      <c r="I33" s="21"/>
      <c r="J33" s="21"/>
      <c r="K33" s="21"/>
      <c r="L33" s="21"/>
      <c r="M33" s="21"/>
      <c r="N33" s="21"/>
      <c r="O33" s="21"/>
      <c r="P33" s="21"/>
      <c r="Q33" s="21"/>
      <c r="R33" s="21"/>
      <c r="S33" s="21"/>
      <c r="T33" s="21"/>
      <c r="U33" s="21"/>
      <c r="V33" s="21"/>
      <c r="W33" s="9">
        <v>4</v>
      </c>
      <c r="X33" s="9">
        <v>7</v>
      </c>
      <c r="Y33" s="9">
        <v>9</v>
      </c>
      <c r="Z33" s="9">
        <v>0</v>
      </c>
      <c r="AA33" s="14">
        <f>SUM(Z33, AVERAGE(5, W33))/1.5-0.67</f>
        <v>2.33</v>
      </c>
      <c r="AB33" s="14">
        <f>SUM(X33, AA33, AVERAGE(Y33, W33))/2.25</f>
        <v>7.0355555555555558</v>
      </c>
      <c r="AC33" s="23">
        <f>SUM(AVERAGE(Y33, W33), AVERAGE(Y33, 8))/1.5</f>
        <v>10</v>
      </c>
      <c r="AO33" s="6"/>
    </row>
    <row r="34" spans="2:41">
      <c r="B34" s="4">
        <v>31</v>
      </c>
      <c r="C34" s="11" t="s">
        <v>50</v>
      </c>
      <c r="D34" s="21"/>
      <c r="E34" s="21"/>
      <c r="F34" s="21"/>
      <c r="G34" s="21"/>
      <c r="H34" s="21">
        <v>4</v>
      </c>
      <c r="I34" s="21"/>
      <c r="J34" s="21"/>
      <c r="K34" s="21"/>
      <c r="L34" s="21"/>
      <c r="M34" s="21"/>
      <c r="N34" s="21"/>
      <c r="O34" s="21"/>
      <c r="P34" s="21"/>
      <c r="Q34" s="21"/>
      <c r="R34" s="21"/>
      <c r="S34" s="21"/>
      <c r="T34" s="21"/>
      <c r="U34" s="21"/>
      <c r="V34" s="21"/>
      <c r="W34" s="9">
        <v>3</v>
      </c>
      <c r="X34" s="9">
        <v>7</v>
      </c>
      <c r="Y34" s="9">
        <v>4</v>
      </c>
      <c r="Z34" s="9">
        <v>0</v>
      </c>
      <c r="AA34" s="14">
        <f>SUM(Z34, AVERAGE(5, W34))/1.5-0.67</f>
        <v>1.9966666666666666</v>
      </c>
      <c r="AB34" s="14">
        <f>SUM(X34, AA34, AVERAGE(Y34, W34))/2.25</f>
        <v>5.5540740740740739</v>
      </c>
      <c r="AC34" s="23">
        <f>SUM(AVERAGE(Y34, W34), AVERAGE(Y34, 4))/1.5</f>
        <v>5</v>
      </c>
      <c r="AO34" s="6"/>
    </row>
    <row r="35" spans="2:41">
      <c r="B35" s="4">
        <v>32</v>
      </c>
      <c r="C35" s="11" t="s">
        <v>18</v>
      </c>
      <c r="D35" s="21"/>
      <c r="E35" s="21"/>
      <c r="F35" s="21"/>
      <c r="G35" s="21"/>
      <c r="H35" s="21">
        <v>9</v>
      </c>
      <c r="I35" s="21"/>
      <c r="J35" s="21"/>
      <c r="K35" s="21"/>
      <c r="L35" s="21"/>
      <c r="M35" s="21"/>
      <c r="N35" s="21"/>
      <c r="O35" s="21"/>
      <c r="P35" s="21"/>
      <c r="Q35" s="21"/>
      <c r="R35" s="21"/>
      <c r="S35" s="21"/>
      <c r="T35" s="21"/>
      <c r="U35" s="21"/>
      <c r="V35" s="21"/>
      <c r="W35" s="9">
        <v>6</v>
      </c>
      <c r="X35" s="9">
        <v>8</v>
      </c>
      <c r="Y35" s="9">
        <v>5</v>
      </c>
      <c r="Z35" s="9">
        <v>7</v>
      </c>
      <c r="AA35" s="14">
        <f>SUM(Z35, AVERAGE(3, W35))/1.5-0.67</f>
        <v>6.996666666666667</v>
      </c>
      <c r="AB35" s="14">
        <f>SUM(X35, AA35, AVERAGE(Y35, W35))/2.25</f>
        <v>9.1096296296296302</v>
      </c>
      <c r="AC35" s="23">
        <f>SUM(AVERAGE(Y35, W35), AVERAGE(Y35, 9))/1.5</f>
        <v>8.3333333333333339</v>
      </c>
      <c r="AE35" s="1"/>
      <c r="AO35" s="6"/>
    </row>
    <row r="36" spans="2:41">
      <c r="B36" s="4">
        <v>33</v>
      </c>
      <c r="C36" s="11" t="s">
        <v>44</v>
      </c>
      <c r="D36" s="21"/>
      <c r="E36" s="21"/>
      <c r="F36" s="21"/>
      <c r="G36" s="21"/>
      <c r="H36" s="21">
        <v>6</v>
      </c>
      <c r="I36" s="21"/>
      <c r="J36" s="21"/>
      <c r="K36" s="21"/>
      <c r="L36" s="21"/>
      <c r="M36" s="21"/>
      <c r="N36" s="21"/>
      <c r="O36" s="21"/>
      <c r="P36" s="21"/>
      <c r="Q36" s="21"/>
      <c r="R36" s="21"/>
      <c r="S36" s="21"/>
      <c r="T36" s="21"/>
      <c r="U36" s="21"/>
      <c r="V36" s="21"/>
      <c r="W36" s="9">
        <v>5</v>
      </c>
      <c r="X36" s="9">
        <v>7</v>
      </c>
      <c r="Y36" s="9">
        <v>5</v>
      </c>
      <c r="Z36" s="9">
        <v>0</v>
      </c>
      <c r="AA36" s="14">
        <f>SUM(Z36, AVERAGE(5, W36))/1.5-0.67</f>
        <v>2.6633333333333336</v>
      </c>
      <c r="AB36" s="14">
        <f>SUM(X36, AA36, AVERAGE(Y36, W36))/2.25</f>
        <v>6.5170370370370376</v>
      </c>
      <c r="AC36" s="23">
        <f>SUM(AVERAGE(Y36, W36), AVERAGE(Y36, 6))/1.5</f>
        <v>7</v>
      </c>
      <c r="AO36" s="6"/>
    </row>
    <row r="37" spans="2:41">
      <c r="B37" s="4">
        <v>34</v>
      </c>
      <c r="C37" s="11" t="s">
        <v>29</v>
      </c>
      <c r="D37" s="21"/>
      <c r="E37" s="21"/>
      <c r="F37" s="21"/>
      <c r="G37" s="21"/>
      <c r="H37" s="21">
        <v>9</v>
      </c>
      <c r="I37" s="21"/>
      <c r="J37" s="21"/>
      <c r="K37" s="21"/>
      <c r="L37" s="21"/>
      <c r="M37" s="21"/>
      <c r="N37" s="21"/>
      <c r="O37" s="21"/>
      <c r="P37" s="21"/>
      <c r="Q37" s="21"/>
      <c r="R37" s="21"/>
      <c r="S37" s="21"/>
      <c r="T37" s="21"/>
      <c r="U37" s="21"/>
      <c r="V37" s="21"/>
      <c r="W37" s="9">
        <v>4</v>
      </c>
      <c r="X37" s="9">
        <v>8</v>
      </c>
      <c r="Y37" s="9">
        <v>4</v>
      </c>
      <c r="Z37" s="9">
        <v>0</v>
      </c>
      <c r="AA37" s="14">
        <f>SUM(Z37, AVERAGE(5, W37))/1.5-0.67</f>
        <v>2.33</v>
      </c>
      <c r="AB37" s="14">
        <f>SUM(X37, AA37, AVERAGE(Y37, W37))/2.25</f>
        <v>6.3688888888888888</v>
      </c>
      <c r="AC37" s="23">
        <f>SUM(AVERAGE(Y37, W37), AVERAGE(Y37, 9))/1.5</f>
        <v>7</v>
      </c>
      <c r="AO37" s="6"/>
    </row>
    <row r="38" spans="2:41">
      <c r="B38" s="4">
        <v>35</v>
      </c>
      <c r="C38" s="11" t="s">
        <v>14</v>
      </c>
      <c r="D38" s="21"/>
      <c r="E38" s="21"/>
      <c r="F38" s="21"/>
      <c r="G38" s="21"/>
      <c r="H38" s="21">
        <v>8</v>
      </c>
      <c r="I38" s="21"/>
      <c r="J38" s="21"/>
      <c r="K38" s="21"/>
      <c r="L38" s="21"/>
      <c r="M38" s="21"/>
      <c r="N38" s="21"/>
      <c r="O38" s="21"/>
      <c r="P38" s="21"/>
      <c r="Q38" s="21"/>
      <c r="R38" s="21"/>
      <c r="S38" s="21"/>
      <c r="T38" s="21"/>
      <c r="U38" s="21"/>
      <c r="V38" s="21"/>
      <c r="W38" s="9">
        <v>2</v>
      </c>
      <c r="X38" s="9">
        <v>8</v>
      </c>
      <c r="Y38" s="9">
        <v>4</v>
      </c>
      <c r="Z38" s="9">
        <v>0</v>
      </c>
      <c r="AA38" s="14">
        <f>SUM(Z38, AVERAGE(5, W38))/1.5-0.67</f>
        <v>1.6633333333333336</v>
      </c>
      <c r="AB38" s="14">
        <f>SUM(X38, AA38, AVERAGE(Y38, W38))/2.25</f>
        <v>5.6281481481481483</v>
      </c>
      <c r="AC38" s="23">
        <f>SUM(AVERAGE(Y38, W38), AVERAGE(Y38, 8))/1.5</f>
        <v>6</v>
      </c>
      <c r="AO38" s="6"/>
    </row>
    <row r="39" spans="2:41">
      <c r="B39" s="4">
        <v>36</v>
      </c>
      <c r="C39" s="11" t="s">
        <v>11</v>
      </c>
      <c r="D39" s="21"/>
      <c r="E39" s="21"/>
      <c r="F39" s="21"/>
      <c r="G39" s="21"/>
      <c r="H39" s="21">
        <v>8</v>
      </c>
      <c r="I39" s="21"/>
      <c r="J39" s="21"/>
      <c r="K39" s="21"/>
      <c r="L39" s="21"/>
      <c r="M39" s="21"/>
      <c r="N39" s="21"/>
      <c r="O39" s="21"/>
      <c r="P39" s="21"/>
      <c r="Q39" s="21"/>
      <c r="R39" s="21"/>
      <c r="S39" s="21"/>
      <c r="T39" s="21"/>
      <c r="U39" s="21"/>
      <c r="V39" s="21"/>
      <c r="W39" s="9">
        <v>9</v>
      </c>
      <c r="X39" s="9">
        <v>4</v>
      </c>
      <c r="Y39" s="9">
        <v>5</v>
      </c>
      <c r="Z39" s="9">
        <v>0</v>
      </c>
      <c r="AA39" s="14">
        <f>SUM(Z39, AVERAGE(5, W39))/1.5-0.67</f>
        <v>3.996666666666667</v>
      </c>
      <c r="AB39" s="14">
        <f>SUM(X39, AA39, AVERAGE(Y39, W39))/2.25</f>
        <v>6.6651851851851847</v>
      </c>
      <c r="AC39" s="23">
        <f>SUM(AVERAGE(Y39, W39), AVERAGE(Y39, 8))/1.5</f>
        <v>9</v>
      </c>
      <c r="AO39" s="6"/>
    </row>
    <row r="40" spans="2:41">
      <c r="B40" s="4">
        <v>37</v>
      </c>
      <c r="C40" s="11" t="s">
        <v>64</v>
      </c>
      <c r="D40" s="21"/>
      <c r="E40" s="21"/>
      <c r="F40" s="21"/>
      <c r="G40" s="21"/>
      <c r="H40" s="21">
        <v>7</v>
      </c>
      <c r="I40" s="21"/>
      <c r="J40" s="21"/>
      <c r="K40" s="21"/>
      <c r="L40" s="21"/>
      <c r="M40" s="21"/>
      <c r="N40" s="21"/>
      <c r="O40" s="21"/>
      <c r="P40" s="21"/>
      <c r="Q40" s="21"/>
      <c r="R40" s="21"/>
      <c r="S40" s="21"/>
      <c r="T40" s="21"/>
      <c r="U40" s="21"/>
      <c r="V40" s="21"/>
      <c r="W40" s="9">
        <v>5</v>
      </c>
      <c r="X40" s="9">
        <v>7</v>
      </c>
      <c r="Y40" s="9">
        <v>6</v>
      </c>
      <c r="Z40" s="9">
        <v>0</v>
      </c>
      <c r="AA40" s="14">
        <f>SUM(Z40, AVERAGE(5, W40))/1.5-0.67</f>
        <v>2.6633333333333336</v>
      </c>
      <c r="AB40" s="14">
        <f>SUM(X40, AA40, AVERAGE(Y40, W40))/2.25</f>
        <v>6.7392592592592599</v>
      </c>
      <c r="AC40" s="23">
        <f>SUM(AVERAGE(Y40, W40), AVERAGE(Y40, 7))/1.5</f>
        <v>8</v>
      </c>
      <c r="AO40" s="6"/>
    </row>
    <row r="41" spans="2:41">
      <c r="B41" s="4">
        <v>38</v>
      </c>
      <c r="C41" s="11" t="s">
        <v>92</v>
      </c>
      <c r="D41" s="21"/>
      <c r="E41" s="21"/>
      <c r="F41" s="21"/>
      <c r="G41" s="21"/>
      <c r="H41" s="21">
        <v>8</v>
      </c>
      <c r="I41" s="21"/>
      <c r="J41" s="21"/>
      <c r="K41" s="21"/>
      <c r="L41" s="21"/>
      <c r="M41" s="21"/>
      <c r="N41" s="21"/>
      <c r="O41" s="21"/>
      <c r="P41" s="21"/>
      <c r="Q41" s="21"/>
      <c r="R41" s="21"/>
      <c r="S41" s="21"/>
      <c r="T41" s="21"/>
      <c r="U41" s="21"/>
      <c r="V41" s="21"/>
      <c r="W41" s="9">
        <v>8</v>
      </c>
      <c r="X41" s="9">
        <v>3</v>
      </c>
      <c r="Y41" s="9">
        <v>4</v>
      </c>
      <c r="Z41" s="9">
        <v>0</v>
      </c>
      <c r="AA41" s="14">
        <f>SUM(Z41, AVERAGE(7, W41))/1.5-0.67</f>
        <v>4.33</v>
      </c>
      <c r="AB41" s="14">
        <f>SUM(X41, AA41, AVERAGE(Y41, W41))/2.25</f>
        <v>5.9244444444444442</v>
      </c>
      <c r="AC41" s="23">
        <f>SUM(AVERAGE(Y41, W41), AVERAGE(Y41, 8))/1.5</f>
        <v>8</v>
      </c>
      <c r="AO41" s="6"/>
    </row>
    <row r="42" spans="2:41">
      <c r="B42" s="4">
        <v>39</v>
      </c>
      <c r="C42" s="11" t="s">
        <v>68</v>
      </c>
      <c r="D42" s="21"/>
      <c r="E42" s="21"/>
      <c r="F42" s="21"/>
      <c r="G42" s="21"/>
      <c r="H42" s="21">
        <v>9</v>
      </c>
      <c r="I42" s="21"/>
      <c r="J42" s="21"/>
      <c r="K42" s="21"/>
      <c r="L42" s="21"/>
      <c r="M42" s="21"/>
      <c r="N42" s="21"/>
      <c r="O42" s="21"/>
      <c r="P42" s="21"/>
      <c r="Q42" s="21"/>
      <c r="R42" s="21"/>
      <c r="S42" s="21"/>
      <c r="T42" s="21"/>
      <c r="U42" s="21"/>
      <c r="V42" s="21"/>
      <c r="W42" s="9">
        <v>3</v>
      </c>
      <c r="X42" s="9">
        <v>10</v>
      </c>
      <c r="Y42" s="9">
        <v>6</v>
      </c>
      <c r="Z42" s="9">
        <v>0</v>
      </c>
      <c r="AA42" s="14">
        <f>SUM(Z42, AVERAGE(5, W42))/1.5-0.67</f>
        <v>1.9966666666666666</v>
      </c>
      <c r="AB42" s="14">
        <f>SUM(X42, AA42, AVERAGE(Y42, W42))/2.25</f>
        <v>7.3318518518518516</v>
      </c>
      <c r="AC42" s="23">
        <f>SUM(AVERAGE(Y42, W42), AVERAGE(Y42, 9))/1.5</f>
        <v>8</v>
      </c>
      <c r="AO42" s="6"/>
    </row>
    <row r="43" spans="2:41">
      <c r="B43" s="4">
        <v>40</v>
      </c>
      <c r="C43" s="11" t="s">
        <v>67</v>
      </c>
      <c r="D43" s="21"/>
      <c r="E43" s="21"/>
      <c r="F43" s="21"/>
      <c r="G43" s="21"/>
      <c r="H43" s="21">
        <v>7</v>
      </c>
      <c r="I43" s="21"/>
      <c r="J43" s="21"/>
      <c r="K43" s="21"/>
      <c r="L43" s="21"/>
      <c r="M43" s="21"/>
      <c r="N43" s="21"/>
      <c r="O43" s="21"/>
      <c r="P43" s="21"/>
      <c r="Q43" s="21"/>
      <c r="R43" s="21"/>
      <c r="S43" s="21"/>
      <c r="T43" s="21"/>
      <c r="U43" s="21"/>
      <c r="V43" s="21"/>
      <c r="W43" s="9">
        <v>5</v>
      </c>
      <c r="X43" s="9">
        <v>7</v>
      </c>
      <c r="Y43" s="9">
        <v>5</v>
      </c>
      <c r="Z43" s="9">
        <v>0</v>
      </c>
      <c r="AA43" s="14">
        <f>SUM(Z43, AVERAGE(5, W43))/1.5-0.67</f>
        <v>2.6633333333333336</v>
      </c>
      <c r="AB43" s="14">
        <f>SUM(X43, AA43, AVERAGE(Y43, W43))/2.25</f>
        <v>6.5170370370370376</v>
      </c>
      <c r="AC43" s="23">
        <f>SUM(AVERAGE(Y43, W43), AVERAGE(Y43, 7))/1.5</f>
        <v>7.333333333333333</v>
      </c>
      <c r="AO43" s="6"/>
    </row>
    <row r="44" spans="2:41">
      <c r="B44" s="4">
        <v>41</v>
      </c>
      <c r="C44" s="11" t="s">
        <v>52</v>
      </c>
      <c r="D44" s="21"/>
      <c r="E44" s="21"/>
      <c r="F44" s="21"/>
      <c r="G44" s="21"/>
      <c r="H44" s="21">
        <v>9</v>
      </c>
      <c r="I44" s="21"/>
      <c r="J44" s="21"/>
      <c r="K44" s="21"/>
      <c r="L44" s="21"/>
      <c r="M44" s="21"/>
      <c r="N44" s="21"/>
      <c r="O44" s="21"/>
      <c r="P44" s="21"/>
      <c r="Q44" s="21"/>
      <c r="R44" s="21"/>
      <c r="S44" s="21"/>
      <c r="T44" s="21"/>
      <c r="U44" s="21"/>
      <c r="V44" s="21"/>
      <c r="W44" s="9">
        <v>7</v>
      </c>
      <c r="X44" s="9">
        <v>4</v>
      </c>
      <c r="Y44" s="9">
        <v>5</v>
      </c>
      <c r="Z44" s="9">
        <v>0</v>
      </c>
      <c r="AA44" s="14">
        <f>SUM(Z44, AVERAGE(5, W44))/1.5-0.67</f>
        <v>3.33</v>
      </c>
      <c r="AB44" s="14">
        <f>SUM(X44, AA44, AVERAGE(Y44, W44))/2.25</f>
        <v>5.9244444444444442</v>
      </c>
      <c r="AC44" s="23">
        <f>SUM(AVERAGE(Y44, W44), AVERAGE(Y44, 9))/1.5</f>
        <v>8.6666666666666661</v>
      </c>
      <c r="AO44" s="6"/>
    </row>
    <row r="45" spans="2:41">
      <c r="B45" s="4">
        <v>42</v>
      </c>
      <c r="C45" s="11" t="s">
        <v>83</v>
      </c>
      <c r="D45" s="21"/>
      <c r="E45" s="21"/>
      <c r="F45" s="21"/>
      <c r="G45" s="21"/>
      <c r="H45" s="21">
        <v>7</v>
      </c>
      <c r="I45" s="21"/>
      <c r="J45" s="21"/>
      <c r="K45" s="21"/>
      <c r="L45" s="21"/>
      <c r="M45" s="21"/>
      <c r="N45" s="21"/>
      <c r="O45" s="21"/>
      <c r="P45" s="21"/>
      <c r="Q45" s="21"/>
      <c r="R45" s="21"/>
      <c r="S45" s="21"/>
      <c r="T45" s="21"/>
      <c r="U45" s="21"/>
      <c r="V45" s="21"/>
      <c r="W45" s="9">
        <v>5</v>
      </c>
      <c r="X45" s="9">
        <v>7</v>
      </c>
      <c r="Y45" s="9">
        <v>6</v>
      </c>
      <c r="Z45" s="9">
        <v>0</v>
      </c>
      <c r="AA45" s="14">
        <f>SUM(Z45, AVERAGE(5, W45))/1.5-0.67</f>
        <v>2.6633333333333336</v>
      </c>
      <c r="AB45" s="14">
        <f>SUM(X45, AA45, AVERAGE(Y45, W45))/2.25</f>
        <v>6.7392592592592599</v>
      </c>
      <c r="AC45" s="23">
        <f>SUM(AVERAGE(Y45, W45), AVERAGE(Y45, 7))/1.5</f>
        <v>8</v>
      </c>
    </row>
    <row r="46" spans="2:41">
      <c r="B46" s="4">
        <v>43</v>
      </c>
      <c r="C46" s="11" t="s">
        <v>61</v>
      </c>
      <c r="D46" s="21"/>
      <c r="E46" s="21"/>
      <c r="F46" s="21"/>
      <c r="G46" s="21"/>
      <c r="H46" s="21">
        <v>5</v>
      </c>
      <c r="I46" s="21"/>
      <c r="J46" s="21"/>
      <c r="K46" s="21"/>
      <c r="L46" s="21"/>
      <c r="M46" s="21"/>
      <c r="N46" s="21"/>
      <c r="O46" s="21"/>
      <c r="P46" s="21"/>
      <c r="Q46" s="21"/>
      <c r="R46" s="21"/>
      <c r="S46" s="21"/>
      <c r="T46" s="21"/>
      <c r="U46" s="21"/>
      <c r="V46" s="21"/>
      <c r="W46" s="9">
        <v>3</v>
      </c>
      <c r="X46" s="9">
        <v>5</v>
      </c>
      <c r="Y46" s="9">
        <v>5</v>
      </c>
      <c r="Z46" s="9">
        <v>0</v>
      </c>
      <c r="AA46" s="14">
        <f>SUM(Z46, AVERAGE(7, W46))/1.5-0.67</f>
        <v>2.6633333333333336</v>
      </c>
      <c r="AB46" s="14">
        <f>SUM(X46, AA46, AVERAGE(Y46, W46))/2.25</f>
        <v>5.1837037037037037</v>
      </c>
      <c r="AC46" s="23">
        <f>SUM(AVERAGE(Y46, W46), AVERAGE(Y46, 5))/1.5</f>
        <v>6</v>
      </c>
    </row>
    <row r="47" spans="2:41">
      <c r="B47" s="4">
        <v>44</v>
      </c>
      <c r="C47" s="11" t="s">
        <v>10</v>
      </c>
      <c r="D47" s="21"/>
      <c r="E47" s="21"/>
      <c r="F47" s="21"/>
      <c r="G47" s="21"/>
      <c r="H47" s="21">
        <v>9</v>
      </c>
      <c r="I47" s="21"/>
      <c r="J47" s="21"/>
      <c r="K47" s="21"/>
      <c r="L47" s="21"/>
      <c r="M47" s="21"/>
      <c r="N47" s="21"/>
      <c r="O47" s="21"/>
      <c r="P47" s="21"/>
      <c r="Q47" s="21"/>
      <c r="R47" s="21"/>
      <c r="S47" s="21"/>
      <c r="T47" s="21"/>
      <c r="U47" s="21"/>
      <c r="V47" s="21"/>
      <c r="W47" s="9">
        <v>3</v>
      </c>
      <c r="X47" s="9">
        <v>9</v>
      </c>
      <c r="Y47" s="9">
        <v>6</v>
      </c>
      <c r="Z47" s="9">
        <v>0</v>
      </c>
      <c r="AA47" s="14">
        <f>SUM(Z47, AVERAGE(9, W47))/1.5-0.67</f>
        <v>3.33</v>
      </c>
      <c r="AB47" s="14">
        <f>SUM(X47, AA47, AVERAGE(Y47, W47))/2.25</f>
        <v>7.4799999999999995</v>
      </c>
      <c r="AC47" s="23">
        <f>SUM(AVERAGE(Y47, W47), AVERAGE(Y47, 9))/1.5</f>
        <v>8</v>
      </c>
    </row>
    <row r="48" spans="2:41">
      <c r="B48" s="4">
        <v>45</v>
      </c>
      <c r="C48" s="11" t="s">
        <v>15</v>
      </c>
      <c r="D48" s="21"/>
      <c r="E48" s="21"/>
      <c r="F48" s="21"/>
      <c r="G48" s="21"/>
      <c r="H48" s="21">
        <v>5</v>
      </c>
      <c r="I48" s="21"/>
      <c r="J48" s="21"/>
      <c r="K48" s="21"/>
      <c r="L48" s="21"/>
      <c r="M48" s="21"/>
      <c r="N48" s="21"/>
      <c r="O48" s="21"/>
      <c r="P48" s="21"/>
      <c r="Q48" s="21"/>
      <c r="R48" s="21"/>
      <c r="S48" s="21"/>
      <c r="T48" s="21"/>
      <c r="U48" s="21"/>
      <c r="V48" s="21"/>
      <c r="W48" s="9">
        <v>2</v>
      </c>
      <c r="X48" s="9">
        <v>5</v>
      </c>
      <c r="Y48" s="9">
        <v>5</v>
      </c>
      <c r="Z48" s="9">
        <v>7</v>
      </c>
      <c r="AA48" s="14">
        <f>SUM(Z48, AVERAGE(5, W48))/1.5-0.67</f>
        <v>6.33</v>
      </c>
      <c r="AB48" s="14">
        <f>SUM(X48, AA48, AVERAGE(Y48, W48))/2.25</f>
        <v>6.5911111111111111</v>
      </c>
      <c r="AC48" s="23">
        <f>SUM(AVERAGE(Y48, W48), AVERAGE(Y48, 5))/1.5</f>
        <v>5.666666666666667</v>
      </c>
    </row>
    <row r="49" spans="2:29">
      <c r="B49" s="4">
        <v>46</v>
      </c>
      <c r="C49" s="11" t="s">
        <v>94</v>
      </c>
      <c r="D49" s="21"/>
      <c r="E49" s="21"/>
      <c r="F49" s="21"/>
      <c r="G49" s="21"/>
      <c r="H49" s="21">
        <v>8</v>
      </c>
      <c r="I49" s="21"/>
      <c r="J49" s="21"/>
      <c r="K49" s="21"/>
      <c r="L49" s="21"/>
      <c r="M49" s="21"/>
      <c r="N49" s="21"/>
      <c r="O49" s="21"/>
      <c r="P49" s="21"/>
      <c r="Q49" s="21"/>
      <c r="R49" s="21"/>
      <c r="S49" s="21"/>
      <c r="T49" s="21"/>
      <c r="U49" s="21"/>
      <c r="V49" s="21"/>
      <c r="W49" s="9">
        <v>4</v>
      </c>
      <c r="X49" s="9">
        <v>2</v>
      </c>
      <c r="Y49" s="9">
        <v>4</v>
      </c>
      <c r="Z49" s="9">
        <v>5</v>
      </c>
      <c r="AA49" s="14">
        <f>SUM(Z49, AVERAGE(9, W49))/1.5-0.67</f>
        <v>6.996666666666667</v>
      </c>
      <c r="AB49" s="14">
        <f>SUM(X49, AA49, AVERAGE(Y49, W49))/2.25</f>
        <v>5.7762962962962963</v>
      </c>
      <c r="AC49" s="23">
        <f>SUM(AVERAGE(Y49, W49), AVERAGE(Y49, 8))/1.5</f>
        <v>6.666666666666667</v>
      </c>
    </row>
    <row r="50" spans="2:29">
      <c r="B50" s="4">
        <v>47</v>
      </c>
      <c r="C50" s="11" t="s">
        <v>70</v>
      </c>
      <c r="D50" s="21"/>
      <c r="E50" s="21"/>
      <c r="F50" s="21"/>
      <c r="G50" s="21"/>
      <c r="H50" s="21">
        <v>9</v>
      </c>
      <c r="I50" s="21"/>
      <c r="J50" s="21"/>
      <c r="K50" s="21"/>
      <c r="L50" s="21"/>
      <c r="M50" s="21"/>
      <c r="N50" s="21"/>
      <c r="O50" s="21"/>
      <c r="P50" s="21"/>
      <c r="Q50" s="21"/>
      <c r="R50" s="21"/>
      <c r="S50" s="21"/>
      <c r="T50" s="21"/>
      <c r="U50" s="21"/>
      <c r="V50" s="21"/>
      <c r="W50" s="9">
        <v>3</v>
      </c>
      <c r="X50" s="9">
        <v>7</v>
      </c>
      <c r="Y50" s="9">
        <v>4</v>
      </c>
      <c r="Z50" s="9">
        <v>0</v>
      </c>
      <c r="AA50" s="14">
        <f>SUM(Z50, AVERAGE(5, W50))/1.5-0.67</f>
        <v>1.9966666666666666</v>
      </c>
      <c r="AB50" s="14">
        <f>SUM(X50, AA50, AVERAGE(Y50, W50))/2.25</f>
        <v>5.5540740740740739</v>
      </c>
      <c r="AC50" s="23">
        <f>SUM(AVERAGE(Y50, W50), AVERAGE(Y50, 9))/1.5</f>
        <v>6.666666666666667</v>
      </c>
    </row>
    <row r="51" spans="2:29">
      <c r="B51" s="4">
        <v>48</v>
      </c>
      <c r="C51" s="11" t="s">
        <v>102</v>
      </c>
      <c r="D51" s="21"/>
      <c r="E51" s="21"/>
      <c r="F51" s="21"/>
      <c r="G51" s="21"/>
      <c r="H51" s="21">
        <v>8</v>
      </c>
      <c r="I51" s="21"/>
      <c r="J51" s="21"/>
      <c r="K51" s="21"/>
      <c r="L51" s="21"/>
      <c r="M51" s="21"/>
      <c r="N51" s="21"/>
      <c r="O51" s="21"/>
      <c r="P51" s="21"/>
      <c r="Q51" s="21"/>
      <c r="R51" s="21"/>
      <c r="S51" s="21"/>
      <c r="T51" s="21"/>
      <c r="U51" s="21"/>
      <c r="V51" s="21"/>
      <c r="W51" s="9">
        <v>7</v>
      </c>
      <c r="X51" s="9">
        <v>3</v>
      </c>
      <c r="Y51" s="9">
        <v>6</v>
      </c>
      <c r="Z51" s="9">
        <v>6</v>
      </c>
      <c r="AA51" s="14">
        <f>SUM(Z51, AVERAGE(7, W51))/1.5-0.67</f>
        <v>7.9966666666666661</v>
      </c>
      <c r="AB51" s="14">
        <f>SUM(X51, AA51, AVERAGE(Y51, W51))/2.25</f>
        <v>7.7762962962962963</v>
      </c>
      <c r="AC51" s="23">
        <f>SUM(AVERAGE(Y51, W51), AVERAGE(Y51, 8))/1.5</f>
        <v>9</v>
      </c>
    </row>
    <row r="52" spans="2:29">
      <c r="B52" s="4">
        <v>49</v>
      </c>
      <c r="C52" s="11" t="s">
        <v>77</v>
      </c>
      <c r="D52" s="21"/>
      <c r="E52" s="21"/>
      <c r="F52" s="21"/>
      <c r="G52" s="21"/>
      <c r="H52" s="21">
        <v>7</v>
      </c>
      <c r="I52" s="21"/>
      <c r="J52" s="21"/>
      <c r="K52" s="21"/>
      <c r="L52" s="21"/>
      <c r="M52" s="21"/>
      <c r="N52" s="21"/>
      <c r="O52" s="21"/>
      <c r="P52" s="21"/>
      <c r="Q52" s="21"/>
      <c r="R52" s="21"/>
      <c r="S52" s="21"/>
      <c r="T52" s="21"/>
      <c r="U52" s="21"/>
      <c r="V52" s="21"/>
      <c r="W52" s="9">
        <v>5</v>
      </c>
      <c r="X52" s="9">
        <v>1</v>
      </c>
      <c r="Y52" s="9">
        <v>4</v>
      </c>
      <c r="Z52" s="9">
        <v>4</v>
      </c>
      <c r="AA52" s="14">
        <f>SUM(Z52, AVERAGE(9, W52))/1.5-0.67</f>
        <v>6.6633333333333331</v>
      </c>
      <c r="AB52" s="14">
        <f>SUM(X52, AA52, AVERAGE(Y52, W52))/2.25</f>
        <v>5.405925925925926</v>
      </c>
      <c r="AC52" s="23">
        <f>SUM(AVERAGE(Y52, W52), AVERAGE(Y52, 7))/1.5</f>
        <v>6.666666666666667</v>
      </c>
    </row>
    <row r="53" spans="2:29">
      <c r="B53" s="4">
        <v>50</v>
      </c>
      <c r="C53" s="11" t="s">
        <v>100</v>
      </c>
      <c r="D53" s="21"/>
      <c r="E53" s="21"/>
      <c r="F53" s="21"/>
      <c r="G53" s="21"/>
      <c r="H53" s="21">
        <v>7</v>
      </c>
      <c r="I53" s="21"/>
      <c r="J53" s="21"/>
      <c r="K53" s="21"/>
      <c r="L53" s="21"/>
      <c r="M53" s="21"/>
      <c r="N53" s="21"/>
      <c r="O53" s="21"/>
      <c r="P53" s="21"/>
      <c r="Q53" s="21"/>
      <c r="R53" s="21"/>
      <c r="S53" s="21"/>
      <c r="T53" s="21"/>
      <c r="U53" s="21"/>
      <c r="V53" s="21"/>
      <c r="W53" s="9">
        <v>3</v>
      </c>
      <c r="X53" s="9">
        <v>6</v>
      </c>
      <c r="Y53" s="9">
        <v>4</v>
      </c>
      <c r="Z53" s="9">
        <v>0</v>
      </c>
      <c r="AA53" s="14">
        <f>SUM(Z53, AVERAGE(5, W53))/1.5-0.67</f>
        <v>1.9966666666666666</v>
      </c>
      <c r="AB53" s="14">
        <f>SUM(X53, AA53, AVERAGE(Y53, W53))/2.25</f>
        <v>5.1096296296296293</v>
      </c>
      <c r="AC53" s="23">
        <f>SUM(AVERAGE(Y53, W53), AVERAGE(Y53, 7))/1.5</f>
        <v>6</v>
      </c>
    </row>
    <row r="54" spans="2:29">
      <c r="B54" s="4">
        <v>51</v>
      </c>
      <c r="C54" s="11" t="s">
        <v>45</v>
      </c>
      <c r="D54" s="21"/>
      <c r="E54" s="21"/>
      <c r="F54" s="21"/>
      <c r="G54" s="21"/>
      <c r="H54" s="21">
        <v>9</v>
      </c>
      <c r="I54" s="21"/>
      <c r="J54" s="21"/>
      <c r="K54" s="21"/>
      <c r="L54" s="21"/>
      <c r="M54" s="21"/>
      <c r="N54" s="21"/>
      <c r="O54" s="21"/>
      <c r="P54" s="21"/>
      <c r="Q54" s="21"/>
      <c r="R54" s="21"/>
      <c r="S54" s="21"/>
      <c r="T54" s="21"/>
      <c r="U54" s="21"/>
      <c r="V54" s="21"/>
      <c r="W54" s="9">
        <v>4</v>
      </c>
      <c r="X54" s="9">
        <v>9</v>
      </c>
      <c r="Y54" s="9">
        <v>3</v>
      </c>
      <c r="Z54" s="9">
        <v>0</v>
      </c>
      <c r="AA54" s="14">
        <f>SUM(Z54, AVERAGE(5, W54))/1.5-0.67</f>
        <v>2.33</v>
      </c>
      <c r="AB54" s="14">
        <f>SUM(X54, AA54, AVERAGE(Y54, W54))/2.25</f>
        <v>6.5911111111111111</v>
      </c>
      <c r="AC54" s="23">
        <f>SUM(AVERAGE(Y54, W54), AVERAGE(Y54, 9))/1.5</f>
        <v>6.333333333333333</v>
      </c>
    </row>
    <row r="55" spans="2:29">
      <c r="B55" s="4">
        <v>52</v>
      </c>
      <c r="C55" s="11" t="s">
        <v>69</v>
      </c>
      <c r="D55" s="21"/>
      <c r="E55" s="21"/>
      <c r="F55" s="21"/>
      <c r="G55" s="21"/>
      <c r="H55" s="21">
        <v>8</v>
      </c>
      <c r="I55" s="21"/>
      <c r="J55" s="21"/>
      <c r="K55" s="21"/>
      <c r="L55" s="21"/>
      <c r="M55" s="21"/>
      <c r="N55" s="21"/>
      <c r="O55" s="21"/>
      <c r="P55" s="21"/>
      <c r="Q55" s="21"/>
      <c r="R55" s="21"/>
      <c r="S55" s="21"/>
      <c r="T55" s="21"/>
      <c r="U55" s="21"/>
      <c r="V55" s="21"/>
      <c r="W55" s="9">
        <v>4</v>
      </c>
      <c r="X55" s="9">
        <v>7</v>
      </c>
      <c r="Y55" s="9">
        <v>5</v>
      </c>
      <c r="Z55" s="9">
        <v>0</v>
      </c>
      <c r="AA55" s="14">
        <f>SUM(Z55, AVERAGE(9, W55))/1.5-0.67</f>
        <v>3.6633333333333331</v>
      </c>
      <c r="AB55" s="14">
        <f>SUM(X55, AA55, AVERAGE(Y55, W55))/2.25</f>
        <v>6.7392592592592599</v>
      </c>
      <c r="AC55" s="23">
        <f>SUM(AVERAGE(Y55, W55), AVERAGE(Y55, 8))/1.5</f>
        <v>7.333333333333333</v>
      </c>
    </row>
    <row r="56" spans="2:29">
      <c r="B56" s="4">
        <v>53</v>
      </c>
      <c r="C56" s="11" t="s">
        <v>75</v>
      </c>
      <c r="D56" s="21"/>
      <c r="E56" s="21"/>
      <c r="F56" s="21"/>
      <c r="G56" s="21"/>
      <c r="H56" s="21">
        <v>9</v>
      </c>
      <c r="I56" s="21"/>
      <c r="J56" s="21"/>
      <c r="K56" s="21"/>
      <c r="L56" s="21"/>
      <c r="M56" s="21"/>
      <c r="N56" s="21"/>
      <c r="O56" s="21"/>
      <c r="P56" s="21"/>
      <c r="Q56" s="21"/>
      <c r="R56" s="21"/>
      <c r="S56" s="21"/>
      <c r="T56" s="21"/>
      <c r="U56" s="21"/>
      <c r="V56" s="21"/>
      <c r="W56" s="9">
        <v>4</v>
      </c>
      <c r="X56" s="9">
        <v>7</v>
      </c>
      <c r="Y56" s="9">
        <v>5</v>
      </c>
      <c r="Z56" s="9">
        <v>0</v>
      </c>
      <c r="AA56" s="14">
        <f>SUM(Z56, AVERAGE(5, W56))/1.5-0.67</f>
        <v>2.33</v>
      </c>
      <c r="AB56" s="14">
        <f>SUM(X56, AA56, AVERAGE(Y56, W56))/2.25</f>
        <v>6.1466666666666665</v>
      </c>
      <c r="AC56" s="23">
        <f>SUM(AVERAGE(Y56, W56), AVERAGE(Y56, 9))/1.5</f>
        <v>7.666666666666667</v>
      </c>
    </row>
    <row r="57" spans="2:29">
      <c r="B57" s="4">
        <v>54</v>
      </c>
      <c r="C57" s="11" t="s">
        <v>97</v>
      </c>
      <c r="D57" s="21"/>
      <c r="E57" s="21"/>
      <c r="F57" s="21"/>
      <c r="G57" s="21"/>
      <c r="H57" s="21">
        <v>2</v>
      </c>
      <c r="I57" s="21"/>
      <c r="J57" s="21"/>
      <c r="K57" s="21"/>
      <c r="L57" s="21"/>
      <c r="M57" s="21"/>
      <c r="N57" s="21"/>
      <c r="O57" s="21"/>
      <c r="P57" s="21"/>
      <c r="Q57" s="21"/>
      <c r="R57" s="21"/>
      <c r="S57" s="21"/>
      <c r="T57" s="21"/>
      <c r="U57" s="21"/>
      <c r="V57" s="21"/>
      <c r="W57" s="9">
        <v>3</v>
      </c>
      <c r="X57" s="9">
        <v>6</v>
      </c>
      <c r="Y57" s="9">
        <v>4</v>
      </c>
      <c r="Z57" s="9">
        <v>0</v>
      </c>
      <c r="AA57" s="14">
        <f>SUM(Z57, AVERAGE(5, W57))/1.5-0.67</f>
        <v>1.9966666666666666</v>
      </c>
      <c r="AB57" s="14">
        <f>SUM(X57, AA57, AVERAGE(Y57, W57))/2.25</f>
        <v>5.1096296296296293</v>
      </c>
      <c r="AC57" s="23">
        <f>SUM(AVERAGE(Y57, W57), AVERAGE(Y57, 2))/1.5</f>
        <v>4.333333333333333</v>
      </c>
    </row>
    <row r="58" spans="2:29">
      <c r="B58" s="4">
        <v>55</v>
      </c>
      <c r="C58" s="11" t="s">
        <v>23</v>
      </c>
      <c r="D58" s="21"/>
      <c r="E58" s="21"/>
      <c r="F58" s="21"/>
      <c r="G58" s="21"/>
      <c r="H58" s="21">
        <v>8</v>
      </c>
      <c r="I58" s="21"/>
      <c r="J58" s="21"/>
      <c r="K58" s="21"/>
      <c r="L58" s="21"/>
      <c r="M58" s="21"/>
      <c r="N58" s="21"/>
      <c r="O58" s="21"/>
      <c r="P58" s="21"/>
      <c r="Q58" s="21"/>
      <c r="R58" s="21"/>
      <c r="S58" s="21"/>
      <c r="T58" s="21"/>
      <c r="U58" s="21"/>
      <c r="V58" s="21"/>
      <c r="W58" s="9">
        <v>2</v>
      </c>
      <c r="X58" s="9">
        <v>8</v>
      </c>
      <c r="Y58" s="9">
        <v>4</v>
      </c>
      <c r="Z58" s="9">
        <v>0</v>
      </c>
      <c r="AA58" s="14">
        <f>SUM(Z58, AVERAGE(5, W58))/1.5-0.67</f>
        <v>1.6633333333333336</v>
      </c>
      <c r="AB58" s="14">
        <f>SUM(X58, AA58, AVERAGE(Y58, W58))/2.25</f>
        <v>5.6281481481481483</v>
      </c>
      <c r="AC58" s="23">
        <f>SUM(AVERAGE(Y58, W58), AVERAGE(Y58, 8))/1.5</f>
        <v>6</v>
      </c>
    </row>
    <row r="59" spans="2:29">
      <c r="B59" s="4">
        <v>56</v>
      </c>
      <c r="C59" s="11" t="s">
        <v>98</v>
      </c>
      <c r="D59" s="21"/>
      <c r="E59" s="21"/>
      <c r="F59" s="21"/>
      <c r="G59" s="21"/>
      <c r="H59" s="21">
        <v>8</v>
      </c>
      <c r="I59" s="21"/>
      <c r="J59" s="21"/>
      <c r="K59" s="21"/>
      <c r="L59" s="21"/>
      <c r="M59" s="21"/>
      <c r="N59" s="21"/>
      <c r="O59" s="21"/>
      <c r="P59" s="21"/>
      <c r="Q59" s="21"/>
      <c r="R59" s="21"/>
      <c r="S59" s="21"/>
      <c r="T59" s="21"/>
      <c r="U59" s="21"/>
      <c r="V59" s="21"/>
      <c r="W59" s="9">
        <v>4</v>
      </c>
      <c r="X59" s="9">
        <v>7</v>
      </c>
      <c r="Y59" s="9">
        <v>6</v>
      </c>
      <c r="Z59" s="9">
        <v>0</v>
      </c>
      <c r="AA59" s="14">
        <f>SUM(Z59, AVERAGE(5, W59))/1.5-0.67</f>
        <v>2.33</v>
      </c>
      <c r="AB59" s="14">
        <f>SUM(X59, AA59, AVERAGE(Y59, W59))/2.25</f>
        <v>6.3688888888888888</v>
      </c>
      <c r="AC59" s="23">
        <f>SUM(AVERAGE(Y59, W59), AVERAGE(Y59, 8))/1.5</f>
        <v>8</v>
      </c>
    </row>
    <row r="60" spans="2:29">
      <c r="B60" s="4">
        <v>57</v>
      </c>
      <c r="C60" s="11" t="s">
        <v>65</v>
      </c>
      <c r="D60" s="21"/>
      <c r="E60" s="21"/>
      <c r="F60" s="21"/>
      <c r="G60" s="21"/>
      <c r="H60" s="21">
        <v>8</v>
      </c>
      <c r="I60" s="21"/>
      <c r="J60" s="21"/>
      <c r="K60" s="21"/>
      <c r="L60" s="21"/>
      <c r="M60" s="21"/>
      <c r="N60" s="21"/>
      <c r="O60" s="21"/>
      <c r="P60" s="21"/>
      <c r="Q60" s="21"/>
      <c r="R60" s="21"/>
      <c r="S60" s="21"/>
      <c r="T60" s="21"/>
      <c r="U60" s="21"/>
      <c r="V60" s="21"/>
      <c r="W60" s="9">
        <v>4</v>
      </c>
      <c r="X60" s="9">
        <v>8</v>
      </c>
      <c r="Y60" s="9">
        <v>5</v>
      </c>
      <c r="Z60" s="9">
        <v>0</v>
      </c>
      <c r="AA60" s="14">
        <f>SUM(Z60, AVERAGE(5, W60))/1.5-0.67</f>
        <v>2.33</v>
      </c>
      <c r="AB60" s="14">
        <f>SUM(X60, AA60, AVERAGE(Y60, W60))/2.25</f>
        <v>6.5911111111111111</v>
      </c>
      <c r="AC60" s="23">
        <f>SUM(AVERAGE(Y60, W60), AVERAGE(Y60, 8))/1.5</f>
        <v>7.333333333333333</v>
      </c>
    </row>
    <row r="61" spans="2:29">
      <c r="B61" s="4">
        <v>58</v>
      </c>
      <c r="C61" s="11" t="s">
        <v>91</v>
      </c>
      <c r="D61" s="21"/>
      <c r="E61" s="21"/>
      <c r="F61" s="21"/>
      <c r="G61" s="21"/>
      <c r="H61" s="21">
        <v>8</v>
      </c>
      <c r="I61" s="21"/>
      <c r="J61" s="21"/>
      <c r="K61" s="21"/>
      <c r="L61" s="21"/>
      <c r="M61" s="21"/>
      <c r="N61" s="21"/>
      <c r="O61" s="21"/>
      <c r="P61" s="21"/>
      <c r="Q61" s="21"/>
      <c r="R61" s="21"/>
      <c r="S61" s="21"/>
      <c r="T61" s="21"/>
      <c r="U61" s="21"/>
      <c r="V61" s="21"/>
      <c r="W61" s="9">
        <v>3</v>
      </c>
      <c r="X61" s="9">
        <v>7</v>
      </c>
      <c r="Y61" s="9">
        <v>5</v>
      </c>
      <c r="Z61" s="9">
        <v>0</v>
      </c>
      <c r="AA61" s="14">
        <f>SUM(Z61, AVERAGE(5, W61))/1.5-0.67</f>
        <v>1.9966666666666666</v>
      </c>
      <c r="AB61" s="14">
        <f>SUM(X61, AA61, AVERAGE(Y61, W61))/2.25</f>
        <v>5.7762962962962963</v>
      </c>
      <c r="AC61" s="23">
        <f>SUM(AVERAGE(Y61, W61), AVERAGE(Y61, 8))/1.5</f>
        <v>7</v>
      </c>
    </row>
    <row r="62" spans="2:29">
      <c r="B62" s="4">
        <v>59</v>
      </c>
      <c r="C62" s="11" t="s">
        <v>22</v>
      </c>
      <c r="D62" s="21"/>
      <c r="E62" s="21"/>
      <c r="F62" s="21"/>
      <c r="G62" s="21"/>
      <c r="H62" s="21">
        <v>7</v>
      </c>
      <c r="I62" s="21"/>
      <c r="J62" s="21"/>
      <c r="K62" s="21"/>
      <c r="L62" s="21"/>
      <c r="M62" s="21"/>
      <c r="N62" s="21"/>
      <c r="O62" s="21"/>
      <c r="P62" s="21"/>
      <c r="Q62" s="21"/>
      <c r="R62" s="21"/>
      <c r="S62" s="21"/>
      <c r="T62" s="21"/>
      <c r="U62" s="21"/>
      <c r="V62" s="21"/>
      <c r="W62" s="9">
        <v>7</v>
      </c>
      <c r="X62" s="9">
        <v>1</v>
      </c>
      <c r="Y62" s="9">
        <v>6</v>
      </c>
      <c r="Z62" s="9">
        <v>7</v>
      </c>
      <c r="AA62" s="14">
        <f>SUM(Z62, AVERAGE(7, W62))/1.5-0.67</f>
        <v>8.663333333333334</v>
      </c>
      <c r="AB62" s="14">
        <f>SUM(X62, AA62, AVERAGE(Y62, W62))/2.25</f>
        <v>7.1837037037037037</v>
      </c>
      <c r="AC62" s="23">
        <f>SUM(AVERAGE(Y62, W62), AVERAGE(Y62, 7))/1.5</f>
        <v>8.6666666666666661</v>
      </c>
    </row>
    <row r="63" spans="2:29">
      <c r="B63" s="4">
        <v>60</v>
      </c>
      <c r="C63" s="11" t="s">
        <v>41</v>
      </c>
      <c r="D63" s="21"/>
      <c r="E63" s="21"/>
      <c r="F63" s="21"/>
      <c r="G63" s="21"/>
      <c r="H63" s="21">
        <v>7</v>
      </c>
      <c r="I63" s="21"/>
      <c r="J63" s="21"/>
      <c r="K63" s="21"/>
      <c r="L63" s="21"/>
      <c r="M63" s="21"/>
      <c r="N63" s="21"/>
      <c r="O63" s="21"/>
      <c r="P63" s="21"/>
      <c r="Q63" s="21"/>
      <c r="R63" s="21"/>
      <c r="S63" s="21"/>
      <c r="T63" s="21"/>
      <c r="U63" s="21"/>
      <c r="V63" s="21"/>
      <c r="W63" s="9">
        <v>6</v>
      </c>
      <c r="X63" s="9">
        <v>8</v>
      </c>
      <c r="Y63" s="9">
        <v>6</v>
      </c>
      <c r="Z63" s="9">
        <v>8</v>
      </c>
      <c r="AA63" s="14">
        <f>SUM(Z63, AVERAGE(7, W63))/1.5-0.67</f>
        <v>8.9966666666666661</v>
      </c>
      <c r="AB63" s="14">
        <f>SUM(X63, AA63, AVERAGE(Y63, W63))/2.25</f>
        <v>10.220740740740741</v>
      </c>
      <c r="AC63" s="23">
        <f>SUM(AVERAGE(Y63, W63), AVERAGE(Y63, 7))/1.5</f>
        <v>8.3333333333333339</v>
      </c>
    </row>
    <row r="64" spans="2:29">
      <c r="B64" s="4">
        <v>61</v>
      </c>
      <c r="C64" s="11" t="s">
        <v>40</v>
      </c>
      <c r="D64" s="21"/>
      <c r="E64" s="21"/>
      <c r="F64" s="21"/>
      <c r="G64" s="21"/>
      <c r="H64" s="21">
        <v>6</v>
      </c>
      <c r="I64" s="21"/>
      <c r="J64" s="21"/>
      <c r="K64" s="21"/>
      <c r="L64" s="21"/>
      <c r="M64" s="21"/>
      <c r="N64" s="21"/>
      <c r="O64" s="21"/>
      <c r="P64" s="21"/>
      <c r="Q64" s="21"/>
      <c r="R64" s="21"/>
      <c r="S64" s="21"/>
      <c r="T64" s="21"/>
      <c r="U64" s="21"/>
      <c r="V64" s="21"/>
      <c r="W64" s="9">
        <v>3</v>
      </c>
      <c r="X64" s="9">
        <v>8</v>
      </c>
      <c r="Y64" s="9">
        <v>4</v>
      </c>
      <c r="Z64" s="9">
        <v>0</v>
      </c>
      <c r="AA64" s="14">
        <f>SUM(Z64, AVERAGE(5, W64))/1.5-0.67</f>
        <v>1.9966666666666666</v>
      </c>
      <c r="AB64" s="14">
        <f>SUM(X64, AA64, AVERAGE(Y64, W64))/2.25</f>
        <v>5.9985185185185186</v>
      </c>
      <c r="AC64" s="23">
        <f>SUM(AVERAGE(Y64, W64), AVERAGE(Y64, 6))/1.5</f>
        <v>5.666666666666667</v>
      </c>
    </row>
    <row r="65" spans="2:29">
      <c r="B65" s="4">
        <v>62</v>
      </c>
      <c r="C65" s="11" t="s">
        <v>55</v>
      </c>
      <c r="D65" s="21"/>
      <c r="E65" s="21"/>
      <c r="F65" s="21"/>
      <c r="G65" s="21"/>
      <c r="H65" s="21">
        <v>9</v>
      </c>
      <c r="I65" s="21"/>
      <c r="J65" s="21"/>
      <c r="K65" s="21"/>
      <c r="L65" s="21"/>
      <c r="M65" s="21"/>
      <c r="N65" s="21"/>
      <c r="O65" s="21"/>
      <c r="P65" s="21"/>
      <c r="Q65" s="21"/>
      <c r="R65" s="21"/>
      <c r="S65" s="21"/>
      <c r="T65" s="21"/>
      <c r="U65" s="21"/>
      <c r="V65" s="21"/>
      <c r="W65" s="9">
        <v>3</v>
      </c>
      <c r="X65" s="9">
        <v>5</v>
      </c>
      <c r="Y65" s="9">
        <v>4</v>
      </c>
      <c r="Z65" s="9">
        <v>2</v>
      </c>
      <c r="AA65" s="14">
        <f>SUM(Z65, AVERAGE(5, W65))/1.5-0.67</f>
        <v>3.33</v>
      </c>
      <c r="AB65" s="14">
        <f>SUM(X65, AA65, AVERAGE(Y65, W65))/2.25</f>
        <v>5.2577777777777781</v>
      </c>
      <c r="AC65" s="23">
        <f>SUM(AVERAGE(Y65, W65), AVERAGE(Y65, 9))/1.5</f>
        <v>6.666666666666667</v>
      </c>
    </row>
    <row r="66" spans="2:29">
      <c r="B66" s="4">
        <v>63</v>
      </c>
      <c r="C66" s="11" t="s">
        <v>81</v>
      </c>
      <c r="D66" s="21"/>
      <c r="E66" s="21"/>
      <c r="F66" s="21"/>
      <c r="G66" s="21"/>
      <c r="H66" s="21">
        <v>8</v>
      </c>
      <c r="I66" s="21"/>
      <c r="J66" s="21"/>
      <c r="K66" s="21"/>
      <c r="L66" s="21"/>
      <c r="M66" s="21"/>
      <c r="N66" s="21"/>
      <c r="O66" s="21"/>
      <c r="P66" s="21"/>
      <c r="Q66" s="21"/>
      <c r="R66" s="21"/>
      <c r="S66" s="21"/>
      <c r="T66" s="21"/>
      <c r="U66" s="21"/>
      <c r="V66" s="21"/>
      <c r="W66" s="9">
        <v>4</v>
      </c>
      <c r="X66" s="9">
        <v>7</v>
      </c>
      <c r="Y66" s="9">
        <v>5</v>
      </c>
      <c r="Z66" s="9">
        <v>0</v>
      </c>
      <c r="AA66" s="14">
        <f>SUM(Z66, AVERAGE(5, W66))/1.5-0.67</f>
        <v>2.33</v>
      </c>
      <c r="AB66" s="14">
        <f>SUM(X66, AA66, AVERAGE(Y66, W66))/2.25</f>
        <v>6.1466666666666665</v>
      </c>
      <c r="AC66" s="23">
        <f>SUM(AVERAGE(Y66, W66), AVERAGE(Y66, 8))/1.5</f>
        <v>7.333333333333333</v>
      </c>
    </row>
    <row r="67" spans="2:29">
      <c r="B67" s="4">
        <v>64</v>
      </c>
      <c r="C67" s="11" t="s">
        <v>21</v>
      </c>
      <c r="D67" s="21"/>
      <c r="E67" s="21"/>
      <c r="F67" s="21"/>
      <c r="G67" s="21"/>
      <c r="H67" s="21">
        <v>8</v>
      </c>
      <c r="I67" s="21"/>
      <c r="J67" s="21"/>
      <c r="K67" s="21"/>
      <c r="L67" s="21"/>
      <c r="M67" s="21"/>
      <c r="N67" s="21"/>
      <c r="O67" s="21"/>
      <c r="P67" s="21"/>
      <c r="Q67" s="21"/>
      <c r="R67" s="21"/>
      <c r="S67" s="21"/>
      <c r="T67" s="21"/>
      <c r="U67" s="21"/>
      <c r="V67" s="21"/>
      <c r="W67" s="9">
        <v>7</v>
      </c>
      <c r="X67" s="9">
        <v>4</v>
      </c>
      <c r="Y67" s="9">
        <v>4</v>
      </c>
      <c r="Z67" s="9">
        <v>0</v>
      </c>
      <c r="AA67" s="14">
        <f>SUM(Z67, AVERAGE(7, W67))/1.5-0.67</f>
        <v>3.996666666666667</v>
      </c>
      <c r="AB67" s="14">
        <f>SUM(X67, AA67, AVERAGE(Y67, W67))/2.25</f>
        <v>5.9985185185185186</v>
      </c>
      <c r="AC67" s="23">
        <f>SUM(AVERAGE(Y67, W67), AVERAGE(Y67, 8))/1.5</f>
        <v>7.666666666666667</v>
      </c>
    </row>
    <row r="68" spans="2:29">
      <c r="B68" s="4">
        <v>65</v>
      </c>
      <c r="C68" s="11" t="s">
        <v>48</v>
      </c>
      <c r="D68" s="21"/>
      <c r="E68" s="21"/>
      <c r="F68" s="21"/>
      <c r="G68" s="21"/>
      <c r="H68" s="21">
        <v>8</v>
      </c>
      <c r="I68" s="21"/>
      <c r="J68" s="21"/>
      <c r="K68" s="21"/>
      <c r="L68" s="21"/>
      <c r="M68" s="21"/>
      <c r="N68" s="21"/>
      <c r="O68" s="21"/>
      <c r="P68" s="21"/>
      <c r="Q68" s="21"/>
      <c r="R68" s="21"/>
      <c r="S68" s="21"/>
      <c r="T68" s="21"/>
      <c r="U68" s="21"/>
      <c r="V68" s="21"/>
      <c r="W68" s="9">
        <v>4</v>
      </c>
      <c r="X68" s="9">
        <v>7</v>
      </c>
      <c r="Y68" s="9">
        <v>4</v>
      </c>
      <c r="Z68" s="9">
        <v>7</v>
      </c>
      <c r="AA68" s="14">
        <f>SUM(Z68, AVERAGE(5, W68))/1.5-0.67</f>
        <v>6.996666666666667</v>
      </c>
      <c r="AB68" s="14">
        <f>SUM(X68, AA68, AVERAGE(Y68, W68))/2.25</f>
        <v>7.9985185185185186</v>
      </c>
      <c r="AC68" s="23">
        <f>SUM(AVERAGE(Y68, W68), AVERAGE(Y68, 8))/1.5</f>
        <v>6.666666666666667</v>
      </c>
    </row>
    <row r="69" spans="2:29">
      <c r="B69" s="4">
        <v>66</v>
      </c>
      <c r="C69" s="11" t="s">
        <v>90</v>
      </c>
      <c r="D69" s="21"/>
      <c r="E69" s="21"/>
      <c r="F69" s="21"/>
      <c r="G69" s="21"/>
      <c r="H69" s="21">
        <v>8</v>
      </c>
      <c r="I69" s="21"/>
      <c r="J69" s="21"/>
      <c r="K69" s="21"/>
      <c r="L69" s="21"/>
      <c r="M69" s="21"/>
      <c r="N69" s="21"/>
      <c r="O69" s="21"/>
      <c r="P69" s="21"/>
      <c r="Q69" s="21"/>
      <c r="R69" s="21"/>
      <c r="S69" s="21"/>
      <c r="T69" s="21"/>
      <c r="U69" s="21"/>
      <c r="V69" s="21"/>
      <c r="W69" s="9">
        <v>5</v>
      </c>
      <c r="X69" s="9">
        <v>8</v>
      </c>
      <c r="Y69" s="9">
        <v>7</v>
      </c>
      <c r="Z69" s="9">
        <v>0</v>
      </c>
      <c r="AA69" s="14">
        <f>SUM(Z69, AVERAGE(5, W69))/1.5-0.67</f>
        <v>2.6633333333333336</v>
      </c>
      <c r="AB69" s="14">
        <f>SUM(X69, AA69, AVERAGE(Y69, W69))/2.25</f>
        <v>7.405925925925926</v>
      </c>
      <c r="AC69" s="23">
        <f>SUM(AVERAGE(Y69, W69), AVERAGE(Y69, 8))/1.5</f>
        <v>9</v>
      </c>
    </row>
    <row r="70" spans="2:29">
      <c r="B70" s="4">
        <v>67</v>
      </c>
      <c r="C70" s="11" t="s">
        <v>104</v>
      </c>
      <c r="D70" s="21"/>
      <c r="E70" s="21"/>
      <c r="F70" s="21"/>
      <c r="G70" s="21"/>
      <c r="H70" s="21">
        <v>8</v>
      </c>
      <c r="I70" s="21"/>
      <c r="J70" s="21"/>
      <c r="K70" s="21"/>
      <c r="L70" s="21"/>
      <c r="M70" s="21"/>
      <c r="N70" s="21"/>
      <c r="O70" s="21"/>
      <c r="P70" s="21"/>
      <c r="Q70" s="21"/>
      <c r="R70" s="21"/>
      <c r="S70" s="21"/>
      <c r="T70" s="21"/>
      <c r="U70" s="21"/>
      <c r="V70" s="21"/>
      <c r="W70" s="9">
        <v>3</v>
      </c>
      <c r="X70" s="9">
        <v>6</v>
      </c>
      <c r="Y70" s="9">
        <v>4</v>
      </c>
      <c r="Z70" s="9">
        <v>0</v>
      </c>
      <c r="AA70" s="14">
        <f>SUM(Z70, AVERAGE(5, W70))/1.5-0.67</f>
        <v>1.9966666666666666</v>
      </c>
      <c r="AB70" s="14">
        <f>SUM(X70, AA70, AVERAGE(Y70, W70))/2.25</f>
        <v>5.1096296296296293</v>
      </c>
      <c r="AC70" s="23">
        <f>SUM(AVERAGE(Y70, W70), AVERAGE(Y70, 8))/1.5</f>
        <v>6.333333333333333</v>
      </c>
    </row>
    <row r="71" spans="2:29">
      <c r="B71" s="4">
        <v>68</v>
      </c>
      <c r="C71" s="11" t="s">
        <v>34</v>
      </c>
      <c r="D71" s="21"/>
      <c r="E71" s="21"/>
      <c r="F71" s="21"/>
      <c r="G71" s="21"/>
      <c r="H71" s="21">
        <v>8</v>
      </c>
      <c r="I71" s="21"/>
      <c r="J71" s="21"/>
      <c r="K71" s="21"/>
      <c r="L71" s="21"/>
      <c r="M71" s="21"/>
      <c r="N71" s="21"/>
      <c r="O71" s="21"/>
      <c r="P71" s="21"/>
      <c r="Q71" s="21"/>
      <c r="R71" s="21"/>
      <c r="S71" s="21"/>
      <c r="T71" s="21"/>
      <c r="U71" s="21"/>
      <c r="V71" s="21"/>
      <c r="W71" s="9">
        <v>7</v>
      </c>
      <c r="X71" s="9">
        <v>3</v>
      </c>
      <c r="Y71" s="9">
        <v>5</v>
      </c>
      <c r="Z71" s="9">
        <v>0</v>
      </c>
      <c r="AA71" s="14">
        <f>SUM(Z71, AVERAGE(7, W71))/1.5-0.67</f>
        <v>3.996666666666667</v>
      </c>
      <c r="AB71" s="14">
        <f>SUM(X71, AA71, AVERAGE(Y71, W71))/2.25</f>
        <v>5.7762962962962963</v>
      </c>
      <c r="AC71" s="23">
        <f>SUM(AVERAGE(Y71, W71), AVERAGE(Y71, 8))/1.5</f>
        <v>8.3333333333333339</v>
      </c>
    </row>
    <row r="72" spans="2:29">
      <c r="B72" s="4">
        <v>69</v>
      </c>
      <c r="C72" s="11" t="s">
        <v>27</v>
      </c>
      <c r="D72" s="21"/>
      <c r="E72" s="21"/>
      <c r="F72" s="21"/>
      <c r="G72" s="21"/>
      <c r="H72" s="21">
        <v>7</v>
      </c>
      <c r="I72" s="21"/>
      <c r="J72" s="21"/>
      <c r="K72" s="21"/>
      <c r="L72" s="21"/>
      <c r="M72" s="21"/>
      <c r="N72" s="21"/>
      <c r="O72" s="21"/>
      <c r="P72" s="21"/>
      <c r="Q72" s="21"/>
      <c r="R72" s="21"/>
      <c r="S72" s="21"/>
      <c r="T72" s="21"/>
      <c r="U72" s="21"/>
      <c r="V72" s="21"/>
      <c r="W72" s="9">
        <v>6</v>
      </c>
      <c r="X72" s="9">
        <v>4</v>
      </c>
      <c r="Y72" s="9">
        <v>5</v>
      </c>
      <c r="Z72" s="9">
        <v>5</v>
      </c>
      <c r="AA72" s="14">
        <f>SUM(Z72, AVERAGE(7, W72))/1.5-0.67</f>
        <v>6.996666666666667</v>
      </c>
      <c r="AB72" s="14">
        <f>SUM(X72, AA72, AVERAGE(Y72, W72))/2.25</f>
        <v>7.3318518518518516</v>
      </c>
      <c r="AC72" s="23">
        <f>SUM(AVERAGE(Y72, W72), AVERAGE(Y72, 7))/1.5</f>
        <v>7.666666666666667</v>
      </c>
    </row>
    <row r="73" spans="2:29">
      <c r="B73" s="4">
        <v>70</v>
      </c>
      <c r="C73" s="11" t="s">
        <v>25</v>
      </c>
      <c r="D73" s="21"/>
      <c r="E73" s="21"/>
      <c r="F73" s="21"/>
      <c r="G73" s="21"/>
      <c r="H73" s="21">
        <v>8</v>
      </c>
      <c r="I73" s="21"/>
      <c r="J73" s="21"/>
      <c r="K73" s="21"/>
      <c r="L73" s="21"/>
      <c r="M73" s="21"/>
      <c r="N73" s="21"/>
      <c r="O73" s="21"/>
      <c r="P73" s="21"/>
      <c r="Q73" s="21"/>
      <c r="R73" s="21"/>
      <c r="S73" s="21"/>
      <c r="T73" s="21"/>
      <c r="U73" s="21"/>
      <c r="V73" s="21"/>
      <c r="W73" s="9">
        <v>4</v>
      </c>
      <c r="X73" s="9">
        <v>7</v>
      </c>
      <c r="Y73" s="9">
        <v>5</v>
      </c>
      <c r="Z73" s="9">
        <v>0</v>
      </c>
      <c r="AA73" s="14">
        <f>SUM(Z73, AVERAGE(5, W73))/1.5-0.67</f>
        <v>2.33</v>
      </c>
      <c r="AB73" s="14">
        <f>SUM(X73, AA73, AVERAGE(Y73, W73))/2.25</f>
        <v>6.1466666666666665</v>
      </c>
      <c r="AC73" s="23">
        <f>SUM(AVERAGE(Y73, W73), AVERAGE(Y73, 8))/1.5</f>
        <v>7.333333333333333</v>
      </c>
    </row>
    <row r="74" spans="2:29">
      <c r="B74" s="4">
        <v>71</v>
      </c>
      <c r="C74" s="11" t="s">
        <v>73</v>
      </c>
      <c r="D74" s="21"/>
      <c r="E74" s="21"/>
      <c r="F74" s="21"/>
      <c r="G74" s="21"/>
      <c r="H74" s="21">
        <v>7</v>
      </c>
      <c r="I74" s="21"/>
      <c r="J74" s="21"/>
      <c r="K74" s="21"/>
      <c r="L74" s="21"/>
      <c r="M74" s="21"/>
      <c r="N74" s="21"/>
      <c r="O74" s="21"/>
      <c r="P74" s="21"/>
      <c r="Q74" s="21"/>
      <c r="R74" s="21"/>
      <c r="S74" s="21"/>
      <c r="T74" s="21"/>
      <c r="U74" s="21"/>
      <c r="V74" s="21"/>
      <c r="W74" s="9">
        <v>4</v>
      </c>
      <c r="X74" s="9">
        <v>2</v>
      </c>
      <c r="Y74" s="9">
        <v>4</v>
      </c>
      <c r="Z74" s="9">
        <v>5</v>
      </c>
      <c r="AA74" s="14">
        <f>SUM(Z74, AVERAGE(9, W74))/1.5-0.67</f>
        <v>6.996666666666667</v>
      </c>
      <c r="AB74" s="14">
        <f>SUM(X74, AA74, AVERAGE(Y74, W74))/2.25</f>
        <v>5.7762962962962963</v>
      </c>
      <c r="AC74" s="23">
        <f>SUM(AVERAGE(Y74, W74), AVERAGE(Y74, 7))/1.5</f>
        <v>6.333333333333333</v>
      </c>
    </row>
    <row r="75" spans="2:29">
      <c r="B75" s="4">
        <v>72</v>
      </c>
      <c r="C75" s="11" t="s">
        <v>72</v>
      </c>
      <c r="D75" s="21"/>
      <c r="E75" s="21"/>
      <c r="F75" s="21"/>
      <c r="G75" s="21"/>
      <c r="H75" s="21">
        <v>8</v>
      </c>
      <c r="I75" s="21"/>
      <c r="J75" s="21"/>
      <c r="K75" s="21"/>
      <c r="L75" s="21"/>
      <c r="M75" s="21"/>
      <c r="N75" s="21"/>
      <c r="O75" s="21"/>
      <c r="P75" s="21"/>
      <c r="Q75" s="21"/>
      <c r="R75" s="21"/>
      <c r="S75" s="21"/>
      <c r="T75" s="21"/>
      <c r="U75" s="21"/>
      <c r="V75" s="21"/>
      <c r="W75" s="9">
        <v>4</v>
      </c>
      <c r="X75" s="9">
        <v>6</v>
      </c>
      <c r="Y75" s="9">
        <v>5</v>
      </c>
      <c r="Z75" s="9">
        <v>4</v>
      </c>
      <c r="AA75" s="14">
        <f>SUM(Z75, AVERAGE(5, W75))/1.5-0.67</f>
        <v>4.996666666666667</v>
      </c>
      <c r="AB75" s="14">
        <f>SUM(X75, AA75, AVERAGE(Y75, W75))/2.25</f>
        <v>6.887407407407407</v>
      </c>
      <c r="AC75" s="23">
        <f>SUM(AVERAGE(Y75, W75), AVERAGE(Y75, 8))/1.5</f>
        <v>7.333333333333333</v>
      </c>
    </row>
    <row r="76" spans="2:29">
      <c r="B76" s="4">
        <v>73</v>
      </c>
      <c r="C76" s="11" t="s">
        <v>63</v>
      </c>
      <c r="D76" s="21"/>
      <c r="E76" s="21"/>
      <c r="F76" s="21"/>
      <c r="G76" s="21"/>
      <c r="H76" s="21">
        <v>7</v>
      </c>
      <c r="I76" s="21"/>
      <c r="J76" s="21"/>
      <c r="K76" s="21"/>
      <c r="L76" s="21"/>
      <c r="M76" s="21"/>
      <c r="N76" s="21"/>
      <c r="O76" s="21"/>
      <c r="P76" s="21"/>
      <c r="Q76" s="21"/>
      <c r="R76" s="21"/>
      <c r="S76" s="21"/>
      <c r="T76" s="21"/>
      <c r="U76" s="21"/>
      <c r="V76" s="21"/>
      <c r="W76" s="9">
        <v>5</v>
      </c>
      <c r="X76" s="9">
        <v>1</v>
      </c>
      <c r="Y76" s="9">
        <v>6</v>
      </c>
      <c r="Z76" s="9">
        <v>9</v>
      </c>
      <c r="AA76" s="14">
        <f>SUM(Z76, AVERAGE(9, W76))/1.5-0.67</f>
        <v>9.9966666666666661</v>
      </c>
      <c r="AB76" s="14">
        <f>SUM(X76, AA76, AVERAGE(Y76, W76))/2.25</f>
        <v>7.3318518518518516</v>
      </c>
      <c r="AC76" s="23">
        <f>SUM(AVERAGE(Y76, W76), AVERAGE(Y76, 7))/1.5</f>
        <v>8</v>
      </c>
    </row>
    <row r="77" spans="2:29">
      <c r="B77" s="4">
        <v>74</v>
      </c>
      <c r="C77" s="11" t="s">
        <v>28</v>
      </c>
      <c r="D77" s="21"/>
      <c r="E77" s="21"/>
      <c r="F77" s="21"/>
      <c r="G77" s="21"/>
      <c r="H77" s="21">
        <v>8</v>
      </c>
      <c r="I77" s="21"/>
      <c r="J77" s="21"/>
      <c r="K77" s="21"/>
      <c r="L77" s="21"/>
      <c r="M77" s="21"/>
      <c r="N77" s="21"/>
      <c r="O77" s="21"/>
      <c r="P77" s="21"/>
      <c r="Q77" s="21"/>
      <c r="R77" s="21"/>
      <c r="S77" s="21"/>
      <c r="T77" s="21"/>
      <c r="U77" s="21"/>
      <c r="V77" s="21"/>
      <c r="W77" s="9">
        <v>4</v>
      </c>
      <c r="X77" s="9">
        <v>7</v>
      </c>
      <c r="Y77" s="9">
        <v>7</v>
      </c>
      <c r="Z77" s="9">
        <v>0</v>
      </c>
      <c r="AA77" s="14">
        <f>SUM(Z77, AVERAGE(5, W77))/1.5-0.67</f>
        <v>2.33</v>
      </c>
      <c r="AB77" s="14">
        <f>SUM(X77, AA77, AVERAGE(Y77, W77))/2.25</f>
        <v>6.5911111111111111</v>
      </c>
      <c r="AC77" s="23">
        <f>SUM(AVERAGE(Y77, W77), AVERAGE(Y77, 8))/1.5</f>
        <v>8.6666666666666661</v>
      </c>
    </row>
    <row r="78" spans="2:29">
      <c r="B78" s="4">
        <v>75</v>
      </c>
      <c r="C78" s="11" t="s">
        <v>76</v>
      </c>
      <c r="D78" s="21"/>
      <c r="E78" s="21"/>
      <c r="F78" s="21"/>
      <c r="G78" s="21"/>
      <c r="H78" s="21">
        <v>3</v>
      </c>
      <c r="I78" s="21"/>
      <c r="J78" s="21"/>
      <c r="K78" s="21"/>
      <c r="L78" s="21"/>
      <c r="M78" s="21"/>
      <c r="N78" s="21"/>
      <c r="O78" s="21"/>
      <c r="P78" s="21"/>
      <c r="Q78" s="21"/>
      <c r="R78" s="21"/>
      <c r="S78" s="21"/>
      <c r="T78" s="21"/>
      <c r="U78" s="21"/>
      <c r="V78" s="21"/>
      <c r="W78" s="9">
        <v>4</v>
      </c>
      <c r="X78" s="9">
        <v>6</v>
      </c>
      <c r="Y78" s="9">
        <v>5</v>
      </c>
      <c r="Z78" s="9">
        <v>6</v>
      </c>
      <c r="AA78" s="14">
        <f>SUM(Z78, AVERAGE(7, W78))/1.5-0.67</f>
        <v>6.996666666666667</v>
      </c>
      <c r="AB78" s="14">
        <f>SUM(X78, AA78, AVERAGE(Y78, W78))/2.25</f>
        <v>7.7762962962962963</v>
      </c>
      <c r="AC78" s="23">
        <f>SUM(AVERAGE(Y78, W78), AVERAGE(Y78, 3))/1.5</f>
        <v>5.666666666666667</v>
      </c>
    </row>
    <row r="79" spans="2:29">
      <c r="B79" s="4">
        <v>76</v>
      </c>
      <c r="C79" s="11" t="s">
        <v>57</v>
      </c>
      <c r="D79" s="21"/>
      <c r="E79" s="21"/>
      <c r="F79" s="21"/>
      <c r="G79" s="21"/>
      <c r="H79" s="21">
        <v>8</v>
      </c>
      <c r="I79" s="21"/>
      <c r="J79" s="21"/>
      <c r="K79" s="21"/>
      <c r="L79" s="21"/>
      <c r="M79" s="21"/>
      <c r="N79" s="21"/>
      <c r="O79" s="21"/>
      <c r="P79" s="21"/>
      <c r="Q79" s="21"/>
      <c r="R79" s="21"/>
      <c r="S79" s="21"/>
      <c r="T79" s="21"/>
      <c r="U79" s="21"/>
      <c r="V79" s="21"/>
      <c r="W79" s="9">
        <v>3</v>
      </c>
      <c r="X79" s="9">
        <v>7</v>
      </c>
      <c r="Y79" s="9">
        <v>5</v>
      </c>
      <c r="Z79" s="9">
        <v>0</v>
      </c>
      <c r="AA79" s="14">
        <f>SUM(Z79, AVERAGE(5, W79))/1.5-0.67</f>
        <v>1.9966666666666666</v>
      </c>
      <c r="AB79" s="14">
        <f>SUM(X79, AA79, AVERAGE(Y79, W79))/2.25</f>
        <v>5.7762962962962963</v>
      </c>
      <c r="AC79" s="23">
        <f>SUM(AVERAGE(Y79, W79), AVERAGE(Y79, 8))/1.5</f>
        <v>7</v>
      </c>
    </row>
    <row r="80" spans="2:29">
      <c r="B80" s="4">
        <v>77</v>
      </c>
      <c r="C80" s="11" t="s">
        <v>80</v>
      </c>
      <c r="D80" s="21"/>
      <c r="E80" s="21"/>
      <c r="F80" s="21"/>
      <c r="G80" s="21"/>
      <c r="H80" s="21">
        <v>8</v>
      </c>
      <c r="I80" s="21"/>
      <c r="J80" s="21"/>
      <c r="K80" s="21"/>
      <c r="L80" s="21"/>
      <c r="M80" s="21"/>
      <c r="N80" s="21"/>
      <c r="O80" s="21"/>
      <c r="P80" s="21"/>
      <c r="Q80" s="21"/>
      <c r="R80" s="21"/>
      <c r="S80" s="21"/>
      <c r="T80" s="21"/>
      <c r="U80" s="21"/>
      <c r="V80" s="21"/>
      <c r="W80" s="9">
        <v>7</v>
      </c>
      <c r="X80" s="9">
        <v>4</v>
      </c>
      <c r="Y80" s="9">
        <v>2</v>
      </c>
      <c r="Z80" s="9">
        <v>4</v>
      </c>
      <c r="AA80" s="14">
        <f>SUM(Z80, AVERAGE(7, W80))/1.5-0.67</f>
        <v>6.6633333333333331</v>
      </c>
      <c r="AB80" s="14">
        <f>SUM(X80, AA80, AVERAGE(Y80, W80))/2.25</f>
        <v>6.7392592592592599</v>
      </c>
      <c r="AC80" s="23">
        <f>SUM(AVERAGE(Y80, W80), AVERAGE(Y80, 8))/1.5</f>
        <v>6.333333333333333</v>
      </c>
    </row>
    <row r="81" spans="2:29">
      <c r="B81" s="4">
        <v>78</v>
      </c>
      <c r="C81" s="11" t="s">
        <v>66</v>
      </c>
      <c r="D81" s="21"/>
      <c r="E81" s="21"/>
      <c r="F81" s="21"/>
      <c r="G81" s="21"/>
      <c r="H81" s="21">
        <v>8</v>
      </c>
      <c r="I81" s="21"/>
      <c r="J81" s="21"/>
      <c r="K81" s="21"/>
      <c r="L81" s="21"/>
      <c r="M81" s="21"/>
      <c r="N81" s="21"/>
      <c r="O81" s="21"/>
      <c r="P81" s="21"/>
      <c r="Q81" s="21"/>
      <c r="R81" s="21"/>
      <c r="S81" s="21"/>
      <c r="T81" s="21"/>
      <c r="U81" s="21"/>
      <c r="V81" s="21"/>
      <c r="W81" s="9">
        <v>3</v>
      </c>
      <c r="X81" s="9">
        <v>7</v>
      </c>
      <c r="Y81" s="9">
        <v>5</v>
      </c>
      <c r="Z81" s="9">
        <v>0</v>
      </c>
      <c r="AA81" s="14">
        <f>SUM(Z81, AVERAGE(5, W81))/1.5-0.67</f>
        <v>1.9966666666666666</v>
      </c>
      <c r="AB81" s="14">
        <f>SUM(X81, AA81, AVERAGE(Y81, W81))/2.25</f>
        <v>5.7762962962962963</v>
      </c>
      <c r="AC81" s="23">
        <f>SUM(AVERAGE(Y81, W81), AVERAGE(Y81, 8))/1.5</f>
        <v>7</v>
      </c>
    </row>
    <row r="82" spans="2:29">
      <c r="B82" s="4">
        <v>79</v>
      </c>
      <c r="C82" s="11" t="s">
        <v>42</v>
      </c>
      <c r="D82" s="21"/>
      <c r="E82" s="21"/>
      <c r="F82" s="21"/>
      <c r="G82" s="21"/>
      <c r="H82" s="21">
        <v>6</v>
      </c>
      <c r="I82" s="21"/>
      <c r="J82" s="21"/>
      <c r="K82" s="21"/>
      <c r="L82" s="21"/>
      <c r="M82" s="21"/>
      <c r="N82" s="21"/>
      <c r="O82" s="21"/>
      <c r="P82" s="21"/>
      <c r="Q82" s="21"/>
      <c r="R82" s="21"/>
      <c r="S82" s="21"/>
      <c r="T82" s="21"/>
      <c r="U82" s="21"/>
      <c r="V82" s="21"/>
      <c r="W82" s="9">
        <v>4</v>
      </c>
      <c r="X82" s="9">
        <v>6</v>
      </c>
      <c r="Y82" s="9">
        <v>5</v>
      </c>
      <c r="Z82" s="9">
        <v>0</v>
      </c>
      <c r="AA82" s="14">
        <f>SUM(Z82, AVERAGE(7, W82))/1.5-0.67</f>
        <v>2.9966666666666666</v>
      </c>
      <c r="AB82" s="14">
        <f>SUM(X82, AA82, AVERAGE(Y82, W82))/2.25</f>
        <v>5.9985185185185186</v>
      </c>
      <c r="AC82" s="23">
        <f>SUM(AVERAGE(Y82, W82), AVERAGE(Y82, 6))/1.5</f>
        <v>6.666666666666667</v>
      </c>
    </row>
    <row r="83" spans="2:29">
      <c r="B83" s="4">
        <v>80</v>
      </c>
      <c r="C83" s="11" t="s">
        <v>54</v>
      </c>
      <c r="D83" s="21"/>
      <c r="E83" s="21"/>
      <c r="F83" s="21"/>
      <c r="G83" s="21"/>
      <c r="H83" s="21">
        <v>8</v>
      </c>
      <c r="I83" s="21"/>
      <c r="J83" s="21"/>
      <c r="K83" s="21"/>
      <c r="L83" s="21"/>
      <c r="M83" s="21"/>
      <c r="N83" s="21"/>
      <c r="O83" s="21"/>
      <c r="P83" s="21"/>
      <c r="Q83" s="21"/>
      <c r="R83" s="21"/>
      <c r="S83" s="21"/>
      <c r="T83" s="21"/>
      <c r="U83" s="21"/>
      <c r="V83" s="21"/>
      <c r="W83" s="9">
        <v>4</v>
      </c>
      <c r="X83" s="9">
        <v>7</v>
      </c>
      <c r="Y83" s="9">
        <v>3</v>
      </c>
      <c r="Z83" s="9">
        <v>0</v>
      </c>
      <c r="AA83" s="14">
        <f>SUM(Z83, AVERAGE(7, W83))/1.5-0.67</f>
        <v>2.9966666666666666</v>
      </c>
      <c r="AB83" s="14">
        <f>SUM(X83, AA83, AVERAGE(Y83, W83))/2.25</f>
        <v>5.9985185185185186</v>
      </c>
      <c r="AC83" s="23">
        <f>SUM(AVERAGE(Y83, W83), AVERAGE(Y83, 8))/1.5</f>
        <v>6</v>
      </c>
    </row>
    <row r="84" spans="2:29">
      <c r="B84" s="4">
        <v>81</v>
      </c>
      <c r="C84" s="11" t="s">
        <v>8</v>
      </c>
      <c r="D84" s="21"/>
      <c r="E84" s="21"/>
      <c r="F84" s="21"/>
      <c r="G84" s="21"/>
      <c r="H84" s="21">
        <v>7</v>
      </c>
      <c r="I84" s="21"/>
      <c r="J84" s="21"/>
      <c r="K84" s="21"/>
      <c r="L84" s="21"/>
      <c r="M84" s="21"/>
      <c r="N84" s="21"/>
      <c r="O84" s="21"/>
      <c r="P84" s="21"/>
      <c r="Q84" s="21"/>
      <c r="R84" s="21"/>
      <c r="S84" s="21"/>
      <c r="T84" s="21"/>
      <c r="U84" s="21"/>
      <c r="V84" s="21"/>
      <c r="W84" s="9">
        <v>4</v>
      </c>
      <c r="X84" s="9">
        <v>1</v>
      </c>
      <c r="Y84" s="9">
        <v>5</v>
      </c>
      <c r="Z84" s="9">
        <v>6</v>
      </c>
      <c r="AA84" s="14">
        <f>SUM(Z84, AVERAGE(7, W84))/1.5-0.67</f>
        <v>6.996666666666667</v>
      </c>
      <c r="AB84" s="14">
        <f>SUM(X84, AA84, AVERAGE(Y84, W84))/2.25</f>
        <v>5.5540740740740739</v>
      </c>
      <c r="AC84" s="23">
        <f>SUM(AVERAGE(Y84, W84), AVERAGE(Y84, 7))/1.5</f>
        <v>7</v>
      </c>
    </row>
    <row r="85" spans="2:29">
      <c r="B85" s="4">
        <v>82</v>
      </c>
      <c r="C85" s="11" t="s">
        <v>74</v>
      </c>
      <c r="D85" s="21"/>
      <c r="E85" s="21"/>
      <c r="F85" s="21"/>
      <c r="G85" s="21"/>
      <c r="H85" s="21">
        <v>8</v>
      </c>
      <c r="I85" s="21"/>
      <c r="J85" s="21"/>
      <c r="K85" s="21"/>
      <c r="L85" s="21"/>
      <c r="M85" s="21"/>
      <c r="N85" s="21"/>
      <c r="O85" s="21"/>
      <c r="P85" s="21"/>
      <c r="Q85" s="21"/>
      <c r="R85" s="21"/>
      <c r="S85" s="21"/>
      <c r="T85" s="21"/>
      <c r="U85" s="21"/>
      <c r="V85" s="21"/>
      <c r="W85" s="9">
        <v>4</v>
      </c>
      <c r="X85" s="9">
        <v>6</v>
      </c>
      <c r="Y85" s="9">
        <v>5</v>
      </c>
      <c r="Z85" s="9">
        <v>4</v>
      </c>
      <c r="AA85" s="14">
        <f>SUM(Z85, AVERAGE(7, W85))/1.5-0.67</f>
        <v>5.6633333333333331</v>
      </c>
      <c r="AB85" s="14">
        <f>SUM(X85, AA85, AVERAGE(Y85, W85))/2.25</f>
        <v>7.1837037037037037</v>
      </c>
      <c r="AC85" s="23">
        <f>SUM(AVERAGE(Y85, W85), AVERAGE(Y85, 8))/1.5</f>
        <v>7.333333333333333</v>
      </c>
    </row>
    <row r="86" spans="2:29">
      <c r="B86" s="4">
        <v>83</v>
      </c>
      <c r="C86" s="11" t="s">
        <v>105</v>
      </c>
      <c r="D86" s="21"/>
      <c r="E86" s="21"/>
      <c r="F86" s="21"/>
      <c r="G86" s="21"/>
      <c r="H86" s="21">
        <v>3</v>
      </c>
      <c r="I86" s="21"/>
      <c r="J86" s="21"/>
      <c r="K86" s="21"/>
      <c r="L86" s="21"/>
      <c r="M86" s="21"/>
      <c r="N86" s="21"/>
      <c r="O86" s="21"/>
      <c r="P86" s="21"/>
      <c r="Q86" s="21"/>
      <c r="R86" s="21"/>
      <c r="S86" s="21"/>
      <c r="T86" s="21"/>
      <c r="U86" s="21"/>
      <c r="V86" s="21"/>
      <c r="W86" s="9">
        <v>3</v>
      </c>
      <c r="X86" s="9">
        <v>7</v>
      </c>
      <c r="Y86" s="9">
        <v>5</v>
      </c>
      <c r="Z86" s="9">
        <v>0</v>
      </c>
      <c r="AA86" s="14">
        <f>SUM(Z86, AVERAGE(7, W86))/1.5-0.67</f>
        <v>2.6633333333333336</v>
      </c>
      <c r="AB86" s="14">
        <f>SUM(X86, AA86, AVERAGE(Y86, W86))/2.25</f>
        <v>6.072592592592593</v>
      </c>
      <c r="AC86" s="23">
        <f>SUM(AVERAGE(Y86, W86), AVERAGE(Y86, 3))/1.5</f>
        <v>5.333333333333333</v>
      </c>
    </row>
    <row r="87" spans="2:29">
      <c r="B87" s="4">
        <v>84</v>
      </c>
      <c r="C87" s="11" t="s">
        <v>46</v>
      </c>
      <c r="D87" s="21"/>
      <c r="E87" s="21"/>
      <c r="F87" s="21"/>
      <c r="G87" s="21"/>
      <c r="H87" s="21">
        <v>7</v>
      </c>
      <c r="I87" s="21"/>
      <c r="J87" s="21"/>
      <c r="K87" s="21"/>
      <c r="L87" s="21"/>
      <c r="M87" s="21"/>
      <c r="N87" s="21"/>
      <c r="O87" s="21"/>
      <c r="P87" s="21"/>
      <c r="Q87" s="21"/>
      <c r="R87" s="21"/>
      <c r="S87" s="21"/>
      <c r="T87" s="21"/>
      <c r="U87" s="21"/>
      <c r="V87" s="21"/>
      <c r="W87" s="9">
        <v>5</v>
      </c>
      <c r="X87" s="9">
        <v>1</v>
      </c>
      <c r="Y87" s="9">
        <v>5</v>
      </c>
      <c r="Z87" s="9">
        <v>6</v>
      </c>
      <c r="AA87" s="14">
        <f>SUM(Z87, AVERAGE(9, W87))/1.5-0.67</f>
        <v>7.9966666666666661</v>
      </c>
      <c r="AB87" s="14">
        <f>SUM(X87, AA87, AVERAGE(Y87, W87))/2.25</f>
        <v>6.2207407407407409</v>
      </c>
      <c r="AC87" s="23">
        <f>SUM(AVERAGE(Y87, W87), AVERAGE(Y87, 7))/1.5</f>
        <v>7.333333333333333</v>
      </c>
    </row>
    <row r="88" spans="2:29">
      <c r="B88" s="4">
        <v>85</v>
      </c>
      <c r="C88" s="11" t="s">
        <v>47</v>
      </c>
      <c r="D88" s="21"/>
      <c r="E88" s="21"/>
      <c r="F88" s="21"/>
      <c r="G88" s="21"/>
      <c r="H88" s="21">
        <v>8</v>
      </c>
      <c r="I88" s="21"/>
      <c r="J88" s="21"/>
      <c r="K88" s="21"/>
      <c r="L88" s="21"/>
      <c r="M88" s="21"/>
      <c r="N88" s="21"/>
      <c r="O88" s="21"/>
      <c r="P88" s="21"/>
      <c r="Q88" s="21"/>
      <c r="R88" s="21"/>
      <c r="S88" s="21"/>
      <c r="T88" s="21"/>
      <c r="U88" s="21"/>
      <c r="V88" s="21"/>
      <c r="W88" s="9">
        <v>4</v>
      </c>
      <c r="X88" s="9">
        <v>6</v>
      </c>
      <c r="Y88" s="9">
        <v>3</v>
      </c>
      <c r="Z88" s="9">
        <v>0</v>
      </c>
      <c r="AA88" s="14">
        <f>SUM(Z88, AVERAGE(7, W88))/1.5-0.67</f>
        <v>2.9966666666666666</v>
      </c>
      <c r="AB88" s="14">
        <f>SUM(X88, AA88, AVERAGE(Y88, W88))/2.25</f>
        <v>5.5540740740740739</v>
      </c>
      <c r="AC88" s="23">
        <f>SUM(AVERAGE(Y88, W88), AVERAGE(Y88, 8))/1.5</f>
        <v>6</v>
      </c>
    </row>
    <row r="89" spans="2:29">
      <c r="B89" s="4">
        <v>86</v>
      </c>
      <c r="C89" s="11" t="s">
        <v>96</v>
      </c>
      <c r="D89" s="21"/>
      <c r="E89" s="21"/>
      <c r="F89" s="21"/>
      <c r="G89" s="21"/>
      <c r="H89" s="21">
        <v>8</v>
      </c>
      <c r="I89" s="21"/>
      <c r="J89" s="21"/>
      <c r="K89" s="21"/>
      <c r="L89" s="21"/>
      <c r="M89" s="21"/>
      <c r="N89" s="21"/>
      <c r="O89" s="21"/>
      <c r="P89" s="21"/>
      <c r="Q89" s="21"/>
      <c r="R89" s="21"/>
      <c r="S89" s="21"/>
      <c r="T89" s="21"/>
      <c r="U89" s="21"/>
      <c r="V89" s="21"/>
      <c r="W89" s="9">
        <v>3</v>
      </c>
      <c r="X89" s="9">
        <v>7</v>
      </c>
      <c r="Y89" s="9">
        <v>7</v>
      </c>
      <c r="Z89" s="9">
        <v>0</v>
      </c>
      <c r="AA89" s="14">
        <f>SUM(Z89, AVERAGE(5, W89))/1.5-0.67</f>
        <v>1.9966666666666666</v>
      </c>
      <c r="AB89" s="14">
        <f>SUM(X89, AA89, AVERAGE(Y89, W89))/2.25</f>
        <v>6.2207407407407409</v>
      </c>
      <c r="AC89" s="23">
        <f>SUM(AVERAGE(Y89, W89), AVERAGE(Y89, 8))/1.5</f>
        <v>8.3333333333333339</v>
      </c>
    </row>
    <row r="90" spans="2:29">
      <c r="B90" s="4">
        <v>87</v>
      </c>
      <c r="C90" s="11" t="s">
        <v>32</v>
      </c>
      <c r="D90" s="21"/>
      <c r="E90" s="21"/>
      <c r="F90" s="21"/>
      <c r="G90" s="21"/>
      <c r="H90" s="21">
        <v>7</v>
      </c>
      <c r="I90" s="21"/>
      <c r="J90" s="21"/>
      <c r="K90" s="21"/>
      <c r="L90" s="21"/>
      <c r="M90" s="21"/>
      <c r="N90" s="21"/>
      <c r="O90" s="21"/>
      <c r="P90" s="21"/>
      <c r="Q90" s="21"/>
      <c r="R90" s="21"/>
      <c r="S90" s="21"/>
      <c r="T90" s="21"/>
      <c r="U90" s="21"/>
      <c r="V90" s="21"/>
      <c r="W90" s="9">
        <v>3</v>
      </c>
      <c r="X90" s="9">
        <v>6</v>
      </c>
      <c r="Y90" s="9">
        <v>6</v>
      </c>
      <c r="Z90" s="9">
        <v>7</v>
      </c>
      <c r="AA90" s="14">
        <f>SUM(Z90, AVERAGE(9, W90))/1.5-0.67</f>
        <v>7.9966666666666661</v>
      </c>
      <c r="AB90" s="14">
        <f>SUM(X90, AA90, AVERAGE(Y90, W90))/2.25</f>
        <v>8.2207407407407409</v>
      </c>
      <c r="AC90" s="23">
        <f>SUM(AVERAGE(Y90, W90), AVERAGE(Y90, 7))/1.5</f>
        <v>7.333333333333333</v>
      </c>
    </row>
    <row r="91" spans="2:29">
      <c r="B91" s="4">
        <v>88</v>
      </c>
      <c r="C91" s="11" t="s">
        <v>62</v>
      </c>
      <c r="D91" s="21"/>
      <c r="E91" s="21"/>
      <c r="F91" s="21"/>
      <c r="G91" s="21"/>
      <c r="H91" s="21">
        <v>8</v>
      </c>
      <c r="I91" s="21"/>
      <c r="J91" s="21"/>
      <c r="K91" s="21"/>
      <c r="L91" s="21"/>
      <c r="M91" s="21"/>
      <c r="N91" s="21"/>
      <c r="O91" s="21"/>
      <c r="P91" s="21"/>
      <c r="Q91" s="21"/>
      <c r="R91" s="21"/>
      <c r="S91" s="21"/>
      <c r="T91" s="21"/>
      <c r="U91" s="21"/>
      <c r="V91" s="21"/>
      <c r="W91" s="9">
        <v>4</v>
      </c>
      <c r="X91" s="9">
        <v>7</v>
      </c>
      <c r="Y91" s="9">
        <v>4</v>
      </c>
      <c r="Z91" s="9">
        <v>9</v>
      </c>
      <c r="AA91" s="14">
        <f>SUM(Z91, AVERAGE(9, W91))/1.5-0.67</f>
        <v>9.663333333333334</v>
      </c>
      <c r="AB91" s="14">
        <f>SUM(X91, AA91, AVERAGE(Y91, W91))/2.25</f>
        <v>9.1837037037037046</v>
      </c>
      <c r="AC91" s="23">
        <f>SUM(AVERAGE(Y91, W91), AVERAGE(Y91, 8))/1.5</f>
        <v>6.666666666666667</v>
      </c>
    </row>
    <row r="92" spans="2:29">
      <c r="B92" s="4">
        <v>89</v>
      </c>
      <c r="C92" s="11" t="s">
        <v>93</v>
      </c>
      <c r="D92" s="21"/>
      <c r="E92" s="21"/>
      <c r="F92" s="21"/>
      <c r="G92" s="21"/>
      <c r="H92" s="21">
        <v>9</v>
      </c>
      <c r="I92" s="21"/>
      <c r="J92" s="21"/>
      <c r="K92" s="21"/>
      <c r="L92" s="21"/>
      <c r="M92" s="21"/>
      <c r="N92" s="21"/>
      <c r="O92" s="21"/>
      <c r="P92" s="21"/>
      <c r="Q92" s="21"/>
      <c r="R92" s="21"/>
      <c r="S92" s="21"/>
      <c r="T92" s="21"/>
      <c r="U92" s="21"/>
      <c r="V92" s="21"/>
      <c r="W92" s="9">
        <v>5</v>
      </c>
      <c r="X92" s="9">
        <v>4</v>
      </c>
      <c r="Y92" s="9">
        <v>3</v>
      </c>
      <c r="Z92" s="9">
        <v>0</v>
      </c>
      <c r="AA92" s="14">
        <f>SUM(Z92, AVERAGE(7, W92))/1.5-0.67</f>
        <v>3.33</v>
      </c>
      <c r="AB92" s="14">
        <f>SUM(X92, AA92, AVERAGE(Y92, W92))/2.25</f>
        <v>5.0355555555555558</v>
      </c>
      <c r="AC92" s="23">
        <f>SUM(AVERAGE(Y92, W92), AVERAGE(Y92, 9))/1.5</f>
        <v>6.666666666666667</v>
      </c>
    </row>
    <row r="93" spans="2:29">
      <c r="B93" s="4">
        <v>90</v>
      </c>
      <c r="C93" s="11" t="s">
        <v>9</v>
      </c>
      <c r="D93" s="21"/>
      <c r="E93" s="21"/>
      <c r="F93" s="21"/>
      <c r="G93" s="21"/>
      <c r="H93" s="21">
        <v>7</v>
      </c>
      <c r="I93" s="21"/>
      <c r="J93" s="21"/>
      <c r="K93" s="21"/>
      <c r="L93" s="21"/>
      <c r="M93" s="21"/>
      <c r="N93" s="21"/>
      <c r="O93" s="21"/>
      <c r="P93" s="21"/>
      <c r="Q93" s="21"/>
      <c r="R93" s="21"/>
      <c r="S93" s="21"/>
      <c r="T93" s="21"/>
      <c r="U93" s="21"/>
      <c r="V93" s="21"/>
      <c r="W93" s="9">
        <v>3</v>
      </c>
      <c r="X93" s="9">
        <v>7</v>
      </c>
      <c r="Y93" s="9">
        <v>6</v>
      </c>
      <c r="Z93" s="9">
        <v>0</v>
      </c>
      <c r="AA93" s="14">
        <f>SUM(Z93, AVERAGE(5, W93))/1.5-0.67</f>
        <v>1.9966666666666666</v>
      </c>
      <c r="AB93" s="14">
        <f>SUM(X93, AA93, AVERAGE(Y93, W93))/2.25</f>
        <v>5.9985185185185186</v>
      </c>
      <c r="AC93" s="23">
        <f>SUM(AVERAGE(Y93, W93), AVERAGE(Y93, 7))/1.5</f>
        <v>7.333333333333333</v>
      </c>
    </row>
    <row r="94" spans="2:29">
      <c r="B94" s="4">
        <v>91</v>
      </c>
      <c r="C94" s="11" t="s">
        <v>71</v>
      </c>
      <c r="D94" s="21"/>
      <c r="E94" s="21"/>
      <c r="F94" s="21"/>
      <c r="G94" s="21"/>
      <c r="H94" s="21">
        <v>6</v>
      </c>
      <c r="I94" s="21"/>
      <c r="J94" s="21"/>
      <c r="K94" s="21"/>
      <c r="L94" s="21"/>
      <c r="M94" s="21"/>
      <c r="N94" s="21"/>
      <c r="O94" s="21"/>
      <c r="P94" s="21"/>
      <c r="Q94" s="21"/>
      <c r="R94" s="21"/>
      <c r="S94" s="21"/>
      <c r="T94" s="21"/>
      <c r="U94" s="21"/>
      <c r="V94" s="21"/>
      <c r="W94" s="9">
        <v>7</v>
      </c>
      <c r="X94" s="9">
        <v>6</v>
      </c>
      <c r="Y94" s="9">
        <v>7</v>
      </c>
      <c r="Z94" s="9">
        <v>0</v>
      </c>
      <c r="AA94" s="14">
        <f>SUM(Z94, AVERAGE(7, W94))/1.5-0.67</f>
        <v>3.996666666666667</v>
      </c>
      <c r="AB94" s="14">
        <f>SUM(X94, AA94, AVERAGE(Y94, W94))/2.25</f>
        <v>7.5540740740740739</v>
      </c>
      <c r="AC94" s="23">
        <f>SUM(AVERAGE(Y94, W94), AVERAGE(Y94, 6))/1.5</f>
        <v>9</v>
      </c>
    </row>
    <row r="95" spans="2:29">
      <c r="B95" s="4">
        <v>92</v>
      </c>
      <c r="C95" s="11" t="s">
        <v>103</v>
      </c>
      <c r="D95" s="21"/>
      <c r="E95" s="21"/>
      <c r="F95" s="21"/>
      <c r="G95" s="21"/>
      <c r="H95" s="21">
        <v>8</v>
      </c>
      <c r="I95" s="21"/>
      <c r="J95" s="21"/>
      <c r="K95" s="21"/>
      <c r="L95" s="21"/>
      <c r="M95" s="21"/>
      <c r="N95" s="21"/>
      <c r="O95" s="21"/>
      <c r="P95" s="21"/>
      <c r="Q95" s="21"/>
      <c r="R95" s="21"/>
      <c r="S95" s="21"/>
      <c r="T95" s="21"/>
      <c r="U95" s="21"/>
      <c r="V95" s="21"/>
      <c r="W95" s="9">
        <v>3</v>
      </c>
      <c r="X95" s="9">
        <v>7</v>
      </c>
      <c r="Y95" s="9">
        <v>5</v>
      </c>
      <c r="Z95" s="9">
        <v>2</v>
      </c>
      <c r="AA95" s="14">
        <f>SUM(Z95, AVERAGE(4, W95))/1.5-0.67</f>
        <v>2.9966666666666666</v>
      </c>
      <c r="AB95" s="14">
        <f>SUM(X95, AA95, AVERAGE(Y95, W95))/2.25</f>
        <v>6.2207407407407409</v>
      </c>
      <c r="AC95" s="23">
        <f>SUM(AVERAGE(Y95, W95), AVERAGE(Y95, 8))/1.5</f>
        <v>7</v>
      </c>
    </row>
    <row r="96" spans="2:29">
      <c r="B96" s="4">
        <v>93</v>
      </c>
      <c r="C96" s="11" t="s">
        <v>26</v>
      </c>
      <c r="D96" s="21"/>
      <c r="E96" s="21"/>
      <c r="F96" s="21"/>
      <c r="G96" s="21"/>
      <c r="H96" s="21">
        <v>7</v>
      </c>
      <c r="I96" s="21"/>
      <c r="J96" s="21"/>
      <c r="K96" s="21"/>
      <c r="L96" s="21"/>
      <c r="M96" s="21"/>
      <c r="N96" s="21"/>
      <c r="O96" s="21"/>
      <c r="P96" s="21"/>
      <c r="Q96" s="21"/>
      <c r="R96" s="21"/>
      <c r="S96" s="21"/>
      <c r="T96" s="21"/>
      <c r="U96" s="21"/>
      <c r="V96" s="21"/>
      <c r="W96" s="9">
        <v>4</v>
      </c>
      <c r="X96" s="9">
        <v>6</v>
      </c>
      <c r="Y96" s="9">
        <v>7</v>
      </c>
      <c r="Z96" s="9">
        <v>0</v>
      </c>
      <c r="AA96" s="14">
        <f>SUM(Z96, AVERAGE(7, W96))/1.5-0.67</f>
        <v>2.9966666666666666</v>
      </c>
      <c r="AB96" s="14">
        <f>SUM(X96, AA96, AVERAGE(Y96, W96))/2.25</f>
        <v>6.4429629629629623</v>
      </c>
      <c r="AC96" s="23">
        <f>SUM(AVERAGE(Y96, W96), AVERAGE(Y96, 7))/1.5</f>
        <v>8.3333333333333339</v>
      </c>
    </row>
    <row r="97" spans="2:29">
      <c r="B97" s="4">
        <v>94</v>
      </c>
      <c r="C97" s="11" t="s">
        <v>31</v>
      </c>
      <c r="D97" s="21"/>
      <c r="E97" s="21"/>
      <c r="F97" s="21"/>
      <c r="G97" s="21"/>
      <c r="H97" s="21">
        <v>8</v>
      </c>
      <c r="I97" s="21"/>
      <c r="J97" s="21"/>
      <c r="K97" s="21"/>
      <c r="L97" s="21"/>
      <c r="M97" s="21"/>
      <c r="N97" s="21"/>
      <c r="O97" s="21"/>
      <c r="P97" s="21"/>
      <c r="Q97" s="21"/>
      <c r="R97" s="21"/>
      <c r="S97" s="21"/>
      <c r="T97" s="21"/>
      <c r="U97" s="21"/>
      <c r="V97" s="21"/>
      <c r="W97" s="9">
        <v>4</v>
      </c>
      <c r="X97" s="9">
        <v>4</v>
      </c>
      <c r="Y97" s="9">
        <v>6</v>
      </c>
      <c r="Z97" s="9">
        <v>8</v>
      </c>
      <c r="AA97" s="14">
        <f>SUM(Z97, AVERAGE(9, W97))/1.5-0.67</f>
        <v>8.9966666666666661</v>
      </c>
      <c r="AB97" s="14">
        <f>SUM(X97, AA97, AVERAGE(Y97, W97))/2.25</f>
        <v>7.9985185185185186</v>
      </c>
      <c r="AC97" s="23">
        <f>SUM(AVERAGE(Y97, W97), AVERAGE(Y97, 8))/1.5</f>
        <v>8</v>
      </c>
    </row>
    <row r="98" spans="2:29">
      <c r="B98" s="4">
        <v>95</v>
      </c>
      <c r="C98" s="11" t="s">
        <v>60</v>
      </c>
      <c r="D98" s="21"/>
      <c r="E98" s="21"/>
      <c r="F98" s="21"/>
      <c r="G98" s="21"/>
      <c r="H98" s="21">
        <v>8</v>
      </c>
      <c r="I98" s="21"/>
      <c r="J98" s="21"/>
      <c r="K98" s="21"/>
      <c r="L98" s="21"/>
      <c r="M98" s="21"/>
      <c r="N98" s="21"/>
      <c r="O98" s="21"/>
      <c r="P98" s="21"/>
      <c r="Q98" s="21"/>
      <c r="R98" s="21"/>
      <c r="S98" s="21"/>
      <c r="T98" s="21"/>
      <c r="U98" s="21"/>
      <c r="V98" s="21"/>
      <c r="W98" s="9">
        <v>3</v>
      </c>
      <c r="X98" s="9">
        <v>4</v>
      </c>
      <c r="Y98" s="9">
        <v>5</v>
      </c>
      <c r="Z98" s="9">
        <v>7</v>
      </c>
      <c r="AA98" s="14">
        <f>SUM(Z98, AVERAGE(9, W98))/1.5-0.67</f>
        <v>7.9966666666666661</v>
      </c>
      <c r="AB98" s="14">
        <f>SUM(X98, AA98, AVERAGE(Y98, W98))/2.25</f>
        <v>7.1096296296296293</v>
      </c>
      <c r="AC98" s="23">
        <f>SUM(AVERAGE(Y98, W98), AVERAGE(Y98, 8))/1.5</f>
        <v>7</v>
      </c>
    </row>
    <row r="99" spans="2:29">
      <c r="B99" s="4">
        <v>96</v>
      </c>
      <c r="C99" s="11" t="s">
        <v>35</v>
      </c>
      <c r="D99" s="21"/>
      <c r="E99" s="21"/>
      <c r="F99" s="21"/>
      <c r="G99" s="21"/>
      <c r="H99" s="21">
        <v>5</v>
      </c>
      <c r="I99" s="21"/>
      <c r="J99" s="21"/>
      <c r="K99" s="21"/>
      <c r="L99" s="21"/>
      <c r="M99" s="21"/>
      <c r="N99" s="21"/>
      <c r="O99" s="21"/>
      <c r="P99" s="21"/>
      <c r="Q99" s="21"/>
      <c r="R99" s="21"/>
      <c r="S99" s="21"/>
      <c r="T99" s="21"/>
      <c r="U99" s="21"/>
      <c r="V99" s="21"/>
      <c r="W99" s="9">
        <v>8</v>
      </c>
      <c r="X99" s="9">
        <v>3</v>
      </c>
      <c r="Y99" s="9">
        <v>5</v>
      </c>
      <c r="Z99" s="9">
        <v>0</v>
      </c>
      <c r="AA99" s="14">
        <f>SUM(Z99, AVERAGE(5, W99))/1.5-0.67</f>
        <v>3.6633333333333331</v>
      </c>
      <c r="AB99" s="14">
        <f>SUM(X99, AA99, AVERAGE(Y99, W99))/2.25</f>
        <v>5.8503703703703707</v>
      </c>
      <c r="AC99" s="23">
        <f>SUM(AVERAGE(Y99, W99), AVERAGE(Y99, 5))/1.5</f>
        <v>7.666666666666667</v>
      </c>
    </row>
    <row r="100" spans="2:29">
      <c r="B100" s="4">
        <v>97</v>
      </c>
      <c r="C100" s="11" t="s">
        <v>59</v>
      </c>
      <c r="D100" s="21"/>
      <c r="E100" s="21"/>
      <c r="F100" s="21"/>
      <c r="G100" s="21"/>
      <c r="H100" s="21">
        <v>7</v>
      </c>
      <c r="I100" s="21"/>
      <c r="J100" s="21"/>
      <c r="K100" s="21"/>
      <c r="L100" s="21"/>
      <c r="M100" s="21"/>
      <c r="N100" s="21"/>
      <c r="O100" s="21"/>
      <c r="P100" s="21"/>
      <c r="Q100" s="21"/>
      <c r="R100" s="21"/>
      <c r="S100" s="21"/>
      <c r="T100" s="21"/>
      <c r="U100" s="21"/>
      <c r="V100" s="21"/>
      <c r="W100" s="9">
        <v>5</v>
      </c>
      <c r="X100" s="9">
        <v>2</v>
      </c>
      <c r="Y100" s="9">
        <v>4</v>
      </c>
      <c r="Z100" s="9">
        <v>3</v>
      </c>
      <c r="AA100" s="14">
        <f>SUM(Z100, AVERAGE(9, W100))/1.5-0.67</f>
        <v>5.996666666666667</v>
      </c>
      <c r="AB100" s="14">
        <f>SUM(X100, AA100, AVERAGE(Y100, W100))/2.25</f>
        <v>5.5540740740740739</v>
      </c>
      <c r="AC100" s="23">
        <f>SUM(AVERAGE(Y100, W100), AVERAGE(Y100, 7))/1.5</f>
        <v>6.666666666666667</v>
      </c>
    </row>
    <row r="101" spans="2:29">
      <c r="B101" s="4">
        <v>98</v>
      </c>
      <c r="C101" s="11" t="s">
        <v>85</v>
      </c>
      <c r="D101" s="21"/>
      <c r="E101" s="21"/>
      <c r="F101" s="21"/>
      <c r="G101" s="21"/>
      <c r="H101" s="21">
        <v>9</v>
      </c>
      <c r="I101" s="21"/>
      <c r="J101" s="21"/>
      <c r="K101" s="21"/>
      <c r="L101" s="21"/>
      <c r="M101" s="21"/>
      <c r="N101" s="21"/>
      <c r="O101" s="21"/>
      <c r="P101" s="21"/>
      <c r="Q101" s="21"/>
      <c r="R101" s="21"/>
      <c r="S101" s="21"/>
      <c r="T101" s="21"/>
      <c r="U101" s="21"/>
      <c r="V101" s="21"/>
      <c r="W101" s="9">
        <v>3</v>
      </c>
      <c r="X101" s="9">
        <v>9</v>
      </c>
      <c r="Y101" s="9">
        <v>6</v>
      </c>
      <c r="Z101" s="9">
        <v>0</v>
      </c>
      <c r="AA101" s="14">
        <f>SUM(Z101, AVERAGE(5, W101))/1.5-0.67</f>
        <v>1.9966666666666666</v>
      </c>
      <c r="AB101" s="14">
        <f>SUM(X101, AA101, AVERAGE(Y101, W101))/2.25</f>
        <v>6.887407407407407</v>
      </c>
      <c r="AC101" s="23">
        <f>SUM(AVERAGE(Y101, W101), AVERAGE(Y101, 9))/1.5</f>
        <v>8</v>
      </c>
    </row>
    <row r="102" spans="2:29">
      <c r="B102" s="4">
        <v>99</v>
      </c>
      <c r="C102" s="11" t="s">
        <v>58</v>
      </c>
      <c r="D102" s="21"/>
      <c r="E102" s="21"/>
      <c r="F102" s="21"/>
      <c r="G102" s="21"/>
      <c r="H102" s="21">
        <v>8</v>
      </c>
      <c r="I102" s="21"/>
      <c r="J102" s="21"/>
      <c r="K102" s="21"/>
      <c r="L102" s="21"/>
      <c r="M102" s="21"/>
      <c r="N102" s="21"/>
      <c r="O102" s="21"/>
      <c r="P102" s="21"/>
      <c r="Q102" s="21"/>
      <c r="R102" s="21"/>
      <c r="S102" s="21"/>
      <c r="T102" s="21"/>
      <c r="U102" s="21"/>
      <c r="V102" s="21"/>
      <c r="W102" s="9">
        <v>5</v>
      </c>
      <c r="X102" s="9">
        <v>4</v>
      </c>
      <c r="Y102" s="9">
        <v>6</v>
      </c>
      <c r="Z102" s="9">
        <v>8</v>
      </c>
      <c r="AA102" s="14">
        <f>SUM(Z102, AVERAGE(9, W102))/1.5-0.67</f>
        <v>9.33</v>
      </c>
      <c r="AB102" s="14">
        <f>SUM(X102, AA102, AVERAGE(Y102, W102))/2.25</f>
        <v>8.3688888888888879</v>
      </c>
      <c r="AC102" s="23">
        <f>SUM(AVERAGE(Y102, W102), AVERAGE(Y102, 8))/1.5</f>
        <v>8.3333333333333339</v>
      </c>
    </row>
    <row r="103" spans="2:29">
      <c r="B103" s="4">
        <v>100</v>
      </c>
      <c r="C103" s="11" t="s">
        <v>122</v>
      </c>
      <c r="D103" s="21"/>
      <c r="E103" s="21"/>
      <c r="F103" s="21"/>
      <c r="G103" s="21"/>
      <c r="H103" s="21"/>
      <c r="I103" s="21"/>
      <c r="J103" s="21"/>
      <c r="K103" s="21"/>
      <c r="L103" s="21"/>
      <c r="M103" s="21"/>
      <c r="N103" s="21"/>
      <c r="O103" s="21"/>
      <c r="P103" s="21"/>
      <c r="Q103" s="21"/>
      <c r="R103" s="21"/>
      <c r="S103" s="21"/>
      <c r="T103" s="21"/>
      <c r="U103" s="21"/>
      <c r="V103" s="21"/>
      <c r="W103" s="9"/>
      <c r="X103" s="9"/>
      <c r="Y103" s="9"/>
      <c r="Z103" s="9"/>
      <c r="AA103" s="14" t="e">
        <f ca="1">SUM(Z103, AVERAGE(x, W103))</f>
        <v>#NAME?</v>
      </c>
      <c r="AB103" s="14" t="e">
        <f ca="1">((X103 + AVERAGE(AA103, W103))/1.5)-5</f>
        <v>#NAME?</v>
      </c>
      <c r="AC103" s="9" t="s">
        <v>123</v>
      </c>
    </row>
    <row r="104" spans="2:29">
      <c r="B104" s="4"/>
      <c r="C104" s="11"/>
      <c r="D104" s="21"/>
      <c r="E104" s="21"/>
      <c r="F104" s="21"/>
      <c r="G104" s="21"/>
      <c r="H104" s="21"/>
      <c r="I104" s="21"/>
      <c r="J104" s="21"/>
      <c r="K104" s="21"/>
      <c r="L104" s="21"/>
      <c r="M104" s="21"/>
      <c r="N104" s="21"/>
      <c r="O104" s="21"/>
      <c r="P104" s="21"/>
      <c r="Q104" s="21"/>
      <c r="R104" s="21"/>
      <c r="S104" s="21"/>
      <c r="T104" s="21"/>
      <c r="U104" s="21"/>
      <c r="V104" s="21"/>
      <c r="W104" s="9"/>
      <c r="X104" s="9"/>
      <c r="Y104" s="9"/>
      <c r="Z104" s="9"/>
      <c r="AA104" s="14"/>
      <c r="AB104" s="14"/>
      <c r="AC104" s="9"/>
    </row>
    <row r="105" spans="2:29">
      <c r="B105" s="4"/>
      <c r="C105" s="11"/>
      <c r="D105" s="21"/>
      <c r="E105" s="21"/>
      <c r="F105" s="21"/>
      <c r="G105" s="21"/>
      <c r="H105" s="21"/>
      <c r="I105" s="21"/>
      <c r="J105" s="21"/>
      <c r="K105" s="21"/>
      <c r="L105" s="21"/>
      <c r="M105" s="21"/>
      <c r="N105" s="21"/>
      <c r="O105" s="21"/>
      <c r="P105" s="21"/>
      <c r="Q105" s="21"/>
      <c r="R105" s="21"/>
      <c r="S105" s="21"/>
      <c r="T105" s="21"/>
      <c r="U105" s="21"/>
      <c r="V105" s="21"/>
      <c r="W105" s="9"/>
      <c r="X105" s="9"/>
      <c r="Y105" s="9"/>
      <c r="Z105" s="9"/>
      <c r="AA105" s="14"/>
      <c r="AB105" s="14"/>
      <c r="AC105" s="9"/>
    </row>
    <row r="106" spans="2:29">
      <c r="B106" s="4"/>
      <c r="C106" s="11"/>
      <c r="D106" s="21"/>
      <c r="E106" s="21"/>
      <c r="F106" s="21"/>
      <c r="G106" s="21"/>
      <c r="H106" s="21"/>
      <c r="I106" s="21"/>
      <c r="J106" s="21"/>
      <c r="K106" s="21"/>
      <c r="L106" s="21"/>
      <c r="M106" s="21"/>
      <c r="N106" s="21"/>
      <c r="O106" s="21"/>
      <c r="P106" s="21"/>
      <c r="Q106" s="21"/>
      <c r="R106" s="21"/>
      <c r="S106" s="21"/>
      <c r="T106" s="21"/>
      <c r="U106" s="21"/>
      <c r="V106" s="21"/>
      <c r="W106" s="9"/>
      <c r="X106" s="9"/>
      <c r="Y106" s="9"/>
      <c r="Z106" s="9"/>
      <c r="AA106" s="14"/>
      <c r="AB106" s="14"/>
      <c r="AC106" s="9"/>
    </row>
    <row r="107" spans="2:29">
      <c r="B107" s="4"/>
      <c r="C107" s="11"/>
      <c r="D107" s="21"/>
      <c r="E107" s="21"/>
      <c r="F107" s="21"/>
      <c r="G107" s="21"/>
      <c r="H107" s="21"/>
      <c r="I107" s="21"/>
      <c r="J107" s="21"/>
      <c r="K107" s="21"/>
      <c r="L107" s="21"/>
      <c r="M107" s="21"/>
      <c r="N107" s="21"/>
      <c r="O107" s="21"/>
      <c r="P107" s="21"/>
      <c r="Q107" s="21"/>
      <c r="R107" s="21"/>
      <c r="S107" s="21"/>
      <c r="T107" s="21"/>
      <c r="U107" s="21"/>
      <c r="V107" s="21"/>
      <c r="W107" s="9"/>
      <c r="X107" s="9"/>
      <c r="Y107" s="9"/>
      <c r="Z107" s="9"/>
      <c r="AA107" s="14"/>
      <c r="AB107" s="14"/>
      <c r="AC107" s="9"/>
    </row>
    <row r="108" spans="2:29">
      <c r="B108" s="4"/>
      <c r="C108" s="11"/>
      <c r="D108" s="21"/>
      <c r="E108" s="21"/>
      <c r="F108" s="21"/>
      <c r="G108" s="21"/>
      <c r="H108" s="21"/>
      <c r="I108" s="21"/>
      <c r="J108" s="21"/>
      <c r="K108" s="21"/>
      <c r="L108" s="21"/>
      <c r="M108" s="21"/>
      <c r="N108" s="21"/>
      <c r="O108" s="21"/>
      <c r="P108" s="21"/>
      <c r="Q108" s="21"/>
      <c r="R108" s="21"/>
      <c r="S108" s="21"/>
      <c r="T108" s="21"/>
      <c r="U108" s="21"/>
      <c r="V108" s="21"/>
      <c r="W108" s="9"/>
      <c r="X108" s="9"/>
      <c r="Y108" s="9"/>
      <c r="Z108" s="9"/>
      <c r="AA108" s="14"/>
      <c r="AB108" s="14"/>
      <c r="AC108" s="9"/>
    </row>
    <row r="109" spans="2:29">
      <c r="B109" s="4"/>
      <c r="C109" s="11"/>
      <c r="D109" s="21"/>
      <c r="E109" s="21"/>
      <c r="F109" s="21"/>
      <c r="G109" s="21"/>
      <c r="H109" s="21"/>
      <c r="I109" s="21"/>
      <c r="J109" s="21"/>
      <c r="K109" s="21"/>
      <c r="L109" s="21"/>
      <c r="M109" s="21"/>
      <c r="N109" s="21"/>
      <c r="O109" s="21"/>
      <c r="P109" s="21"/>
      <c r="Q109" s="21"/>
      <c r="R109" s="21"/>
      <c r="S109" s="21"/>
      <c r="T109" s="21"/>
      <c r="U109" s="21"/>
      <c r="V109" s="21"/>
      <c r="W109" s="9"/>
      <c r="X109" s="9"/>
      <c r="Y109" s="9"/>
      <c r="Z109" s="9"/>
      <c r="AA109" s="14"/>
      <c r="AB109" s="14"/>
      <c r="AC109" s="9"/>
    </row>
    <row r="110" spans="2:29">
      <c r="B110" s="4"/>
      <c r="C110" s="11"/>
      <c r="D110" s="21"/>
      <c r="E110" s="21"/>
      <c r="F110" s="21"/>
      <c r="G110" s="21"/>
      <c r="H110" s="21"/>
      <c r="I110" s="21"/>
      <c r="J110" s="21"/>
      <c r="K110" s="21"/>
      <c r="L110" s="21"/>
      <c r="M110" s="21"/>
      <c r="N110" s="21"/>
      <c r="O110" s="21"/>
      <c r="P110" s="21"/>
      <c r="Q110" s="21"/>
      <c r="R110" s="21"/>
      <c r="S110" s="21"/>
      <c r="T110" s="21"/>
      <c r="U110" s="21"/>
      <c r="V110" s="21"/>
      <c r="W110" s="9"/>
      <c r="X110" s="9"/>
      <c r="Y110" s="9"/>
      <c r="Z110" s="9"/>
      <c r="AA110" s="14"/>
      <c r="AB110" s="14"/>
      <c r="AC110" s="9"/>
    </row>
    <row r="114" spans="2:84" s="28" customFormat="1">
      <c r="B114" s="2" t="s">
        <v>111</v>
      </c>
      <c r="C114" s="7" t="s">
        <v>0</v>
      </c>
      <c r="D114" s="53" t="s">
        <v>124</v>
      </c>
      <c r="E114" s="53" t="s">
        <v>125</v>
      </c>
      <c r="F114" s="53" t="s">
        <v>126</v>
      </c>
      <c r="G114" s="53" t="s">
        <v>127</v>
      </c>
      <c r="H114" s="53" t="s">
        <v>128</v>
      </c>
      <c r="I114" s="53" t="s">
        <v>129</v>
      </c>
      <c r="J114" s="53" t="s">
        <v>130</v>
      </c>
      <c r="K114" s="53" t="s">
        <v>131</v>
      </c>
      <c r="L114" s="53" t="s">
        <v>132</v>
      </c>
      <c r="M114" s="53" t="s">
        <v>133</v>
      </c>
      <c r="N114" s="53" t="s">
        <v>134</v>
      </c>
      <c r="O114" s="53" t="s">
        <v>135</v>
      </c>
      <c r="P114" s="53" t="s">
        <v>136</v>
      </c>
      <c r="Q114" s="53" t="s">
        <v>137</v>
      </c>
      <c r="R114" s="26" t="s">
        <v>115</v>
      </c>
      <c r="S114" s="26" t="s">
        <v>116</v>
      </c>
      <c r="T114" s="26" t="s">
        <v>121</v>
      </c>
      <c r="U114" s="26" t="s">
        <v>138</v>
      </c>
      <c r="V114" s="26" t="s">
        <v>139</v>
      </c>
      <c r="W114" s="26" t="s">
        <v>140</v>
      </c>
      <c r="X114" s="26" t="s">
        <v>141</v>
      </c>
      <c r="Y114" s="26" t="s">
        <v>142</v>
      </c>
      <c r="Z114" s="26" t="s">
        <v>143</v>
      </c>
      <c r="AA114" s="26" t="s">
        <v>144</v>
      </c>
      <c r="AB114" s="26" t="s">
        <v>145</v>
      </c>
      <c r="AC114" s="20" t="s">
        <v>146</v>
      </c>
      <c r="AD114" s="20" t="s">
        <v>147</v>
      </c>
      <c r="AE114" s="26" t="s">
        <v>118</v>
      </c>
      <c r="AF114" s="20" t="s">
        <v>148</v>
      </c>
      <c r="AG114" s="20" t="s">
        <v>149</v>
      </c>
      <c r="AH114" s="20" t="s">
        <v>150</v>
      </c>
      <c r="AI114" s="20" t="s">
        <v>151</v>
      </c>
      <c r="AJ114" s="20" t="s">
        <v>114</v>
      </c>
      <c r="AK114" s="20" t="s">
        <v>152</v>
      </c>
      <c r="AL114" s="20" t="s">
        <v>153</v>
      </c>
      <c r="AM114" s="20" t="s">
        <v>154</v>
      </c>
      <c r="AN114" s="20" t="s">
        <v>155</v>
      </c>
      <c r="AO114" s="43" t="s">
        <v>156</v>
      </c>
      <c r="AP114" s="43" t="s">
        <v>157</v>
      </c>
      <c r="AQ114" s="7" t="s">
        <v>158</v>
      </c>
      <c r="AR114" s="43" t="s">
        <v>159</v>
      </c>
      <c r="AS114" s="43" t="s">
        <v>160</v>
      </c>
      <c r="AT114" s="43" t="s">
        <v>161</v>
      </c>
      <c r="AU114" s="43" t="s">
        <v>162</v>
      </c>
      <c r="AV114" s="43" t="s">
        <v>163</v>
      </c>
      <c r="AW114" s="49" t="s">
        <v>164</v>
      </c>
      <c r="AX114" s="43" t="s">
        <v>165</v>
      </c>
      <c r="AY114" s="43" t="s">
        <v>166</v>
      </c>
      <c r="AZ114" s="7" t="s">
        <v>167</v>
      </c>
      <c r="BA114" s="7" t="s">
        <v>168</v>
      </c>
      <c r="BB114" s="43" t="s">
        <v>169</v>
      </c>
      <c r="BC114" s="43" t="s">
        <v>170</v>
      </c>
      <c r="BD114" s="7" t="s">
        <v>171</v>
      </c>
      <c r="BE114" s="43" t="s">
        <v>172</v>
      </c>
      <c r="BF114" s="45" t="s">
        <v>173</v>
      </c>
      <c r="BG114" s="25" t="s">
        <v>174</v>
      </c>
      <c r="BH114" s="25" t="s">
        <v>175</v>
      </c>
      <c r="BI114" s="25" t="s">
        <v>176</v>
      </c>
      <c r="BJ114" s="25" t="s">
        <v>177</v>
      </c>
      <c r="BK114" s="25" t="s">
        <v>178</v>
      </c>
      <c r="BL114" s="25" t="s">
        <v>179</v>
      </c>
      <c r="BM114" s="25" t="s">
        <v>180</v>
      </c>
      <c r="BN114" s="2" t="s">
        <v>181</v>
      </c>
      <c r="BO114" s="25" t="s">
        <v>182</v>
      </c>
      <c r="BP114" s="25" t="s">
        <v>183</v>
      </c>
      <c r="BQ114" s="25" t="s">
        <v>184</v>
      </c>
      <c r="BR114" s="25" t="s">
        <v>185</v>
      </c>
      <c r="BS114" s="2" t="s">
        <v>181</v>
      </c>
      <c r="BT114" s="25" t="s">
        <v>186</v>
      </c>
      <c r="BU114" s="25" t="s">
        <v>187</v>
      </c>
      <c r="BV114" s="25" t="s">
        <v>188</v>
      </c>
      <c r="BW114" s="25" t="s">
        <v>189</v>
      </c>
      <c r="BX114" s="2" t="s">
        <v>181</v>
      </c>
      <c r="BY114" s="13" t="s">
        <v>119</v>
      </c>
      <c r="BZ114" s="25" t="s">
        <v>190</v>
      </c>
      <c r="CA114" s="8" t="s">
        <v>191</v>
      </c>
      <c r="CB114" s="40" t="s">
        <v>192</v>
      </c>
      <c r="CC114" s="40" t="s">
        <v>193</v>
      </c>
      <c r="CD114" s="8" t="s">
        <v>194</v>
      </c>
      <c r="CE114" s="8" t="s">
        <v>195</v>
      </c>
      <c r="CF114" s="2" t="s">
        <v>181</v>
      </c>
    </row>
    <row r="115" spans="2:84" s="35" customFormat="1">
      <c r="B115" s="29">
        <v>28</v>
      </c>
      <c r="C115" s="30" t="s">
        <v>78</v>
      </c>
      <c r="D115" s="54">
        <v>5</v>
      </c>
      <c r="E115" s="54">
        <v>1600</v>
      </c>
      <c r="F115" s="54">
        <v>2.5</v>
      </c>
      <c r="G115" s="54">
        <v>3</v>
      </c>
      <c r="H115" s="54">
        <v>3</v>
      </c>
      <c r="I115" s="54">
        <v>2.5</v>
      </c>
      <c r="J115" s="54">
        <v>1.5</v>
      </c>
      <c r="K115" s="54">
        <v>0.5</v>
      </c>
      <c r="L115" s="54">
        <v>1</v>
      </c>
      <c r="M115" s="54">
        <v>3600</v>
      </c>
      <c r="N115" s="54">
        <v>3600</v>
      </c>
      <c r="O115" s="54">
        <v>3600</v>
      </c>
      <c r="P115" s="54">
        <v>3600</v>
      </c>
      <c r="Q115" s="55">
        <v>1800</v>
      </c>
      <c r="R115" s="32">
        <f>5000/1400</f>
        <v>3.5714285714285716</v>
      </c>
      <c r="S115" s="33">
        <v>10</v>
      </c>
      <c r="T115" s="34">
        <v>0</v>
      </c>
      <c r="U115" s="34">
        <v>2</v>
      </c>
      <c r="V115" s="34">
        <v>1</v>
      </c>
      <c r="W115" s="34">
        <v>0</v>
      </c>
      <c r="X115" s="34">
        <v>1</v>
      </c>
      <c r="Y115" s="34">
        <v>0</v>
      </c>
      <c r="Z115" s="34">
        <v>6</v>
      </c>
      <c r="AA115" s="34">
        <v>1</v>
      </c>
      <c r="AB115" s="34">
        <v>1</v>
      </c>
      <c r="AC115" s="31">
        <v>5</v>
      </c>
      <c r="AD115" s="31">
        <v>0</v>
      </c>
      <c r="AE115" s="27">
        <f>(BA115/5+1)*AD115</f>
        <v>0</v>
      </c>
      <c r="AF115" s="31">
        <v>0</v>
      </c>
      <c r="AG115" s="31">
        <v>0</v>
      </c>
      <c r="AH115" s="31">
        <v>0</v>
      </c>
      <c r="AI115" s="31">
        <v>0</v>
      </c>
      <c r="AJ115" s="31">
        <v>0</v>
      </c>
      <c r="AK115" s="31">
        <v>0</v>
      </c>
      <c r="AL115" s="31">
        <v>0</v>
      </c>
      <c r="AM115" s="31">
        <v>0</v>
      </c>
      <c r="AN115" s="31">
        <v>0</v>
      </c>
      <c r="AO115" s="44">
        <v>0</v>
      </c>
      <c r="AP115" s="44">
        <v>0</v>
      </c>
      <c r="AQ115" s="51">
        <v>0</v>
      </c>
      <c r="AR115" s="44">
        <v>0</v>
      </c>
      <c r="AS115" s="44">
        <v>0</v>
      </c>
      <c r="AT115" s="44">
        <v>0</v>
      </c>
      <c r="AU115" s="44">
        <v>0</v>
      </c>
      <c r="AV115" s="44">
        <v>0</v>
      </c>
      <c r="AW115" s="50">
        <v>0</v>
      </c>
      <c r="AX115" s="44">
        <v>0</v>
      </c>
      <c r="AY115" s="44">
        <v>0</v>
      </c>
      <c r="AZ115" s="51">
        <v>0</v>
      </c>
      <c r="BA115" s="51">
        <v>1</v>
      </c>
      <c r="BB115" s="44">
        <v>0</v>
      </c>
      <c r="BC115" s="44">
        <v>1</v>
      </c>
      <c r="BD115" s="51">
        <v>3</v>
      </c>
      <c r="BE115" s="44">
        <v>0</v>
      </c>
      <c r="BF115" s="46">
        <f>(G115*F115*E115)+M115</f>
        <v>15600</v>
      </c>
      <c r="BG115" s="36">
        <f>(G115*F115*E115)+N115</f>
        <v>15600</v>
      </c>
      <c r="BH115" s="36">
        <f>(G115*F115*E115)+O115</f>
        <v>15600</v>
      </c>
      <c r="BI115" s="36">
        <f>(G115*F115*E115)+P115</f>
        <v>15600</v>
      </c>
      <c r="BJ115" s="36">
        <f>((H115*F115*E115)+(((F115*H115+L115)/D115)*M115))/(1.25-((H115-G115)/4))</f>
        <v>14496</v>
      </c>
      <c r="BK115" s="36">
        <f>((I115*F115*E115)+(((F115*I115+L115)/D115)*(N115-Q115)))/(1.25-((I115-G115)/4))</f>
        <v>9170.9090909090901</v>
      </c>
      <c r="BL115" s="36">
        <f>((J115*F115*E115)+(((F115*J115+L115)/D115)*(O115-Q115)))/(1.25-((J115-G115)/4))</f>
        <v>4744.6153846153848</v>
      </c>
      <c r="BM115" s="36">
        <f>((K115*F115*E115)+(((F115*K115+L115)/D115)*(P115-Q115)))/(1.25-((K115-G115)/4))</f>
        <v>1498.6666666666667</v>
      </c>
      <c r="BN115" s="39"/>
      <c r="BO115" s="36">
        <f>((BJ115/2)*R115)/2</f>
        <v>12942.857142857143</v>
      </c>
      <c r="BP115" s="36">
        <f>((BK115)*(R115/2))/2</f>
        <v>8188.3116883116882</v>
      </c>
      <c r="BQ115" s="36">
        <f>((BL115*1.5)*(R115/3))/2</f>
        <v>4236.2637362637361</v>
      </c>
      <c r="BR115" s="36">
        <f>((BM115*2)*(S115/4))/2</f>
        <v>3746.666666666667</v>
      </c>
      <c r="BS115" s="39"/>
      <c r="BT115" s="36">
        <f>(AE115*BO115)/2</f>
        <v>0</v>
      </c>
      <c r="BU115" s="36">
        <f>(AE115*BP115)/2</f>
        <v>0</v>
      </c>
      <c r="BV115" s="36">
        <f>(AE115*BQ115)/2</f>
        <v>0</v>
      </c>
      <c r="BW115" s="36">
        <f>(AE115*BR115)/2</f>
        <v>0</v>
      </c>
      <c r="BX115" s="39"/>
      <c r="BY115" s="14">
        <f>SUM(AE115*4, AC115*2, R115*2)/6-0.67</f>
        <v>2.1871428571428573</v>
      </c>
      <c r="BZ115" s="42">
        <f>SUM(AVERAGE(U115, (AVERAGE(BO115, BP115)/4000))*4, R115*4, S115*2)/7.5-0.67</f>
        <v>5.1391341991341983</v>
      </c>
      <c r="CA115" s="47">
        <f>SUM(W115*3, AVERAGE(BO115, BP115, BQ115, BR115)/3000)/3</f>
        <v>0.80872497872497873</v>
      </c>
      <c r="CB115" s="48">
        <f>IF(V115&lt;6, V115*Q115/2000, IF(V115&lt;7, V115*(AVERAGE(BJ115, BK115, BL115, BM115)/2000), V115*(AVERAGE(BJ115, BK115, BL115, BM115)/2000)*(Q115/2000)))/((10-S115+2)/4)</f>
        <v>1.8</v>
      </c>
      <c r="CC115" s="41">
        <f>SUM(AF115*4, AI115*2/(AH115+1), AG115*4)/7.5</f>
        <v>0</v>
      </c>
      <c r="CD115" s="14">
        <f>SUM(AI115*3, AJ115*2, AK115*2, AL115*2, AF115*3)/8</f>
        <v>0</v>
      </c>
      <c r="CE115" s="14">
        <f>SUM(U115*2, BA115*1, AN115*3)/4.5</f>
        <v>1.1111111111111112</v>
      </c>
      <c r="CF115" s="39"/>
    </row>
    <row r="116" spans="2:84" s="35" customFormat="1">
      <c r="B116" s="29">
        <v>44</v>
      </c>
      <c r="C116" s="30" t="s">
        <v>10</v>
      </c>
      <c r="D116" s="54">
        <v>3</v>
      </c>
      <c r="E116" s="54">
        <v>4000</v>
      </c>
      <c r="F116" s="54">
        <v>1.65</v>
      </c>
      <c r="G116" s="54">
        <v>1</v>
      </c>
      <c r="H116" s="54">
        <v>1</v>
      </c>
      <c r="I116" s="54">
        <v>0.7</v>
      </c>
      <c r="J116" s="54">
        <v>0.4</v>
      </c>
      <c r="K116" s="54">
        <v>0.2</v>
      </c>
      <c r="L116" s="54">
        <v>0</v>
      </c>
      <c r="M116" s="54">
        <v>2000</v>
      </c>
      <c r="N116" s="54">
        <v>2000</v>
      </c>
      <c r="O116" s="54">
        <v>2000</v>
      </c>
      <c r="P116" s="54">
        <v>2000</v>
      </c>
      <c r="Q116" s="55">
        <v>1000</v>
      </c>
      <c r="R116" s="32">
        <f>6200/1400</f>
        <v>4.4285714285714288</v>
      </c>
      <c r="S116" s="33">
        <v>9</v>
      </c>
      <c r="T116" s="34">
        <v>0</v>
      </c>
      <c r="U116" s="34">
        <v>0</v>
      </c>
      <c r="V116" s="34">
        <v>0</v>
      </c>
      <c r="W116" s="34">
        <f>(3 + 2 + 8 + 0)/4</f>
        <v>3.25</v>
      </c>
      <c r="X116" s="34">
        <v>0</v>
      </c>
      <c r="Y116" s="34">
        <v>1</v>
      </c>
      <c r="Z116" s="34">
        <v>7</v>
      </c>
      <c r="AA116" s="34">
        <v>0</v>
      </c>
      <c r="AB116" s="34">
        <v>0</v>
      </c>
      <c r="AC116" s="31">
        <v>9</v>
      </c>
      <c r="AD116" s="31">
        <v>0</v>
      </c>
      <c r="AE116" s="27">
        <f>(BA116/5+1)*AD116</f>
        <v>0</v>
      </c>
      <c r="AF116" s="31">
        <v>0</v>
      </c>
      <c r="AG116" s="31">
        <v>0</v>
      </c>
      <c r="AH116" s="31">
        <v>0</v>
      </c>
      <c r="AI116" s="31">
        <v>0</v>
      </c>
      <c r="AJ116" s="31">
        <v>0</v>
      </c>
      <c r="AK116" s="31">
        <v>0</v>
      </c>
      <c r="AL116" s="31">
        <v>0</v>
      </c>
      <c r="AM116" s="31">
        <v>0</v>
      </c>
      <c r="AN116" s="31">
        <v>0</v>
      </c>
      <c r="AO116" s="44">
        <v>0</v>
      </c>
      <c r="AP116" s="44">
        <v>0</v>
      </c>
      <c r="AQ116" s="51">
        <v>0</v>
      </c>
      <c r="AR116" s="44">
        <v>0</v>
      </c>
      <c r="AS116" s="44">
        <v>0</v>
      </c>
      <c r="AT116" s="44">
        <v>0</v>
      </c>
      <c r="AU116" s="44">
        <v>0</v>
      </c>
      <c r="AV116" s="44">
        <v>0</v>
      </c>
      <c r="AW116" s="50">
        <v>0</v>
      </c>
      <c r="AX116" s="44">
        <v>0</v>
      </c>
      <c r="AY116" s="44">
        <v>0</v>
      </c>
      <c r="AZ116" s="51">
        <v>0</v>
      </c>
      <c r="BA116" s="51">
        <v>0</v>
      </c>
      <c r="BB116" s="44">
        <v>0</v>
      </c>
      <c r="BC116" s="44">
        <v>0</v>
      </c>
      <c r="BD116" s="51">
        <v>5</v>
      </c>
      <c r="BE116" s="44">
        <v>0</v>
      </c>
      <c r="BF116" s="46">
        <f>(G116*F116*E116)+M116</f>
        <v>8600</v>
      </c>
      <c r="BG116" s="36">
        <f>(G116*F116*E116)+N116</f>
        <v>8600</v>
      </c>
      <c r="BH116" s="36">
        <f>(G116*F116*E116)+O116</f>
        <v>8600</v>
      </c>
      <c r="BI116" s="36">
        <f>(G116*F116*E116)+P116</f>
        <v>8600</v>
      </c>
      <c r="BJ116" s="36">
        <f>((H116*F116*E116)+(((F116*H116+L116)/D116)*M116))/(1.25-((H116-G116)/4))</f>
        <v>6160</v>
      </c>
      <c r="BK116" s="36">
        <f>((I116*F116*E116)+(((F116*I116+L116)/D116)*(N116-Q116)))/(1.25-((I116-G116)/4))</f>
        <v>3777.3584905660373</v>
      </c>
      <c r="BL116" s="36">
        <f>((J116*F116*E116)+(((F116*J116+L116)/D116)*(O116-Q116)))/(1.25-((J116-G116)/4))</f>
        <v>2042.8571428571429</v>
      </c>
      <c r="BM116" s="36">
        <f>((K116*F116*E116)+(((F116*K116+L116)/D116)*(P116-Q116)))/(1.25-((K116-G116)/4))</f>
        <v>986.20689655172418</v>
      </c>
      <c r="BN116" s="39"/>
      <c r="BO116" s="36">
        <f>((BJ116/2)*R116)/2</f>
        <v>6820</v>
      </c>
      <c r="BP116" s="36">
        <f>((BK116)*(R116/2))/2</f>
        <v>4182.0754716981128</v>
      </c>
      <c r="BQ116" s="36">
        <f>((BL116*1.5)*(R116/3))/2</f>
        <v>2261.7346938775513</v>
      </c>
      <c r="BR116" s="36">
        <f>((BM116*2)*(S116/4))/2</f>
        <v>2218.9655172413795</v>
      </c>
      <c r="BS116" s="39"/>
      <c r="BT116" s="36">
        <f>(AE116*BO116)/2</f>
        <v>0</v>
      </c>
      <c r="BU116" s="36">
        <f>(AE116*BP116)/2</f>
        <v>0</v>
      </c>
      <c r="BV116" s="36">
        <f>(AE116*BQ116)/2</f>
        <v>0</v>
      </c>
      <c r="BW116" s="36">
        <f>(AE116*BR116)/2</f>
        <v>0</v>
      </c>
      <c r="BX116" s="39"/>
      <c r="BY116" s="14">
        <f>SUM(AE116*4, AC116*2, R116*2)/6-0.67</f>
        <v>3.8061904761904763</v>
      </c>
      <c r="BZ116" s="42">
        <f>SUM(AVERAGE(U116, (AVERAGE(BO116, BP116)/4000))*4, R116*4, S116*2)/7.5-0.67</f>
        <v>4.4586406109613659</v>
      </c>
      <c r="CA116" s="47">
        <f>SUM(W116*3, AVERAGE(BO116, BP116, BQ116, BR116)/3000)/3</f>
        <v>3.6800771023004732</v>
      </c>
      <c r="CB116" s="48">
        <f>IF(V116&lt;6, V116*Q116/2000, IF(V116&lt;7, V116*(AVERAGE(BJ116, BK116, BL116, BM116)/2000), V116*(AVERAGE(BJ116, BK116, BL116, BM116)/2000)*(Q116/2000)))/((10-S116+2)/4)</f>
        <v>0</v>
      </c>
      <c r="CC116" s="41">
        <f>SUM(AF116*4, AI116*2/(AH116+1), AG116*4)/7.5</f>
        <v>0</v>
      </c>
      <c r="CD116" s="14">
        <f>SUM(AI116*3, AJ116*2, AK116*2, AL116*2, AF116*3)/8</f>
        <v>0</v>
      </c>
      <c r="CE116" s="14">
        <f>SUM(U116*2, BA116*1, AN116*3)/4.5</f>
        <v>0</v>
      </c>
      <c r="CF116" s="39"/>
    </row>
    <row r="117" spans="2:84" s="35" customFormat="1">
      <c r="B117" s="29">
        <v>14</v>
      </c>
      <c r="C117" s="37" t="s">
        <v>88</v>
      </c>
      <c r="D117" s="54">
        <v>16</v>
      </c>
      <c r="E117" s="54">
        <v>600</v>
      </c>
      <c r="F117" s="54">
        <v>3.3</v>
      </c>
      <c r="G117" s="54">
        <v>5</v>
      </c>
      <c r="H117" s="54">
        <v>5</v>
      </c>
      <c r="I117" s="54">
        <v>4</v>
      </c>
      <c r="J117" s="54">
        <v>2.5</v>
      </c>
      <c r="K117" s="54">
        <v>1.5</v>
      </c>
      <c r="L117" s="54">
        <v>10</v>
      </c>
      <c r="M117" s="54">
        <v>8640</v>
      </c>
      <c r="N117" s="54">
        <v>8640</v>
      </c>
      <c r="O117" s="54">
        <v>8640</v>
      </c>
      <c r="P117" s="54">
        <v>8640</v>
      </c>
      <c r="Q117" s="54">
        <v>4320</v>
      </c>
      <c r="R117" s="32">
        <f>6000/1400</f>
        <v>4.2857142857142856</v>
      </c>
      <c r="S117" s="33">
        <v>8</v>
      </c>
      <c r="T117" s="34">
        <v>0</v>
      </c>
      <c r="U117" s="34">
        <v>3</v>
      </c>
      <c r="V117" s="34">
        <v>0</v>
      </c>
      <c r="W117" s="34">
        <v>0</v>
      </c>
      <c r="X117" s="34">
        <v>0</v>
      </c>
      <c r="Y117" s="34">
        <v>0</v>
      </c>
      <c r="Z117" s="34">
        <v>6</v>
      </c>
      <c r="AA117" s="34">
        <v>0</v>
      </c>
      <c r="AB117" s="34">
        <v>0</v>
      </c>
      <c r="AC117" s="38">
        <v>5</v>
      </c>
      <c r="AD117" s="38">
        <v>0</v>
      </c>
      <c r="AE117" s="27">
        <f>(BA117/5+1)*AD117</f>
        <v>0</v>
      </c>
      <c r="AF117" s="38">
        <v>0</v>
      </c>
      <c r="AG117" s="38">
        <v>0</v>
      </c>
      <c r="AH117" s="38">
        <v>0</v>
      </c>
      <c r="AI117" s="38">
        <v>0</v>
      </c>
      <c r="AJ117" s="38">
        <v>0</v>
      </c>
      <c r="AK117" s="38">
        <v>0</v>
      </c>
      <c r="AL117" s="38">
        <v>0</v>
      </c>
      <c r="AM117" s="38">
        <v>0</v>
      </c>
      <c r="AN117" s="38">
        <v>3</v>
      </c>
      <c r="AO117" s="44">
        <v>0</v>
      </c>
      <c r="AP117" s="44">
        <v>0</v>
      </c>
      <c r="AQ117" s="51">
        <v>0</v>
      </c>
      <c r="AR117" s="44">
        <v>0</v>
      </c>
      <c r="AS117" s="44">
        <v>0</v>
      </c>
      <c r="AT117" s="44">
        <v>0</v>
      </c>
      <c r="AU117" s="44">
        <v>0</v>
      </c>
      <c r="AV117" s="44">
        <v>0</v>
      </c>
      <c r="AW117" s="50">
        <v>0</v>
      </c>
      <c r="AX117" s="44">
        <v>0</v>
      </c>
      <c r="AY117" s="44">
        <v>0</v>
      </c>
      <c r="AZ117" s="51">
        <v>0</v>
      </c>
      <c r="BA117" s="52">
        <v>0</v>
      </c>
      <c r="BB117" s="44">
        <v>0</v>
      </c>
      <c r="BC117" s="44">
        <v>0</v>
      </c>
      <c r="BD117" s="51">
        <v>6</v>
      </c>
      <c r="BE117" s="44">
        <v>0</v>
      </c>
      <c r="BF117" s="46">
        <f>(G117*F117*E117)+M117</f>
        <v>18540</v>
      </c>
      <c r="BG117" s="36">
        <f>(G117*F117*E117)+N117</f>
        <v>18540</v>
      </c>
      <c r="BH117" s="36">
        <f>(G117*F117*E117)+O117</f>
        <v>18540</v>
      </c>
      <c r="BI117" s="36">
        <f>(G117*F117*E117)+P117</f>
        <v>18540</v>
      </c>
      <c r="BJ117" s="36">
        <f>((H117*F117*E117)+(((F117*H117+L117)/D117)*M117))/(1.25-((H117-G117)/4))</f>
        <v>19368</v>
      </c>
      <c r="BK117" s="36">
        <f>((I117*F117*E117)+(((F117*I117+L117)/D117)*(N117-Q117)))/(1.25-((I117-G117)/4))</f>
        <v>9456</v>
      </c>
      <c r="BL117" s="36">
        <f>((J117*F117*E117)+(((F117*J117+L117)/D117)*(O117-Q117)))/(1.25-((J117-G117)/4))</f>
        <v>5268</v>
      </c>
      <c r="BM117" s="36">
        <f>((K117*F117*E117)+(((F117*K117+L117)/D117)*(P117-Q117)))/(1.25-((K117-G117)/4))</f>
        <v>3297.1764705882351</v>
      </c>
      <c r="BN117" s="39"/>
      <c r="BO117" s="36">
        <f>((BJ117/2)*R117)/2</f>
        <v>20751.428571428572</v>
      </c>
      <c r="BP117" s="36">
        <f>((BK117)*(R117/2))/2</f>
        <v>10131.428571428571</v>
      </c>
      <c r="BQ117" s="36">
        <f>((BL117*1.5)*(R117/3))/2</f>
        <v>5644.2857142857147</v>
      </c>
      <c r="BR117" s="36">
        <f>((BM117*2)*(S117/4))/2</f>
        <v>6594.3529411764703</v>
      </c>
      <c r="BS117" s="39"/>
      <c r="BT117" s="36">
        <f>(AE117*BO117)/2</f>
        <v>0</v>
      </c>
      <c r="BU117" s="36">
        <f>(AE117*BP117)/2</f>
        <v>0</v>
      </c>
      <c r="BV117" s="36">
        <f>(AE117*BQ117)/2</f>
        <v>0</v>
      </c>
      <c r="BW117" s="36">
        <f>(AE117*BR117)/2</f>
        <v>0</v>
      </c>
      <c r="BX117" s="39"/>
      <c r="BY117" s="14">
        <f>SUM(AE117*4, AC117*2, R117*2)/6-0.67</f>
        <v>2.425238095238095</v>
      </c>
      <c r="BZ117" s="42">
        <f>SUM(AVERAGE(U117, (AVERAGE(BO117, BP117)/4000))*4, R117*4, S117*2)/7.5-0.67</f>
        <v>5.5784761904761915</v>
      </c>
      <c r="CA117" s="47">
        <f>SUM(W117*3, AVERAGE(BO117, BP117, BQ117, BR117)/3000)/3</f>
        <v>1.1978193277310925</v>
      </c>
      <c r="CB117" s="48">
        <f>IF(V117&lt;6, V117*Q117/2000, IF(V117&lt;7, V117*(AVERAGE(BJ117, BK117, BL117, BM117)/2000), V117*(AVERAGE(BJ117, BK117, BL117, BM117)/2000)*(Q117/2000)))/((10-S117+2)/4)</f>
        <v>0</v>
      </c>
      <c r="CC117" s="41">
        <f>SUM(AF117*4, AI117*2/(AH117+1), AG117*4)/7.5</f>
        <v>0</v>
      </c>
      <c r="CD117" s="14">
        <f>SUM(AI117*3, AJ117*2, AK117*2, AL117*2, AF117*3)/8</f>
        <v>0</v>
      </c>
      <c r="CE117" s="14">
        <f>SUM(U117*2, BA117*1, AN117*3)/4.5</f>
        <v>3.3333333333333335</v>
      </c>
      <c r="CF117" s="39"/>
    </row>
    <row r="118" spans="2:84" s="35" customFormat="1">
      <c r="B118" s="29">
        <v>86</v>
      </c>
      <c r="C118" s="30" t="s">
        <v>96</v>
      </c>
      <c r="D118" s="54">
        <v>8</v>
      </c>
      <c r="E118" s="54">
        <v>980</v>
      </c>
      <c r="F118" s="54">
        <v>2.15</v>
      </c>
      <c r="G118" s="54">
        <v>3</v>
      </c>
      <c r="H118" s="54">
        <v>4</v>
      </c>
      <c r="I118" s="54">
        <v>2</v>
      </c>
      <c r="J118" s="54">
        <v>1.5</v>
      </c>
      <c r="K118" s="54">
        <v>0.5</v>
      </c>
      <c r="L118" s="54">
        <v>2.5</v>
      </c>
      <c r="M118" s="54">
        <v>4000</v>
      </c>
      <c r="N118" s="54">
        <v>4000</v>
      </c>
      <c r="O118" s="54">
        <v>4000</v>
      </c>
      <c r="P118" s="54">
        <v>4000</v>
      </c>
      <c r="Q118" s="55">
        <v>2000</v>
      </c>
      <c r="R118" s="32">
        <f>6000/1400</f>
        <v>4.2857142857142856</v>
      </c>
      <c r="S118" s="33">
        <v>7</v>
      </c>
      <c r="T118" s="34">
        <v>0</v>
      </c>
      <c r="U118" s="34">
        <v>4</v>
      </c>
      <c r="V118" s="34">
        <v>3</v>
      </c>
      <c r="W118" s="34">
        <f>(9 + 4 + 5 + 7)/4</f>
        <v>6.25</v>
      </c>
      <c r="X118" s="34">
        <v>0</v>
      </c>
      <c r="Y118" s="34">
        <v>0</v>
      </c>
      <c r="Z118" s="34">
        <v>6</v>
      </c>
      <c r="AA118" s="34">
        <v>0</v>
      </c>
      <c r="AB118" s="34">
        <v>0</v>
      </c>
      <c r="AC118" s="31">
        <v>5</v>
      </c>
      <c r="AD118" s="31">
        <v>0</v>
      </c>
      <c r="AE118" s="27">
        <f>(BA118/5+1)*AD118</f>
        <v>0</v>
      </c>
      <c r="AF118" s="31">
        <v>0</v>
      </c>
      <c r="AG118" s="31">
        <v>0</v>
      </c>
      <c r="AH118" s="31">
        <v>0</v>
      </c>
      <c r="AI118" s="31">
        <v>0</v>
      </c>
      <c r="AJ118" s="31">
        <v>0</v>
      </c>
      <c r="AK118" s="31">
        <v>0</v>
      </c>
      <c r="AL118" s="31">
        <v>0</v>
      </c>
      <c r="AM118" s="31">
        <v>0</v>
      </c>
      <c r="AN118" s="31">
        <v>4</v>
      </c>
      <c r="AO118" s="44">
        <v>0</v>
      </c>
      <c r="AP118" s="44">
        <v>0</v>
      </c>
      <c r="AQ118" s="51">
        <v>0</v>
      </c>
      <c r="AR118" s="44">
        <v>0</v>
      </c>
      <c r="AS118" s="44">
        <v>0</v>
      </c>
      <c r="AT118" s="44">
        <v>0</v>
      </c>
      <c r="AU118" s="44">
        <v>0</v>
      </c>
      <c r="AV118" s="44">
        <v>0</v>
      </c>
      <c r="AW118" s="50">
        <v>0</v>
      </c>
      <c r="AX118" s="44">
        <v>0</v>
      </c>
      <c r="AY118" s="44">
        <f>(5 + 5 + 10)/3</f>
        <v>6.666666666666667</v>
      </c>
      <c r="AZ118" s="51">
        <v>0</v>
      </c>
      <c r="BA118" s="51">
        <v>0</v>
      </c>
      <c r="BB118" s="44">
        <v>0</v>
      </c>
      <c r="BC118" s="44">
        <v>0</v>
      </c>
      <c r="BD118" s="51">
        <v>7</v>
      </c>
      <c r="BE118" s="44">
        <v>0</v>
      </c>
      <c r="BF118" s="46">
        <f>(G118*F118*E118)+M118</f>
        <v>10321</v>
      </c>
      <c r="BG118" s="36">
        <f>(G118*F118*E118)+N118</f>
        <v>10321</v>
      </c>
      <c r="BH118" s="36">
        <f>(G118*F118*E118)+O118</f>
        <v>10321</v>
      </c>
      <c r="BI118" s="36">
        <f>(G118*F118*E118)+P118</f>
        <v>10321</v>
      </c>
      <c r="BJ118" s="36">
        <f>((H118*F118*E118)+(((F118*H118+L118)/D118)*M118))/(1.25-((H118-G118)/4))</f>
        <v>13978</v>
      </c>
      <c r="BK118" s="36">
        <f>((I118*F118*E118)+(((F118*I118+L118)/D118)*(N118-Q118)))/(1.25-((I118-G118)/4))</f>
        <v>3942.6666666666665</v>
      </c>
      <c r="BL118" s="36">
        <f>((J118*F118*E118)+(((F118*J118+L118)/D118)*(O118-Q118)))/(1.25-((J118-G118)/4))</f>
        <v>2825.6923076923076</v>
      </c>
      <c r="BM118" s="36">
        <f>((K118*F118*E118)+(((F118*K118+L118)/D118)*(P118-Q118)))/(1.25-((K118-G118)/4))</f>
        <v>1038.5333333333333</v>
      </c>
      <c r="BN118" s="39"/>
      <c r="BO118" s="36">
        <f>((BJ118/2)*R118)/2</f>
        <v>14976.428571428571</v>
      </c>
      <c r="BP118" s="36">
        <f>((BK118)*(R118/2))/2</f>
        <v>4224.2857142857138</v>
      </c>
      <c r="BQ118" s="36">
        <f>((BL118*1.5)*(R118/3))/2</f>
        <v>3027.5274725274721</v>
      </c>
      <c r="BR118" s="36">
        <f>((BM118*2)*(S118/4))/2</f>
        <v>1817.4333333333334</v>
      </c>
      <c r="BS118" s="39"/>
      <c r="BT118" s="36">
        <f>(AE118*BO118)/2</f>
        <v>0</v>
      </c>
      <c r="BU118" s="36">
        <f>(AE118*BP118)/2</f>
        <v>0</v>
      </c>
      <c r="BV118" s="36">
        <f>(AE118*BQ118)/2</f>
        <v>0</v>
      </c>
      <c r="BW118" s="36">
        <f>(AE118*BR118)/2</f>
        <v>0</v>
      </c>
      <c r="BX118" s="39"/>
      <c r="BY118" s="14">
        <f>SUM(AE118*4, AC118*2, R118*2)/6-0.67</f>
        <v>2.425238095238095</v>
      </c>
      <c r="BZ118" s="42">
        <f>SUM(AVERAGE(U118, (AVERAGE(BO118, BP118)/4000))*4, R118*4, S118*2)/7.5-0.67</f>
        <v>5.1890714285714283</v>
      </c>
      <c r="CA118" s="47">
        <f>SUM(W118*3, AVERAGE(BO118, BP118, BQ118, BR118)/3000)/3</f>
        <v>6.9179354192104192</v>
      </c>
      <c r="CB118" s="48">
        <f>IF(V118&lt;6, V118*Q118/2000, IF(V118&lt;7, V118*(AVERAGE(BJ118, BK118, BL118, BM118)/2000), V118*(AVERAGE(BJ118, BK118, BL118, BM118)/2000)*(Q118/2000)))/((10-S118+2)/4)</f>
        <v>2.4</v>
      </c>
      <c r="CC118" s="41">
        <f>SUM(AF118*4, AI118*2/(AH118+1), AG118*4)/7.5</f>
        <v>0</v>
      </c>
      <c r="CD118" s="14">
        <f>SUM(AI118*3, AJ118*2, AK118*2, AL118*2, AF118*3)/8</f>
        <v>0</v>
      </c>
      <c r="CE118" s="14">
        <f>SUM(U118*2, BA118*1, AN118*3)/4.5</f>
        <v>4.4444444444444446</v>
      </c>
      <c r="CF118" s="39"/>
    </row>
    <row r="119" spans="2:84" s="35" customFormat="1">
      <c r="B119" s="29">
        <v>88</v>
      </c>
      <c r="C119" s="30" t="s">
        <v>62</v>
      </c>
      <c r="D119" s="54">
        <v>9</v>
      </c>
      <c r="E119" s="54">
        <v>960</v>
      </c>
      <c r="F119" s="54">
        <v>2.5</v>
      </c>
      <c r="G119" s="54">
        <v>4</v>
      </c>
      <c r="H119" s="54">
        <v>4</v>
      </c>
      <c r="I119" s="54">
        <v>3.2</v>
      </c>
      <c r="J119" s="54">
        <v>2.4</v>
      </c>
      <c r="K119" s="54">
        <v>1.6</v>
      </c>
      <c r="L119" s="54">
        <v>0</v>
      </c>
      <c r="M119" s="54">
        <v>0</v>
      </c>
      <c r="N119" s="54">
        <v>0</v>
      </c>
      <c r="O119" s="54">
        <v>0</v>
      </c>
      <c r="P119" s="54">
        <v>0</v>
      </c>
      <c r="Q119" s="55">
        <v>0</v>
      </c>
      <c r="R119" s="32">
        <f>6600/1400</f>
        <v>4.7142857142857144</v>
      </c>
      <c r="S119" s="33">
        <v>7</v>
      </c>
      <c r="T119" s="34">
        <f>(5 + 10 + 5)/3</f>
        <v>6.666666666666667</v>
      </c>
      <c r="U119" s="34">
        <v>3</v>
      </c>
      <c r="V119" s="34">
        <v>0</v>
      </c>
      <c r="W119" s="34">
        <v>0</v>
      </c>
      <c r="X119" s="34">
        <v>0</v>
      </c>
      <c r="Y119" s="34">
        <v>0</v>
      </c>
      <c r="Z119" s="34">
        <v>6</v>
      </c>
      <c r="AA119" s="34">
        <v>0</v>
      </c>
      <c r="AB119" s="34">
        <v>0</v>
      </c>
      <c r="AC119" s="31">
        <v>9</v>
      </c>
      <c r="AD119" s="31">
        <v>7</v>
      </c>
      <c r="AE119" s="27">
        <f>(BA119/5+1)*AD119</f>
        <v>7</v>
      </c>
      <c r="AF119" s="31">
        <v>0</v>
      </c>
      <c r="AG119" s="31">
        <v>0</v>
      </c>
      <c r="AH119" s="31">
        <v>0</v>
      </c>
      <c r="AI119" s="31">
        <v>0</v>
      </c>
      <c r="AJ119" s="31">
        <v>0</v>
      </c>
      <c r="AK119" s="31">
        <v>0</v>
      </c>
      <c r="AL119" s="31">
        <v>0</v>
      </c>
      <c r="AM119" s="31">
        <v>0</v>
      </c>
      <c r="AN119" s="31">
        <v>0</v>
      </c>
      <c r="AO119" s="44">
        <v>0</v>
      </c>
      <c r="AP119" s="44">
        <v>0</v>
      </c>
      <c r="AQ119" s="51">
        <v>0</v>
      </c>
      <c r="AR119" s="44">
        <v>0</v>
      </c>
      <c r="AS119" s="44">
        <v>0</v>
      </c>
      <c r="AT119" s="44">
        <v>0</v>
      </c>
      <c r="AU119" s="44">
        <v>0</v>
      </c>
      <c r="AV119" s="44">
        <v>0</v>
      </c>
      <c r="AW119" s="50">
        <v>0</v>
      </c>
      <c r="AX119" s="44">
        <v>0</v>
      </c>
      <c r="AY119" s="44">
        <v>0</v>
      </c>
      <c r="AZ119" s="51">
        <v>0</v>
      </c>
      <c r="BA119" s="51">
        <v>0</v>
      </c>
      <c r="BB119" s="44">
        <v>0</v>
      </c>
      <c r="BC119" s="44">
        <v>0</v>
      </c>
      <c r="BD119" s="51">
        <v>6</v>
      </c>
      <c r="BE119" s="44">
        <v>0</v>
      </c>
      <c r="BF119" s="46">
        <f>(G119*F119*E119)+M119</f>
        <v>9600</v>
      </c>
      <c r="BG119" s="36">
        <f>(G119*F119*E119)+N119</f>
        <v>9600</v>
      </c>
      <c r="BH119" s="36">
        <f>(G119*F119*E119)+O119</f>
        <v>9600</v>
      </c>
      <c r="BI119" s="36">
        <f>(G119*F119*E119)+P119</f>
        <v>9600</v>
      </c>
      <c r="BJ119" s="36">
        <f>((H119*F119*E119)+(((F119*H119+L119)/D119)*M119))/(1.25-((H119-G119)/4))</f>
        <v>7680</v>
      </c>
      <c r="BK119" s="36">
        <f>((I119*F119*E119)+(((F119*I119+L119)/D119)*(N119-Q119)))/(1.25-((I119-G119)/4))</f>
        <v>5296.5517241379312</v>
      </c>
      <c r="BL119" s="36">
        <f>((J119*F119*E119)+(((F119*J119+L119)/D119)*(O119-Q119)))/(1.25-((J119-G119)/4))</f>
        <v>3490.909090909091</v>
      </c>
      <c r="BM119" s="36">
        <f>((K119*F119*E119)+(((F119*K119+L119)/D119)*(P119-Q119)))/(1.25-((K119-G119)/4))</f>
        <v>2075.6756756756754</v>
      </c>
      <c r="BN119" s="39"/>
      <c r="BO119" s="36">
        <f>((BJ119/2)*R119)/2</f>
        <v>9051.4285714285725</v>
      </c>
      <c r="BP119" s="36">
        <f>((BK119)*(R119/2))/2</f>
        <v>6242.3645320197047</v>
      </c>
      <c r="BQ119" s="36">
        <f>((BL119*1.5)*(R119/3))/2</f>
        <v>4114.2857142857138</v>
      </c>
      <c r="BR119" s="36">
        <f>((BM119*2)*(S119/4))/2</f>
        <v>3632.4324324324321</v>
      </c>
      <c r="BS119" s="39"/>
      <c r="BT119" s="36">
        <f>(AE119*BO119)/2</f>
        <v>31680.000000000004</v>
      </c>
      <c r="BU119" s="36">
        <f>(AE119*BP119)/2</f>
        <v>21848.275862068967</v>
      </c>
      <c r="BV119" s="36">
        <f>(AE119*BQ119)/2</f>
        <v>14399.999999999998</v>
      </c>
      <c r="BW119" s="36">
        <f>(AE119*BR119)/2</f>
        <v>12713.513513513511</v>
      </c>
      <c r="BX119" s="39"/>
      <c r="BY119" s="14">
        <f>SUM(AE119*4, AC119*2, R119*2)/6-0.67</f>
        <v>8.5680952380952391</v>
      </c>
      <c r="BZ119" s="42">
        <f>SUM(AVERAGE(U119, (AVERAGE(BO119, BP119)/4000))*4, R119*4, S119*2)/7.5-0.67</f>
        <v>5.0207454844006563</v>
      </c>
      <c r="CA119" s="47">
        <f>SUM(W119*3, AVERAGE(BO119, BP119, BQ119, BR119)/3000)/3</f>
        <v>0.64001420139351184</v>
      </c>
      <c r="CB119" s="48">
        <f>IF(V119&lt;6, V119*Q119/2000, IF(V119&lt;7, V119*(AVERAGE(BJ119, BK119, BL119, BM119)/2000), V119*(AVERAGE(BJ119, BK119, BL119, BM119)/2000)*(Q119/2000)))/((10-S119+2)/4)</f>
        <v>0</v>
      </c>
      <c r="CC119" s="41">
        <f>SUM(AF119*4, AI119*2/(AH119+1), AG119*4)/7.5</f>
        <v>0</v>
      </c>
      <c r="CD119" s="14">
        <f>SUM(AI119*3, AJ119*2, AK119*2, AL119*2, AF119*3)/8</f>
        <v>0</v>
      </c>
      <c r="CE119" s="14">
        <f>SUM(U119*2, BA119*1, AN119*3)/4.5</f>
        <v>1.3333333333333333</v>
      </c>
      <c r="CF119" s="39"/>
    </row>
    <row r="120" spans="2:84" s="35" customFormat="1">
      <c r="B120" s="29">
        <v>33</v>
      </c>
      <c r="C120" s="30" t="s">
        <v>44</v>
      </c>
      <c r="D120" s="54">
        <v>15</v>
      </c>
      <c r="E120" s="54">
        <v>600</v>
      </c>
      <c r="F120" s="54">
        <v>3.3</v>
      </c>
      <c r="G120" s="54">
        <v>4</v>
      </c>
      <c r="H120" s="54">
        <v>5</v>
      </c>
      <c r="I120" s="54">
        <v>4</v>
      </c>
      <c r="J120" s="54">
        <v>3</v>
      </c>
      <c r="K120" s="54">
        <v>0</v>
      </c>
      <c r="L120" s="54">
        <v>3</v>
      </c>
      <c r="M120" s="54">
        <v>1200</v>
      </c>
      <c r="N120" s="54">
        <v>1200</v>
      </c>
      <c r="O120" s="54">
        <v>1200</v>
      </c>
      <c r="P120" s="54">
        <v>1200</v>
      </c>
      <c r="Q120" s="54">
        <v>1200</v>
      </c>
      <c r="R120" s="32">
        <f>8000/1400</f>
        <v>5.7142857142857144</v>
      </c>
      <c r="S120" s="33">
        <v>7</v>
      </c>
      <c r="T120" s="34">
        <v>5</v>
      </c>
      <c r="U120" s="34">
        <v>4</v>
      </c>
      <c r="V120" s="34">
        <v>3</v>
      </c>
      <c r="W120" s="34">
        <v>0</v>
      </c>
      <c r="X120" s="34">
        <v>10</v>
      </c>
      <c r="Y120" s="34">
        <v>0</v>
      </c>
      <c r="Z120" s="34">
        <v>6</v>
      </c>
      <c r="AA120" s="34">
        <v>0</v>
      </c>
      <c r="AB120" s="34">
        <v>0</v>
      </c>
      <c r="AC120" s="31">
        <v>5</v>
      </c>
      <c r="AD120" s="31">
        <v>0</v>
      </c>
      <c r="AE120" s="27">
        <f>(BA120/5+1)*AD120</f>
        <v>0</v>
      </c>
      <c r="AF120" s="31">
        <v>0</v>
      </c>
      <c r="AG120" s="31">
        <v>0</v>
      </c>
      <c r="AH120" s="31">
        <v>0</v>
      </c>
      <c r="AI120" s="31">
        <v>0</v>
      </c>
      <c r="AJ120" s="31">
        <v>0</v>
      </c>
      <c r="AK120" s="31">
        <v>0</v>
      </c>
      <c r="AL120" s="31">
        <v>0</v>
      </c>
      <c r="AM120" s="31">
        <v>0</v>
      </c>
      <c r="AN120" s="31">
        <v>1</v>
      </c>
      <c r="AO120" s="44">
        <v>0</v>
      </c>
      <c r="AP120" s="44">
        <v>0</v>
      </c>
      <c r="AQ120" s="51">
        <v>0</v>
      </c>
      <c r="AR120" s="44">
        <v>0</v>
      </c>
      <c r="AS120" s="44">
        <v>0</v>
      </c>
      <c r="AT120" s="44">
        <v>0</v>
      </c>
      <c r="AU120" s="44">
        <v>0</v>
      </c>
      <c r="AV120" s="44">
        <v>0</v>
      </c>
      <c r="AW120" s="50">
        <v>0</v>
      </c>
      <c r="AX120" s="44">
        <v>0</v>
      </c>
      <c r="AY120" s="44">
        <v>0</v>
      </c>
      <c r="AZ120" s="51">
        <v>0</v>
      </c>
      <c r="BA120" s="51">
        <v>1</v>
      </c>
      <c r="BB120" s="44">
        <v>0</v>
      </c>
      <c r="BC120" s="44">
        <v>10</v>
      </c>
      <c r="BD120" s="51">
        <v>7</v>
      </c>
      <c r="BE120" s="44">
        <v>0</v>
      </c>
      <c r="BF120" s="46">
        <f>(G120*F120*E120)+M120</f>
        <v>9120</v>
      </c>
      <c r="BG120" s="36">
        <f>(G120*F120*E120)+N120</f>
        <v>9120</v>
      </c>
      <c r="BH120" s="36">
        <f>(G120*F120*E120)+O120</f>
        <v>9120</v>
      </c>
      <c r="BI120" s="36">
        <f>(G120*F120*E120)+P120</f>
        <v>9120</v>
      </c>
      <c r="BJ120" s="36">
        <f>((H120*F120*E120)+(((F120*H120+L120)/D120)*M120))/(1.25-((H120-G120)/4))</f>
        <v>11460</v>
      </c>
      <c r="BK120" s="36">
        <f>((I120*F120*E120)+(((F120*I120+L120)/D120)*(N120-Q120)))/(1.25-((I120-G120)/4))</f>
        <v>6336</v>
      </c>
      <c r="BL120" s="36">
        <f>((J120*F120*E120)+(((F120*J120+L120)/D120)*(O120-Q120)))/(1.25-((J120-G120)/4))</f>
        <v>3959.9999999999995</v>
      </c>
      <c r="BM120" s="36">
        <f>((K120*F120*E120)+(((F120*K120+L120)/D120)*(P120-Q120)))/(1.25-((K120-G120)/4))</f>
        <v>0</v>
      </c>
      <c r="BN120" s="39"/>
      <c r="BO120" s="36">
        <f>((BJ120/2)*R120)/2</f>
        <v>16371.428571428572</v>
      </c>
      <c r="BP120" s="36">
        <f>((BK120)*(R120/2))/2</f>
        <v>9051.4285714285725</v>
      </c>
      <c r="BQ120" s="36">
        <f>((BL120*1.5)*(R120/3))/2</f>
        <v>5657.1428571428569</v>
      </c>
      <c r="BR120" s="36">
        <f>((BM120*2)*(S120/4))/2</f>
        <v>0</v>
      </c>
      <c r="BS120" s="39"/>
      <c r="BT120" s="36">
        <f>(AE120*BO120)/2</f>
        <v>0</v>
      </c>
      <c r="BU120" s="36">
        <f>(AE120*BP120)/2</f>
        <v>0</v>
      </c>
      <c r="BV120" s="36">
        <f>(AE120*BQ120)/2</f>
        <v>0</v>
      </c>
      <c r="BW120" s="36">
        <f>(AE120*BR120)/2</f>
        <v>0</v>
      </c>
      <c r="BX120" s="39"/>
      <c r="BY120" s="14">
        <f>SUM(AE120*4, AC120*2, R120*2)/6-0.67</f>
        <v>2.9014285714285717</v>
      </c>
      <c r="BZ120" s="42">
        <f>SUM(AVERAGE(U120, (AVERAGE(BO120, BP120)/4000))*4, R120*4, S120*2)/7.5-0.67</f>
        <v>6.158380952380953</v>
      </c>
      <c r="CA120" s="47">
        <f>SUM(W120*3, AVERAGE(BO120, BP120, BQ120, BR120)/3000)/3</f>
        <v>0.86333333333333329</v>
      </c>
      <c r="CB120" s="48">
        <f>IF(V120&lt;6, V120*Q120/2000, IF(V120&lt;7, V120*(AVERAGE(BJ120, BK120, BL120, BM120)/2000), V120*(AVERAGE(BJ120, BK120, BL120, BM120)/2000)*(Q120/2000)))/((10-S120+2)/4)</f>
        <v>1.44</v>
      </c>
      <c r="CC120" s="41">
        <f>SUM(AF120*4, AI120*2/(AH120+1), AG120*4)/7.5</f>
        <v>0</v>
      </c>
      <c r="CD120" s="14">
        <f>SUM(AI120*3, AJ120*2, AK120*2, AL120*2, AF120*3)/8</f>
        <v>0</v>
      </c>
      <c r="CE120" s="14">
        <f>SUM(U120*2, BA120*1, AN120*3)/4.5</f>
        <v>2.6666666666666665</v>
      </c>
      <c r="CF120" s="39"/>
    </row>
    <row r="121" spans="2:84" s="35" customFormat="1">
      <c r="B121" s="29">
        <v>1</v>
      </c>
      <c r="C121" s="37" t="s">
        <v>95</v>
      </c>
      <c r="D121" s="54">
        <v>10</v>
      </c>
      <c r="E121" s="54">
        <v>600</v>
      </c>
      <c r="F121" s="54">
        <v>2.5</v>
      </c>
      <c r="G121" s="54">
        <v>4</v>
      </c>
      <c r="H121" s="54">
        <v>5</v>
      </c>
      <c r="I121" s="54">
        <v>4</v>
      </c>
      <c r="J121" s="54">
        <v>2</v>
      </c>
      <c r="K121" s="54">
        <v>0</v>
      </c>
      <c r="L121" s="54">
        <v>2</v>
      </c>
      <c r="M121" s="54">
        <v>5760</v>
      </c>
      <c r="N121" s="54">
        <v>5760</v>
      </c>
      <c r="O121" s="54">
        <v>5760</v>
      </c>
      <c r="P121" s="54">
        <v>0</v>
      </c>
      <c r="Q121" s="54">
        <v>3840</v>
      </c>
      <c r="R121" s="32">
        <f>7800/1400</f>
        <v>5.5714285714285712</v>
      </c>
      <c r="S121" s="33">
        <v>6</v>
      </c>
      <c r="T121" s="34">
        <v>0</v>
      </c>
      <c r="U121" s="34">
        <v>4</v>
      </c>
      <c r="V121" s="34">
        <v>0</v>
      </c>
      <c r="W121" s="34">
        <v>0</v>
      </c>
      <c r="X121" s="34">
        <v>3</v>
      </c>
      <c r="Y121" s="34">
        <v>0</v>
      </c>
      <c r="Z121" s="34">
        <v>5</v>
      </c>
      <c r="AA121" s="34">
        <v>5</v>
      </c>
      <c r="AB121" s="34">
        <v>5</v>
      </c>
      <c r="AC121" s="38">
        <v>7</v>
      </c>
      <c r="AD121" s="38">
        <v>0</v>
      </c>
      <c r="AE121" s="27">
        <f>(BA121/5+1)*AD121</f>
        <v>0</v>
      </c>
      <c r="AF121" s="38">
        <v>0</v>
      </c>
      <c r="AG121" s="38">
        <v>0</v>
      </c>
      <c r="AH121" s="38">
        <v>0</v>
      </c>
      <c r="AI121" s="38">
        <v>0</v>
      </c>
      <c r="AJ121" s="38">
        <v>0</v>
      </c>
      <c r="AK121" s="38">
        <v>0</v>
      </c>
      <c r="AL121" s="38">
        <v>0</v>
      </c>
      <c r="AM121" s="38">
        <v>0</v>
      </c>
      <c r="AN121" s="38">
        <v>2</v>
      </c>
      <c r="AO121" s="44">
        <v>0</v>
      </c>
      <c r="AP121" s="44">
        <v>0</v>
      </c>
      <c r="AQ121" s="51">
        <v>0</v>
      </c>
      <c r="AR121" s="44">
        <v>0</v>
      </c>
      <c r="AS121" s="44">
        <v>0</v>
      </c>
      <c r="AT121" s="44">
        <v>0</v>
      </c>
      <c r="AU121" s="44">
        <v>0</v>
      </c>
      <c r="AV121" s="44">
        <v>0</v>
      </c>
      <c r="AW121" s="50">
        <v>0</v>
      </c>
      <c r="AX121" s="44">
        <v>0</v>
      </c>
      <c r="AY121" s="44">
        <v>0</v>
      </c>
      <c r="AZ121" s="51">
        <v>0</v>
      </c>
      <c r="BA121" s="52">
        <v>2</v>
      </c>
      <c r="BB121" s="44">
        <v>0</v>
      </c>
      <c r="BC121" s="44">
        <v>3</v>
      </c>
      <c r="BD121" s="51">
        <v>7</v>
      </c>
      <c r="BE121" s="44">
        <v>0</v>
      </c>
      <c r="BF121" s="46">
        <f>(G121*F121*E121)+M121</f>
        <v>11760</v>
      </c>
      <c r="BG121" s="36">
        <f>(G121*F121*E121)+N121</f>
        <v>11760</v>
      </c>
      <c r="BH121" s="36">
        <f>(G121*F121*E121)+O121</f>
        <v>11760</v>
      </c>
      <c r="BI121" s="36">
        <f>(G121*F121*E121)+P121</f>
        <v>6000</v>
      </c>
      <c r="BJ121" s="36">
        <f>((H121*F121*E121)+(((F121*H121+L121)/D121)*M121))/(1.25-((H121-G121)/4))</f>
        <v>15852</v>
      </c>
      <c r="BK121" s="36">
        <f>((I121*F121*E121)+(((F121*I121+L121)/D121)*(N121-Q121)))/(1.25-((I121-G121)/4))</f>
        <v>6643.2</v>
      </c>
      <c r="BL121" s="36">
        <f>((J121*F121*E121)+(((F121*J121+L121)/D121)*(O121-Q121)))/(1.25-((J121-G121)/4))</f>
        <v>2482.2857142857142</v>
      </c>
      <c r="BM121" s="36">
        <f>((K121*F121*E121)+(((F121*K121+L121)/D121)*(P121-Q121)))/(1.25-((K121-G121)/4))</f>
        <v>-341.33333333333331</v>
      </c>
      <c r="BN121" s="39"/>
      <c r="BO121" s="36">
        <f>((BJ121/2)*R121)/2</f>
        <v>22079.571428571428</v>
      </c>
      <c r="BP121" s="36">
        <f>((BK121)*(R121/2))/2</f>
        <v>9253.028571428571</v>
      </c>
      <c r="BQ121" s="36">
        <f>((BL121*1.5)*(R121/3))/2</f>
        <v>3457.4693877551017</v>
      </c>
      <c r="BR121" s="36">
        <f>((BM121*2)*(S121/4))/2</f>
        <v>-512</v>
      </c>
      <c r="BS121" s="39"/>
      <c r="BT121" s="36">
        <f>(AE121*BO121)/2</f>
        <v>0</v>
      </c>
      <c r="BU121" s="36">
        <f>(AE121*BP121)/2</f>
        <v>0</v>
      </c>
      <c r="BV121" s="36">
        <f>(AE121*BQ121)/2</f>
        <v>0</v>
      </c>
      <c r="BW121" s="36">
        <f>(AE121*BR121)/2</f>
        <v>0</v>
      </c>
      <c r="BX121" s="39"/>
      <c r="BY121" s="14">
        <f>SUM(AE121*4, AC121*2, R121*2)/6-0.67</f>
        <v>3.5204761904761908</v>
      </c>
      <c r="BZ121" s="42">
        <f>SUM(AVERAGE(U121, (AVERAGE(BO121, BP121)/4000))*4, R121*4, S121*2)/7.5-0.67</f>
        <v>6.0125152380952374</v>
      </c>
      <c r="CA121" s="47">
        <f>SUM(W121*3, AVERAGE(BO121, BP121, BQ121, BR121)/3000)/3</f>
        <v>0.95216859410430832</v>
      </c>
      <c r="CB121" s="48">
        <f>IF(V121&lt;6, V121*Q121/2000, IF(V121&lt;7, V121*(AVERAGE(BJ121, BK121, BL121, BM121)/2000), V121*(AVERAGE(BJ121, BK121, BL121, BM121)/2000)*(Q121/2000)))/((10-S121+2)/4)</f>
        <v>0</v>
      </c>
      <c r="CC121" s="41">
        <f>SUM(AF121*4, AI121*2/(AH121+1), AG121*4)/7.5</f>
        <v>0</v>
      </c>
      <c r="CD121" s="14">
        <f>SUM(AI121*3, AJ121*2, AK121*2, AL121*2, AF121*3)/8</f>
        <v>0</v>
      </c>
      <c r="CE121" s="14">
        <f>SUM(U121*2, BA121*1, AN121*3)/4.5</f>
        <v>3.5555555555555554</v>
      </c>
      <c r="CF121" s="39"/>
    </row>
    <row r="122" spans="2:84" s="35" customFormat="1">
      <c r="B122" s="29">
        <v>8</v>
      </c>
      <c r="C122" s="37" t="s">
        <v>87</v>
      </c>
      <c r="D122" s="54">
        <v>4</v>
      </c>
      <c r="E122" s="54">
        <v>1520</v>
      </c>
      <c r="F122" s="54">
        <v>2.5</v>
      </c>
      <c r="G122" s="54">
        <v>1</v>
      </c>
      <c r="H122" s="54">
        <v>1</v>
      </c>
      <c r="I122" s="54">
        <v>1</v>
      </c>
      <c r="J122" s="54">
        <v>1</v>
      </c>
      <c r="K122" s="54">
        <v>0</v>
      </c>
      <c r="L122" s="54">
        <v>0</v>
      </c>
      <c r="M122" s="54">
        <v>0</v>
      </c>
      <c r="N122" s="54">
        <v>0</v>
      </c>
      <c r="O122" s="54">
        <v>0</v>
      </c>
      <c r="P122" s="54">
        <v>0</v>
      </c>
      <c r="Q122" s="54">
        <v>0</v>
      </c>
      <c r="R122" s="32">
        <f>8000/1400</f>
        <v>5.7142857142857144</v>
      </c>
      <c r="S122" s="33">
        <v>6</v>
      </c>
      <c r="T122" s="34">
        <v>0</v>
      </c>
      <c r="U122" s="34">
        <v>7</v>
      </c>
      <c r="V122" s="34">
        <v>0</v>
      </c>
      <c r="W122" s="34">
        <v>0</v>
      </c>
      <c r="X122" s="34">
        <v>0</v>
      </c>
      <c r="Y122" s="34">
        <v>0</v>
      </c>
      <c r="Z122" s="34">
        <v>6</v>
      </c>
      <c r="AA122" s="34">
        <v>0</v>
      </c>
      <c r="AB122" s="34">
        <v>0</v>
      </c>
      <c r="AC122" s="38">
        <v>5</v>
      </c>
      <c r="AD122" s="38">
        <v>0</v>
      </c>
      <c r="AE122" s="27">
        <f>(BA122/5+1)*AD122</f>
        <v>0</v>
      </c>
      <c r="AF122" s="38">
        <v>0</v>
      </c>
      <c r="AG122" s="38">
        <v>0</v>
      </c>
      <c r="AH122" s="38">
        <v>0</v>
      </c>
      <c r="AI122" s="38">
        <v>0</v>
      </c>
      <c r="AJ122" s="38">
        <v>0</v>
      </c>
      <c r="AK122" s="38">
        <v>0</v>
      </c>
      <c r="AL122" s="38">
        <v>0</v>
      </c>
      <c r="AM122" s="38">
        <v>0</v>
      </c>
      <c r="AN122" s="38">
        <v>0</v>
      </c>
      <c r="AO122" s="44">
        <f>(6 + 9)/2</f>
        <v>7.5</v>
      </c>
      <c r="AP122" s="44">
        <v>0</v>
      </c>
      <c r="AQ122" s="51">
        <v>0</v>
      </c>
      <c r="AR122" s="44">
        <v>0</v>
      </c>
      <c r="AS122" s="44">
        <v>0</v>
      </c>
      <c r="AT122" s="44">
        <v>0</v>
      </c>
      <c r="AU122" s="44">
        <v>0</v>
      </c>
      <c r="AV122" s="44">
        <v>0</v>
      </c>
      <c r="AW122" s="50">
        <v>0</v>
      </c>
      <c r="AX122" s="44">
        <v>0</v>
      </c>
      <c r="AY122" s="44">
        <v>0</v>
      </c>
      <c r="AZ122" s="51">
        <v>0</v>
      </c>
      <c r="BA122" s="52">
        <v>0</v>
      </c>
      <c r="BB122" s="44">
        <v>0</v>
      </c>
      <c r="BC122" s="44">
        <v>0</v>
      </c>
      <c r="BD122" s="51">
        <v>7</v>
      </c>
      <c r="BE122" s="44">
        <v>0</v>
      </c>
      <c r="BF122" s="46">
        <f>(G122*F122*E122)+M122</f>
        <v>3800</v>
      </c>
      <c r="BG122" s="36">
        <f>(G122*F122*E122)+N122</f>
        <v>3800</v>
      </c>
      <c r="BH122" s="36">
        <f>(G122*F122*E122)+O122</f>
        <v>3800</v>
      </c>
      <c r="BI122" s="36">
        <f>(G122*F122*E122)+P122</f>
        <v>3800</v>
      </c>
      <c r="BJ122" s="36">
        <f>((H122*F122*E122)+(((F122*H122+L122)/D122)*M122))/(1.25-((H122-G122)/4))</f>
        <v>3040</v>
      </c>
      <c r="BK122" s="36">
        <f>((I122*F122*E122)+(((F122*I122+L122)/D122)*(N122-Q122)))/(1.25-((I122-G122)/4))</f>
        <v>3040</v>
      </c>
      <c r="BL122" s="36">
        <f>((J122*F122*E122)+(((F122*J122+L122)/D122)*(O122-Q122)))/(1.25-((J122-G122)/4))</f>
        <v>3040</v>
      </c>
      <c r="BM122" s="36">
        <f>((K122*F122*E122)+(((F122*K122+L122)/D122)*(P122-Q122)))/(1.25-((K122-G122)/4))</f>
        <v>0</v>
      </c>
      <c r="BN122" s="39"/>
      <c r="BO122" s="36">
        <f>((BJ122/2)*R122)/2</f>
        <v>4342.8571428571431</v>
      </c>
      <c r="BP122" s="36">
        <f>((BK122)*(R122/2))/2</f>
        <v>4342.8571428571431</v>
      </c>
      <c r="BQ122" s="36">
        <f>((BL122*1.5)*(R122/3))/2</f>
        <v>4342.8571428571431</v>
      </c>
      <c r="BR122" s="36">
        <f>((BM122*2)*(S122/4))/2</f>
        <v>0</v>
      </c>
      <c r="BS122" s="39"/>
      <c r="BT122" s="36">
        <f>(AE122*BO122)/2</f>
        <v>0</v>
      </c>
      <c r="BU122" s="36">
        <f>(AE122*BP122)/2</f>
        <v>0</v>
      </c>
      <c r="BV122" s="36">
        <f>(AE122*BQ122)/2</f>
        <v>0</v>
      </c>
      <c r="BW122" s="36">
        <f>(AE122*BR122)/2</f>
        <v>0</v>
      </c>
      <c r="BX122" s="39"/>
      <c r="BY122" s="14">
        <f>SUM(AE122*4, AC122*2, R122*2)/6-0.67</f>
        <v>2.9014285714285717</v>
      </c>
      <c r="BZ122" s="42">
        <f>SUM(AVERAGE(U122, (AVERAGE(BO122, BP122)/4000))*4, R122*4, S122*2)/7.5-0.67</f>
        <v>6.1338095238095232</v>
      </c>
      <c r="CA122" s="47">
        <f>SUM(W122*3, AVERAGE(BO122, BP122, BQ122, BR122)/3000)/3</f>
        <v>0.36190476190476195</v>
      </c>
      <c r="CB122" s="48">
        <f>IF(V122&lt;6, V122*Q122/2000, IF(V122&lt;7, V122*(AVERAGE(BJ122, BK122, BL122, BM122)/2000), V122*(AVERAGE(BJ122, BK122, BL122, BM122)/2000)*(Q122/2000)))/((10-S122+2)/4)</f>
        <v>0</v>
      </c>
      <c r="CC122" s="41">
        <f>SUM(AF122*4, AI122*2/(AH122+1), AG122*4)/7.5</f>
        <v>0</v>
      </c>
      <c r="CD122" s="14">
        <f>SUM(AI122*3, AJ122*2, AK122*2, AL122*2, AF122*3)/8</f>
        <v>0</v>
      </c>
      <c r="CE122" s="14">
        <f>SUM(U122*2, BA122*1, AN122*3)/4.5</f>
        <v>3.1111111111111112</v>
      </c>
      <c r="CF122" s="39"/>
    </row>
    <row r="123" spans="2:84" s="35" customFormat="1">
      <c r="B123" s="29">
        <v>45</v>
      </c>
      <c r="C123" s="30" t="s">
        <v>15</v>
      </c>
      <c r="D123" s="54">
        <v>9</v>
      </c>
      <c r="E123" s="54">
        <v>1320</v>
      </c>
      <c r="F123" s="54">
        <v>1.65</v>
      </c>
      <c r="G123" s="54">
        <v>6</v>
      </c>
      <c r="H123" s="54">
        <v>3</v>
      </c>
      <c r="I123" s="54">
        <v>2</v>
      </c>
      <c r="J123" s="54">
        <v>1</v>
      </c>
      <c r="K123" s="54">
        <v>0</v>
      </c>
      <c r="L123" s="54">
        <v>2.5</v>
      </c>
      <c r="M123" s="54">
        <v>4360</v>
      </c>
      <c r="N123" s="54">
        <v>4360</v>
      </c>
      <c r="O123" s="54">
        <v>4360</v>
      </c>
      <c r="P123" s="54">
        <v>0</v>
      </c>
      <c r="Q123" s="54">
        <v>4360</v>
      </c>
      <c r="R123" s="32">
        <f>5200/1400</f>
        <v>3.7142857142857144</v>
      </c>
      <c r="S123" s="33">
        <v>5</v>
      </c>
      <c r="T123" s="34">
        <f>(6 + 7 + 6)/3</f>
        <v>6.333333333333333</v>
      </c>
      <c r="U123" s="34">
        <v>1</v>
      </c>
      <c r="V123" s="34">
        <v>6</v>
      </c>
      <c r="W123" s="34">
        <f>(6 + 1 + 6 + 5)/4</f>
        <v>4.5</v>
      </c>
      <c r="X123" s="34">
        <v>0</v>
      </c>
      <c r="Y123" s="34">
        <v>0</v>
      </c>
      <c r="Z123" s="34">
        <v>6</v>
      </c>
      <c r="AA123" s="34">
        <v>0</v>
      </c>
      <c r="AB123" s="34">
        <v>0</v>
      </c>
      <c r="AC123" s="31">
        <v>5</v>
      </c>
      <c r="AD123" s="31">
        <v>5</v>
      </c>
      <c r="AE123" s="27">
        <f>(BA123/5+1)*AD123</f>
        <v>5</v>
      </c>
      <c r="AF123" s="31">
        <v>0</v>
      </c>
      <c r="AG123" s="31">
        <v>0</v>
      </c>
      <c r="AH123" s="31">
        <v>0</v>
      </c>
      <c r="AI123" s="31">
        <v>0</v>
      </c>
      <c r="AJ123" s="31">
        <v>0</v>
      </c>
      <c r="AK123" s="31">
        <v>0</v>
      </c>
      <c r="AL123" s="31">
        <v>0</v>
      </c>
      <c r="AM123" s="31">
        <v>0</v>
      </c>
      <c r="AN123" s="31">
        <v>1</v>
      </c>
      <c r="AO123" s="44">
        <f>(11 + 2)/2</f>
        <v>6.5</v>
      </c>
      <c r="AP123" s="44">
        <v>0</v>
      </c>
      <c r="AQ123" s="51">
        <v>0</v>
      </c>
      <c r="AR123" s="44">
        <v>0</v>
      </c>
      <c r="AS123" s="44">
        <v>0</v>
      </c>
      <c r="AT123" s="44">
        <v>0</v>
      </c>
      <c r="AU123" s="44">
        <v>0</v>
      </c>
      <c r="AV123" s="44">
        <v>0</v>
      </c>
      <c r="AW123" s="50">
        <v>0</v>
      </c>
      <c r="AX123" s="44">
        <v>0</v>
      </c>
      <c r="AY123" s="44">
        <v>0</v>
      </c>
      <c r="AZ123" s="51">
        <v>0</v>
      </c>
      <c r="BA123" s="51">
        <v>0</v>
      </c>
      <c r="BB123" s="44">
        <v>0</v>
      </c>
      <c r="BC123" s="44">
        <v>0</v>
      </c>
      <c r="BD123" s="51">
        <v>7</v>
      </c>
      <c r="BE123" s="44">
        <v>0</v>
      </c>
      <c r="BF123" s="46">
        <f>(G123*F123*E123)+M123</f>
        <v>17428</v>
      </c>
      <c r="BG123" s="36">
        <f>(G123*F123*E123)+N123</f>
        <v>17428</v>
      </c>
      <c r="BH123" s="36">
        <f>(G123*F123*E123)+O123</f>
        <v>17428</v>
      </c>
      <c r="BI123" s="36">
        <f>(G123*F123*E123)+P123</f>
        <v>13067.999999999998</v>
      </c>
      <c r="BJ123" s="36">
        <f>((H123*F123*E123)+(((F123*H123+L123)/D123)*M123))/(1.25-((H123-G123)/4))</f>
        <v>5071.5555555555547</v>
      </c>
      <c r="BK123" s="36">
        <f>((I123*F123*E123)+(((F123*I123+L123)/D123)*(N123-Q123)))/(1.25-((I123-G123)/4))</f>
        <v>1936</v>
      </c>
      <c r="BL123" s="36">
        <f>((J123*F123*E123)+(((F123*J123+L123)/D123)*(O123-Q123)))/(1.25-((J123-G123)/4))</f>
        <v>871.2</v>
      </c>
      <c r="BM123" s="36">
        <f>((K123*F123*E123)+(((F123*K123+L123)/D123)*(P123-Q123)))/(1.25-((K123-G123)/4))</f>
        <v>-440.40404040404042</v>
      </c>
      <c r="BN123" s="39"/>
      <c r="BO123" s="36">
        <f>((BJ123/2)*R123)/2</f>
        <v>4709.3015873015866</v>
      </c>
      <c r="BP123" s="36">
        <f>((BK123)*(R123/2))/2</f>
        <v>1797.7142857142858</v>
      </c>
      <c r="BQ123" s="36">
        <f>((BL123*1.5)*(R123/3))/2</f>
        <v>808.97142857142876</v>
      </c>
      <c r="BR123" s="36">
        <f>((BM123*2)*(S123/4))/2</f>
        <v>-550.50505050505058</v>
      </c>
      <c r="BS123" s="39"/>
      <c r="BT123" s="36">
        <f>(AE123*BO123)/2</f>
        <v>11773.253968253966</v>
      </c>
      <c r="BU123" s="36">
        <f>(AE123*BP123)/2</f>
        <v>4494.2857142857147</v>
      </c>
      <c r="BV123" s="36">
        <f>(AE123*BQ123)/2</f>
        <v>2022.428571428572</v>
      </c>
      <c r="BW123" s="36">
        <f>(AE123*BR123)/2</f>
        <v>-1376.2626262626263</v>
      </c>
      <c r="BX123" s="39"/>
      <c r="BY123" s="14">
        <f>SUM(AE123*4, AC123*2, R123*2)/6-0.67</f>
        <v>5.5680952380952382</v>
      </c>
      <c r="BZ123" s="42">
        <f>SUM(AVERAGE(U123, (AVERAGE(BO123, BP123)/4000))*4, R123*4, S123*2)/7.5-0.67</f>
        <v>3.1278529100529102</v>
      </c>
      <c r="CA123" s="47">
        <f>SUM(W123*3, AVERAGE(BO123, BP123, BQ123, BR123)/3000)/3</f>
        <v>4.6879300625300626</v>
      </c>
      <c r="CB123" s="48">
        <f>IF(V123&lt;6, V123*Q123/2000, IF(V123&lt;7, V123*(AVERAGE(BJ123, BK123, BL123, BM123)/2000), V123*(AVERAGE(BJ123, BK123, BL123, BM123)/2000)*(Q123/2000)))/((10-S123+2)/4)</f>
        <v>3.1878649350649346</v>
      </c>
      <c r="CC123" s="41">
        <f>SUM(AF123*4, AI123*2/(AH123+1), AG123*4)/7.5</f>
        <v>0</v>
      </c>
      <c r="CD123" s="14">
        <f>SUM(AI123*3, AJ123*2, AK123*2, AL123*2, AF123*3)/8</f>
        <v>0</v>
      </c>
      <c r="CE123" s="14">
        <f>SUM(U123*2, BA123*1, AN123*3)/4.5</f>
        <v>1.1111111111111112</v>
      </c>
      <c r="CF123" s="39"/>
    </row>
    <row r="124" spans="2:84" s="35" customFormat="1">
      <c r="B124" s="29">
        <v>25</v>
      </c>
      <c r="C124" s="37" t="s">
        <v>43</v>
      </c>
      <c r="D124" s="54">
        <v>3</v>
      </c>
      <c r="E124" s="54">
        <v>2320</v>
      </c>
      <c r="F124" s="54">
        <v>3.3</v>
      </c>
      <c r="G124" s="54">
        <v>1</v>
      </c>
      <c r="H124" s="54">
        <v>1</v>
      </c>
      <c r="I124" s="54">
        <v>1</v>
      </c>
      <c r="J124" s="54">
        <v>0</v>
      </c>
      <c r="K124" s="54">
        <v>0</v>
      </c>
      <c r="L124" s="54">
        <v>1</v>
      </c>
      <c r="M124" s="54">
        <v>2480</v>
      </c>
      <c r="N124" s="54">
        <v>2480</v>
      </c>
      <c r="O124" s="54">
        <v>2480</v>
      </c>
      <c r="P124" s="54">
        <v>0</v>
      </c>
      <c r="Q124" s="54">
        <v>2480</v>
      </c>
      <c r="R124" s="32">
        <f>13600/1400</f>
        <v>9.7142857142857135</v>
      </c>
      <c r="S124" s="33">
        <v>5</v>
      </c>
      <c r="T124" s="34">
        <v>0</v>
      </c>
      <c r="U124" s="34">
        <v>7</v>
      </c>
      <c r="V124" s="34">
        <v>0</v>
      </c>
      <c r="W124" s="34">
        <v>0</v>
      </c>
      <c r="X124" s="34">
        <v>0</v>
      </c>
      <c r="Y124" s="34">
        <v>0</v>
      </c>
      <c r="Z124" s="34">
        <v>6</v>
      </c>
      <c r="AA124" s="34">
        <v>9</v>
      </c>
      <c r="AB124" s="34">
        <v>8</v>
      </c>
      <c r="AC124" s="38">
        <v>6</v>
      </c>
      <c r="AD124" s="38">
        <v>0</v>
      </c>
      <c r="AE124" s="27">
        <f>(BA124/5+1)*AD124</f>
        <v>0</v>
      </c>
      <c r="AF124" s="38">
        <v>0</v>
      </c>
      <c r="AG124" s="38">
        <v>0</v>
      </c>
      <c r="AH124" s="38">
        <v>0</v>
      </c>
      <c r="AI124" s="38">
        <v>0</v>
      </c>
      <c r="AJ124" s="38">
        <v>0</v>
      </c>
      <c r="AK124" s="38">
        <v>0</v>
      </c>
      <c r="AL124" s="38">
        <v>0</v>
      </c>
      <c r="AM124" s="38">
        <v>0</v>
      </c>
      <c r="AN124" s="38">
        <v>2</v>
      </c>
      <c r="AO124" s="44">
        <v>0</v>
      </c>
      <c r="AP124" s="44">
        <v>0</v>
      </c>
      <c r="AQ124" s="51">
        <v>0</v>
      </c>
      <c r="AR124" s="44">
        <v>0</v>
      </c>
      <c r="AS124" s="44">
        <v>0</v>
      </c>
      <c r="AT124" s="44">
        <v>0</v>
      </c>
      <c r="AU124" s="44">
        <v>0</v>
      </c>
      <c r="AV124" s="44">
        <v>0</v>
      </c>
      <c r="AW124" s="50">
        <v>0</v>
      </c>
      <c r="AX124" s="44">
        <v>0</v>
      </c>
      <c r="AY124" s="44">
        <v>0</v>
      </c>
      <c r="AZ124" s="51">
        <v>0</v>
      </c>
      <c r="BA124" s="52">
        <v>5</v>
      </c>
      <c r="BB124" s="44">
        <v>0</v>
      </c>
      <c r="BC124" s="44">
        <v>0</v>
      </c>
      <c r="BD124" s="51">
        <v>1</v>
      </c>
      <c r="BE124" s="44">
        <v>0</v>
      </c>
      <c r="BF124" s="46">
        <f>(G124*F124*E124)+M124</f>
        <v>10136</v>
      </c>
      <c r="BG124" s="36">
        <f>(G124*F124*E124)+N124</f>
        <v>10136</v>
      </c>
      <c r="BH124" s="36">
        <f>(G124*F124*E124)+O124</f>
        <v>10136</v>
      </c>
      <c r="BI124" s="36">
        <f>(G124*F124*E124)+P124</f>
        <v>7656</v>
      </c>
      <c r="BJ124" s="36">
        <f>((H124*F124*E124)+(((F124*H124+L124)/D124)*M124))/(1.25-((H124-G124)/4))</f>
        <v>8968.5333333333328</v>
      </c>
      <c r="BK124" s="36">
        <f>((I124*F124*E124)+(((F124*I124+L124)/D124)*(N124-Q124)))/(1.25-((I124-G124)/4))</f>
        <v>6124.8</v>
      </c>
      <c r="BL124" s="36">
        <f>((J124*F124*E124)+(((F124*J124+L124)/D124)*(O124-Q124)))/(1.25-((J124-G124)/4))</f>
        <v>0</v>
      </c>
      <c r="BM124" s="36">
        <f>((K124*F124*E124)+(((F124*K124+L124)/D124)*(P124-Q124)))/(1.25-((K124-G124)/4))</f>
        <v>-551.11111111111109</v>
      </c>
      <c r="BN124" s="39"/>
      <c r="BO124" s="36">
        <f>((BJ124/2)*R124)/2</f>
        <v>21780.723809523806</v>
      </c>
      <c r="BP124" s="36">
        <f>((BK124)*(R124/2))/2</f>
        <v>14874.514285714286</v>
      </c>
      <c r="BQ124" s="36">
        <f>((BL124*1.5)*(R124/3))/2</f>
        <v>0</v>
      </c>
      <c r="BR124" s="36">
        <f>((BM124*2)*(S124/4))/2</f>
        <v>-688.88888888888891</v>
      </c>
      <c r="BS124" s="39"/>
      <c r="BT124" s="36">
        <f>(AE124*BO124)/2</f>
        <v>0</v>
      </c>
      <c r="BU124" s="36">
        <f>(AE124*BP124)/2</f>
        <v>0</v>
      </c>
      <c r="BV124" s="36">
        <f>(AE124*BQ124)/2</f>
        <v>0</v>
      </c>
      <c r="BW124" s="36">
        <f>(AE124*BR124)/2</f>
        <v>0</v>
      </c>
      <c r="BX124" s="39"/>
      <c r="BY124" s="14">
        <f>SUM(AE124*4, AC124*2, R124*2)/6-0.67</f>
        <v>4.5680952380952382</v>
      </c>
      <c r="BZ124" s="42">
        <f>SUM(AVERAGE(U124, (AVERAGE(BO124, BP124)/4000))*4, R124*4, S124*2)/7.5-0.67</f>
        <v>8.9327936507936503</v>
      </c>
      <c r="CA124" s="47">
        <f>SUM(W124*3, AVERAGE(BO124, BP124, BQ124, BR124)/3000)/3</f>
        <v>0.99906525573192229</v>
      </c>
      <c r="CB124" s="48">
        <f>IF(V124&lt;6, V124*Q124/2000, IF(V124&lt;7, V124*(AVERAGE(BJ124, BK124, BL124, BM124)/2000), V124*(AVERAGE(BJ124, BK124, BL124, BM124)/2000)*(Q124/2000)))/((10-S124+2)/4)</f>
        <v>0</v>
      </c>
      <c r="CC124" s="41">
        <f>SUM(AF124*4, AI124*2/(AH124+1), AG124*4)/7.5</f>
        <v>0</v>
      </c>
      <c r="CD124" s="14">
        <f>SUM(AI124*3, AJ124*2, AK124*2, AL124*2, AF124*3)/8</f>
        <v>0</v>
      </c>
      <c r="CE124" s="14">
        <f>SUM(U124*2, BA124*1, AN124*3)/4.5</f>
        <v>5.5555555555555554</v>
      </c>
      <c r="CF124" s="39"/>
    </row>
    <row r="125" spans="2:84" s="35" customFormat="1">
      <c r="B125" s="29">
        <v>89</v>
      </c>
      <c r="C125" s="30" t="s">
        <v>93</v>
      </c>
      <c r="D125" s="54">
        <v>6</v>
      </c>
      <c r="E125" s="54">
        <v>1800</v>
      </c>
      <c r="F125" s="54">
        <v>2.5</v>
      </c>
      <c r="G125" s="54">
        <v>1</v>
      </c>
      <c r="H125" s="54">
        <v>1</v>
      </c>
      <c r="I125" s="54">
        <v>1</v>
      </c>
      <c r="J125" s="54">
        <v>0</v>
      </c>
      <c r="K125" s="54">
        <v>0</v>
      </c>
      <c r="L125" s="54">
        <v>0</v>
      </c>
      <c r="M125" s="54">
        <v>0</v>
      </c>
      <c r="N125" s="54">
        <v>0</v>
      </c>
      <c r="O125" s="54">
        <v>0</v>
      </c>
      <c r="P125" s="54">
        <v>0</v>
      </c>
      <c r="Q125" s="55">
        <v>0</v>
      </c>
      <c r="R125" s="32">
        <f>8200/1400</f>
        <v>5.8571428571428568</v>
      </c>
      <c r="S125" s="33">
        <v>4</v>
      </c>
      <c r="T125" s="34">
        <v>2</v>
      </c>
      <c r="U125" s="34">
        <v>5</v>
      </c>
      <c r="V125" s="34">
        <v>0</v>
      </c>
      <c r="W125" s="34">
        <f>(9 + 10 + 9 + 5)/4</f>
        <v>8.25</v>
      </c>
      <c r="X125" s="34">
        <v>0</v>
      </c>
      <c r="Y125" s="34">
        <v>0</v>
      </c>
      <c r="Z125" s="34">
        <v>6</v>
      </c>
      <c r="AA125" s="34">
        <v>0</v>
      </c>
      <c r="AB125" s="34">
        <v>0</v>
      </c>
      <c r="AC125" s="31">
        <v>6</v>
      </c>
      <c r="AD125" s="31">
        <v>0</v>
      </c>
      <c r="AE125" s="27">
        <f>(BA125/5+1)*AD125</f>
        <v>0</v>
      </c>
      <c r="AF125" s="31">
        <v>0</v>
      </c>
      <c r="AG125" s="31">
        <v>0</v>
      </c>
      <c r="AH125" s="31">
        <v>0</v>
      </c>
      <c r="AI125" s="31">
        <v>0</v>
      </c>
      <c r="AJ125" s="31">
        <v>0</v>
      </c>
      <c r="AK125" s="31">
        <v>0</v>
      </c>
      <c r="AL125" s="31">
        <v>0</v>
      </c>
      <c r="AM125" s="31">
        <v>0</v>
      </c>
      <c r="AN125" s="31">
        <v>0</v>
      </c>
      <c r="AO125" s="44">
        <v>0</v>
      </c>
      <c r="AP125" s="44">
        <v>0</v>
      </c>
      <c r="AQ125" s="51">
        <v>0</v>
      </c>
      <c r="AR125" s="44">
        <v>0</v>
      </c>
      <c r="AS125" s="44">
        <v>0</v>
      </c>
      <c r="AT125" s="44">
        <v>0</v>
      </c>
      <c r="AU125" s="44">
        <v>0</v>
      </c>
      <c r="AV125" s="44">
        <v>0</v>
      </c>
      <c r="AW125" s="50">
        <v>0</v>
      </c>
      <c r="AX125" s="44">
        <v>0</v>
      </c>
      <c r="AY125" s="44">
        <v>0</v>
      </c>
      <c r="AZ125" s="51">
        <v>0</v>
      </c>
      <c r="BA125" s="51">
        <v>0</v>
      </c>
      <c r="BB125" s="44">
        <v>0</v>
      </c>
      <c r="BC125" s="44">
        <v>0</v>
      </c>
      <c r="BD125" s="51">
        <v>0</v>
      </c>
      <c r="BE125" s="44">
        <v>0</v>
      </c>
      <c r="BF125" s="46">
        <f>(G125*F125*E125)+M125</f>
        <v>4500</v>
      </c>
      <c r="BG125" s="36">
        <f>(G125*F125*E125)+N125</f>
        <v>4500</v>
      </c>
      <c r="BH125" s="36">
        <f>(G125*F125*E125)+O125</f>
        <v>4500</v>
      </c>
      <c r="BI125" s="36">
        <f>(G125*F125*E125)+P125</f>
        <v>4500</v>
      </c>
      <c r="BJ125" s="36">
        <f>((H125*F125*E125)+(((F125*H125+L125)/D125)*M125))/(1.25-((H125-G125)/4))</f>
        <v>3600</v>
      </c>
      <c r="BK125" s="36">
        <f>((I125*F125*E125)+(((F125*I125+L125)/D125)*(N125-Q125)))/(1.25-((I125-G125)/4))</f>
        <v>3600</v>
      </c>
      <c r="BL125" s="36">
        <f>((J125*F125*E125)+(((F125*J125+L125)/D125)*(O125-Q125)))/(1.25-((J125-G125)/4))</f>
        <v>0</v>
      </c>
      <c r="BM125" s="36">
        <f>((K125*F125*E125)+(((F125*K125+L125)/D125)*(P125-Q125)))/(1.25-((K125-G125)/4))</f>
        <v>0</v>
      </c>
      <c r="BN125" s="39"/>
      <c r="BO125" s="36">
        <f>((BJ125/2)*R125)/2</f>
        <v>5271.4285714285706</v>
      </c>
      <c r="BP125" s="36">
        <f>((BK125)*(R125/2))/2</f>
        <v>5271.4285714285706</v>
      </c>
      <c r="BQ125" s="36">
        <f>((BL125*1.5)*(R125/3))/2</f>
        <v>0</v>
      </c>
      <c r="BR125" s="36">
        <f>((BM125*2)*(S125/4))/2</f>
        <v>0</v>
      </c>
      <c r="BS125" s="39"/>
      <c r="BT125" s="36">
        <f>(AE125*BO125)/2</f>
        <v>0</v>
      </c>
      <c r="BU125" s="36">
        <f>(AE125*BP125)/2</f>
        <v>0</v>
      </c>
      <c r="BV125" s="36">
        <f>(AE125*BQ125)/2</f>
        <v>0</v>
      </c>
      <c r="BW125" s="36">
        <f>(AE125*BR125)/2</f>
        <v>0</v>
      </c>
      <c r="BX125" s="39"/>
      <c r="BY125" s="14">
        <f>SUM(AE125*4, AC125*2, R125*2)/6-0.67</f>
        <v>3.2823809523809526</v>
      </c>
      <c r="BZ125" s="42">
        <f>SUM(AVERAGE(U125, (AVERAGE(BO125, BP125)/4000))*4, R125*4, S125*2)/7.5-0.67</f>
        <v>5.2052380952380952</v>
      </c>
      <c r="CA125" s="47">
        <f>SUM(W125*3, AVERAGE(BO125, BP125, BQ125, BR125)/3000)/3</f>
        <v>8.5428571428571427</v>
      </c>
      <c r="CB125" s="48">
        <f>IF(V125&lt;6, V125*Q125/2000, IF(V125&lt;7, V125*(AVERAGE(BJ125, BK125, BL125, BM125)/2000), V125*(AVERAGE(BJ125, BK125, BL125, BM125)/2000)*(Q125/2000)))/((10-S125+2)/4)</f>
        <v>0</v>
      </c>
      <c r="CC125" s="41">
        <f>SUM(AF125*4, AI125*2/(AH125+1), AG125*4)/7.5</f>
        <v>0</v>
      </c>
      <c r="CD125" s="14">
        <f>SUM(AI125*3, AJ125*2, AK125*2, AL125*2, AF125*3)/8</f>
        <v>0</v>
      </c>
      <c r="CE125" s="14">
        <f>SUM(U125*2, BA125*1, AN125*3)/4.5</f>
        <v>2.2222222222222223</v>
      </c>
      <c r="CF125" s="39"/>
    </row>
    <row r="126" spans="2:84" s="35" customFormat="1">
      <c r="B126" s="29">
        <v>18</v>
      </c>
      <c r="C126" s="37" t="s">
        <v>53</v>
      </c>
      <c r="D126" s="54">
        <v>4</v>
      </c>
      <c r="E126" s="54">
        <v>2480</v>
      </c>
      <c r="F126" s="54">
        <v>2.5</v>
      </c>
      <c r="G126" s="54">
        <v>1</v>
      </c>
      <c r="H126" s="54">
        <v>1</v>
      </c>
      <c r="I126" s="54">
        <v>0.5</v>
      </c>
      <c r="J126" s="54">
        <v>0</v>
      </c>
      <c r="K126" s="54">
        <v>0</v>
      </c>
      <c r="L126" s="54">
        <v>0</v>
      </c>
      <c r="M126" s="54">
        <v>0</v>
      </c>
      <c r="N126" s="54">
        <v>0</v>
      </c>
      <c r="O126" s="54">
        <v>0</v>
      </c>
      <c r="P126" s="54">
        <v>0</v>
      </c>
      <c r="Q126" s="56">
        <v>0</v>
      </c>
      <c r="R126" s="32">
        <f>10000/1400</f>
        <v>7.1428571428571432</v>
      </c>
      <c r="S126" s="33">
        <v>3</v>
      </c>
      <c r="T126" s="34">
        <v>0</v>
      </c>
      <c r="U126" s="34">
        <v>9</v>
      </c>
      <c r="V126" s="34">
        <v>6</v>
      </c>
      <c r="W126" s="34">
        <v>0</v>
      </c>
      <c r="X126" s="34">
        <v>4</v>
      </c>
      <c r="Y126" s="34">
        <v>0</v>
      </c>
      <c r="Z126" s="34">
        <v>3</v>
      </c>
      <c r="AA126" s="34">
        <v>0</v>
      </c>
      <c r="AB126" s="34">
        <v>0</v>
      </c>
      <c r="AC126" s="38">
        <v>6</v>
      </c>
      <c r="AD126" s="38">
        <v>0</v>
      </c>
      <c r="AE126" s="27">
        <f>(BA126/5+1)*AD126</f>
        <v>0</v>
      </c>
      <c r="AF126" s="38">
        <v>0</v>
      </c>
      <c r="AG126" s="38">
        <v>0</v>
      </c>
      <c r="AH126" s="38">
        <v>0</v>
      </c>
      <c r="AI126" s="38">
        <v>0</v>
      </c>
      <c r="AJ126" s="38">
        <v>0</v>
      </c>
      <c r="AK126" s="38">
        <v>0</v>
      </c>
      <c r="AL126" s="38">
        <v>0</v>
      </c>
      <c r="AM126" s="38">
        <v>0</v>
      </c>
      <c r="AN126" s="38">
        <v>2</v>
      </c>
      <c r="AO126" s="44">
        <v>0</v>
      </c>
      <c r="AP126" s="44">
        <v>0</v>
      </c>
      <c r="AQ126" s="51">
        <v>0</v>
      </c>
      <c r="AR126" s="44">
        <v>0</v>
      </c>
      <c r="AS126" s="44">
        <v>0</v>
      </c>
      <c r="AT126" s="44">
        <v>0</v>
      </c>
      <c r="AU126" s="44">
        <v>0</v>
      </c>
      <c r="AV126" s="44">
        <v>0</v>
      </c>
      <c r="AW126" s="50">
        <v>0</v>
      </c>
      <c r="AX126" s="44">
        <v>0</v>
      </c>
      <c r="AY126" s="44">
        <v>0</v>
      </c>
      <c r="AZ126" s="51">
        <v>0</v>
      </c>
      <c r="BA126" s="52">
        <v>1</v>
      </c>
      <c r="BB126" s="44">
        <v>0</v>
      </c>
      <c r="BC126" s="44">
        <v>3</v>
      </c>
      <c r="BD126" s="51">
        <v>7</v>
      </c>
      <c r="BE126" s="44">
        <v>0</v>
      </c>
      <c r="BF126" s="46">
        <f>(G126*F126*E126)+M126</f>
        <v>6200</v>
      </c>
      <c r="BG126" s="36">
        <f>(G126*F126*E126)+N126</f>
        <v>6200</v>
      </c>
      <c r="BH126" s="36">
        <f>(G126*F126*E126)+O126</f>
        <v>6200</v>
      </c>
      <c r="BI126" s="36">
        <f>(G126*F126*E126)+P126</f>
        <v>6200</v>
      </c>
      <c r="BJ126" s="36">
        <f>((H126*F126*E126)+(((F126*H126+L126)/D126)*M126))/(1.25-((H126-G126)/4))</f>
        <v>4960</v>
      </c>
      <c r="BK126" s="36">
        <f>((I126*F126*E126)+(((F126*I126+L126)/D126)*(N126-Q126)))/(1.25-((I126-G126)/4))</f>
        <v>2254.5454545454545</v>
      </c>
      <c r="BL126" s="36">
        <f>((J126*F126*E126)+(((F126*J126+L126)/D126)*(O126-Q126)))/(1.25-((J126-G126)/4))</f>
        <v>0</v>
      </c>
      <c r="BM126" s="36">
        <f>((K126*F126*E126)+(((F126*K126+L126)/D126)*(P126-Q126)))/(1.25-((K126-G126)/4))</f>
        <v>0</v>
      </c>
      <c r="BN126" s="39"/>
      <c r="BO126" s="36">
        <f>((BJ126/2)*R126)/2</f>
        <v>8857.1428571428569</v>
      </c>
      <c r="BP126" s="36">
        <f>((BK126)*(R126/2))/2</f>
        <v>4025.9740259740261</v>
      </c>
      <c r="BQ126" s="36">
        <f>((BL126*1.5)*(R126/3))/2</f>
        <v>0</v>
      </c>
      <c r="BR126" s="36">
        <f>((BM126*2)*(S126/4))/2</f>
        <v>0</v>
      </c>
      <c r="BS126" s="39"/>
      <c r="BT126" s="36">
        <f>(AE126*BO126)/2</f>
        <v>0</v>
      </c>
      <c r="BU126" s="36">
        <f>(AE126*BP126)/2</f>
        <v>0</v>
      </c>
      <c r="BV126" s="36">
        <f>(AE126*BQ126)/2</f>
        <v>0</v>
      </c>
      <c r="BW126" s="36">
        <f>(AE126*BR126)/2</f>
        <v>0</v>
      </c>
      <c r="BX126" s="39"/>
      <c r="BY126" s="14">
        <f>SUM(AE126*4, AC126*2, R126*2)/6-0.67</f>
        <v>3.7109523809523806</v>
      </c>
      <c r="BZ126" s="42">
        <f>SUM(AVERAGE(U126, (AVERAGE(BO126, BP126)/4000))*4, R126*4, S126*2)/7.5-0.67</f>
        <v>6.7689610389610388</v>
      </c>
      <c r="CA126" s="47">
        <f>SUM(W126*3, AVERAGE(BO126, BP126, BQ126, BR126)/3000)/3</f>
        <v>0.35786435786435788</v>
      </c>
      <c r="CB126" s="48">
        <f>IF(V126&lt;6, V126*Q126/2000, IF(V126&lt;7, V126*(AVERAGE(BJ126, BK126, BL126, BM126)/2000), V126*(AVERAGE(BJ126, BK126, BL126, BM126)/2000)*(Q126/2000)))/((10-S126+2)/4)</f>
        <v>2.4048484848484843</v>
      </c>
      <c r="CC126" s="41">
        <f>SUM(AF126*4, AI126*2/(AH126+1), AG126*4)/7.5</f>
        <v>0</v>
      </c>
      <c r="CD126" s="14">
        <f>SUM(AI126*3, AJ126*2, AK126*2, AL126*2, AF126*3)/8</f>
        <v>0</v>
      </c>
      <c r="CE126" s="14">
        <f>SUM(U126*2, BA126*1, AN126*3)/4.5</f>
        <v>5.5555555555555554</v>
      </c>
      <c r="CF126" s="39"/>
    </row>
    <row r="127" spans="2:84" s="35" customFormat="1">
      <c r="B127" s="29">
        <v>16</v>
      </c>
      <c r="C127" s="37" t="s">
        <v>84</v>
      </c>
      <c r="D127" s="54">
        <v>5</v>
      </c>
      <c r="E127" s="54">
        <v>1960</v>
      </c>
      <c r="F127" s="54">
        <v>2.15</v>
      </c>
      <c r="G127" s="54">
        <v>1</v>
      </c>
      <c r="H127" s="54">
        <v>1</v>
      </c>
      <c r="I127" s="54">
        <v>1</v>
      </c>
      <c r="J127" s="54">
        <v>0.5</v>
      </c>
      <c r="K127" s="54">
        <v>0</v>
      </c>
      <c r="L127" s="54">
        <v>2.5</v>
      </c>
      <c r="M127" s="54">
        <v>2400</v>
      </c>
      <c r="N127" s="54">
        <v>4800</v>
      </c>
      <c r="O127" s="54">
        <v>9600</v>
      </c>
      <c r="P127" s="54">
        <v>9600</v>
      </c>
      <c r="Q127" s="54">
        <v>4800</v>
      </c>
      <c r="R127" s="32">
        <f>7000/1400</f>
        <v>5</v>
      </c>
      <c r="S127" s="33">
        <v>6</v>
      </c>
      <c r="T127" s="34">
        <v>0</v>
      </c>
      <c r="U127" s="34">
        <v>1</v>
      </c>
      <c r="V127" s="34">
        <v>2</v>
      </c>
      <c r="W127" s="34">
        <f>(3 + 2 + 3 + 9)/4</f>
        <v>4.25</v>
      </c>
      <c r="X127" s="34">
        <v>0</v>
      </c>
      <c r="Y127" s="34">
        <v>0</v>
      </c>
      <c r="Z127" s="34">
        <v>6</v>
      </c>
      <c r="AA127" s="34">
        <v>0</v>
      </c>
      <c r="AB127" s="34">
        <v>0</v>
      </c>
      <c r="AC127" s="38">
        <v>5</v>
      </c>
      <c r="AD127" s="38">
        <v>0</v>
      </c>
      <c r="AE127" s="27">
        <f>(BA127/5+1)*AD127</f>
        <v>0</v>
      </c>
      <c r="AF127" s="38">
        <v>4</v>
      </c>
      <c r="AG127" s="38">
        <v>1</v>
      </c>
      <c r="AH127" s="38">
        <v>0</v>
      </c>
      <c r="AI127" s="38">
        <v>6</v>
      </c>
      <c r="AJ127" s="38">
        <v>7</v>
      </c>
      <c r="AK127" s="38">
        <v>10</v>
      </c>
      <c r="AL127" s="38">
        <v>0</v>
      </c>
      <c r="AM127" s="38">
        <v>2.5</v>
      </c>
      <c r="AN127" s="38">
        <v>9</v>
      </c>
      <c r="AO127" s="44">
        <v>0</v>
      </c>
      <c r="AP127" s="44">
        <v>0</v>
      </c>
      <c r="AQ127" s="51">
        <v>0</v>
      </c>
      <c r="AR127" s="44">
        <v>0</v>
      </c>
      <c r="AS127" s="44">
        <v>0</v>
      </c>
      <c r="AT127" s="44">
        <v>0</v>
      </c>
      <c r="AU127" s="44">
        <v>0</v>
      </c>
      <c r="AV127" s="44">
        <v>0</v>
      </c>
      <c r="AW127" s="50">
        <v>0</v>
      </c>
      <c r="AX127" s="44">
        <v>0</v>
      </c>
      <c r="AY127" s="44">
        <v>0</v>
      </c>
      <c r="AZ127" s="51">
        <v>0</v>
      </c>
      <c r="BA127" s="52">
        <v>0</v>
      </c>
      <c r="BB127" s="44">
        <v>0</v>
      </c>
      <c r="BC127" s="44">
        <v>0</v>
      </c>
      <c r="BD127" s="51">
        <v>7</v>
      </c>
      <c r="BE127" s="44">
        <v>0</v>
      </c>
      <c r="BF127" s="46">
        <f>(G127*F127*E127)+M127</f>
        <v>6614</v>
      </c>
      <c r="BG127" s="36">
        <f>(G127*F127*E127)+N127</f>
        <v>9014</v>
      </c>
      <c r="BH127" s="36">
        <f>(G127*F127*E127)+O127</f>
        <v>13814</v>
      </c>
      <c r="BI127" s="36">
        <f>(G127*F127*E127)+P127</f>
        <v>13814</v>
      </c>
      <c r="BJ127" s="36">
        <f>((H127*F127*E127)+(((F127*H127+L127)/D127)*M127))/(1.25-((H127-G127)/4))</f>
        <v>5156.8</v>
      </c>
      <c r="BK127" s="36">
        <f>((I127*F127*E127)+(((F127*I127+L127)/D127)*(N127-Q127)))/(1.25-((I127-G127)/4))</f>
        <v>3371.2</v>
      </c>
      <c r="BL127" s="36">
        <f>((J127*F127*E127)+(((F127*J127+L127)/D127)*(O127-Q127)))/(1.25-((J127-G127)/4))</f>
        <v>4028.3636363636365</v>
      </c>
      <c r="BM127" s="36">
        <f>((K127*F127*E127)+(((F127*K127+L127)/D127)*(P127-Q127)))/(1.25-((K127-G127)/4))</f>
        <v>1600</v>
      </c>
      <c r="BN127" s="39"/>
      <c r="BO127" s="36">
        <f>((BJ127/2)*R127)/2</f>
        <v>6446</v>
      </c>
      <c r="BP127" s="36">
        <f>((BK127)*(R127/2))/2</f>
        <v>4214</v>
      </c>
      <c r="BQ127" s="36">
        <f>((BL127*1.5)*(R127/3))/2</f>
        <v>5035.454545454546</v>
      </c>
      <c r="BR127" s="36">
        <f>((BM127*2)*(S127/4))/2</f>
        <v>2400</v>
      </c>
      <c r="BS127" s="39"/>
      <c r="BT127" s="36">
        <f>(AE127*BO127)/2</f>
        <v>0</v>
      </c>
      <c r="BU127" s="36">
        <f>(AE127*BP127)/2</f>
        <v>0</v>
      </c>
      <c r="BV127" s="36">
        <f>(AE127*BQ127)/2</f>
        <v>0</v>
      </c>
      <c r="BW127" s="36">
        <f>(AE127*BR127)/2</f>
        <v>0</v>
      </c>
      <c r="BX127" s="39"/>
      <c r="BY127" s="14">
        <f>SUM(AE127*4, AC127*2, R127*2)/6-0.67</f>
        <v>2.6633333333333336</v>
      </c>
      <c r="BZ127" s="42">
        <f>SUM(AVERAGE(U127, (AVERAGE(BO127, BP127)/4000))*4, R127*4, S127*2)/7.5-0.67</f>
        <v>4.2186666666666666</v>
      </c>
      <c r="CA127" s="47">
        <f>SUM(W127*3, AVERAGE(BO127, BP127, BQ127, BR127)/3000)/3</f>
        <v>4.7526515151515154</v>
      </c>
      <c r="CB127" s="48">
        <f>IF(V127&lt;6, V127*Q127/2000, IF(V127&lt;7, V127*(AVERAGE(BJ127, BK127, BL127, BM127)/2000), V127*(AVERAGE(BJ127, BK127, BL127, BM127)/2000)*(Q127/2000)))/((10-S127+2)/4)</f>
        <v>3.1999999999999997</v>
      </c>
      <c r="CC127" s="41">
        <f>SUM(AF127*4, AI127*2/(AH127+1), AG127*4)/7.5</f>
        <v>4.2666666666666666</v>
      </c>
      <c r="CD127" s="14">
        <f>SUM(AI127*3, AJ127*2, AK127*2, AL127*2, AF127*3)/8</f>
        <v>8</v>
      </c>
      <c r="CE127" s="14">
        <f>SUM(U127*2, BA127*1, AN127*3)/4.5</f>
        <v>6.4444444444444446</v>
      </c>
      <c r="CF127" s="39"/>
    </row>
    <row r="128" spans="2:84" s="35" customFormat="1">
      <c r="B128" s="29">
        <v>49</v>
      </c>
      <c r="C128" s="30" t="s">
        <v>77</v>
      </c>
      <c r="D128" s="54">
        <v>5</v>
      </c>
      <c r="E128" s="54">
        <v>2000</v>
      </c>
      <c r="F128" s="54">
        <v>1.65</v>
      </c>
      <c r="G128" s="54">
        <v>1</v>
      </c>
      <c r="H128" s="54">
        <v>1</v>
      </c>
      <c r="I128" s="54">
        <v>1</v>
      </c>
      <c r="J128" s="54">
        <v>0.5</v>
      </c>
      <c r="K128" s="54">
        <v>0</v>
      </c>
      <c r="L128" s="54">
        <v>1</v>
      </c>
      <c r="M128" s="54">
        <v>1800</v>
      </c>
      <c r="N128" s="54">
        <v>1800</v>
      </c>
      <c r="O128" s="54">
        <v>1800</v>
      </c>
      <c r="P128" s="54">
        <v>1800</v>
      </c>
      <c r="Q128" s="54">
        <v>1800</v>
      </c>
      <c r="R128" s="32">
        <f>8000/1400</f>
        <v>5.7142857142857144</v>
      </c>
      <c r="S128" s="33">
        <v>1</v>
      </c>
      <c r="T128" s="34">
        <f>(9 + 3 + 6)/3</f>
        <v>6</v>
      </c>
      <c r="U128" s="34">
        <v>1</v>
      </c>
      <c r="V128" s="34">
        <v>3</v>
      </c>
      <c r="W128" s="34">
        <v>0</v>
      </c>
      <c r="X128" s="34">
        <v>0</v>
      </c>
      <c r="Y128" s="34">
        <v>0</v>
      </c>
      <c r="Z128" s="34">
        <v>0</v>
      </c>
      <c r="AA128" s="34">
        <v>0</v>
      </c>
      <c r="AB128" s="34">
        <v>0</v>
      </c>
      <c r="AC128" s="31">
        <v>9</v>
      </c>
      <c r="AD128" s="31">
        <v>6</v>
      </c>
      <c r="AE128" s="27">
        <f>(BA128/5+1)*AD128</f>
        <v>6</v>
      </c>
      <c r="AF128" s="31">
        <v>0</v>
      </c>
      <c r="AG128" s="31">
        <v>0</v>
      </c>
      <c r="AH128" s="31">
        <v>0</v>
      </c>
      <c r="AI128" s="31">
        <v>0</v>
      </c>
      <c r="AJ128" s="31">
        <v>0</v>
      </c>
      <c r="AK128" s="31">
        <v>0</v>
      </c>
      <c r="AL128" s="31">
        <v>0</v>
      </c>
      <c r="AM128" s="31">
        <v>0</v>
      </c>
      <c r="AN128" s="31">
        <v>7</v>
      </c>
      <c r="AO128" s="44">
        <v>0</v>
      </c>
      <c r="AP128" s="44">
        <v>0</v>
      </c>
      <c r="AQ128" s="51">
        <v>0</v>
      </c>
      <c r="AR128" s="44">
        <v>0</v>
      </c>
      <c r="AS128" s="44">
        <v>0</v>
      </c>
      <c r="AT128" s="44">
        <v>0</v>
      </c>
      <c r="AU128" s="44">
        <v>0</v>
      </c>
      <c r="AV128" s="44">
        <v>0</v>
      </c>
      <c r="AW128" s="50">
        <v>0</v>
      </c>
      <c r="AX128" s="44">
        <v>0</v>
      </c>
      <c r="AY128" s="44">
        <v>0</v>
      </c>
      <c r="AZ128" s="51">
        <v>0</v>
      </c>
      <c r="BA128" s="51">
        <v>0</v>
      </c>
      <c r="BB128" s="44">
        <v>0</v>
      </c>
      <c r="BC128" s="44">
        <v>0</v>
      </c>
      <c r="BD128" s="51">
        <v>6</v>
      </c>
      <c r="BE128" s="44">
        <v>0</v>
      </c>
      <c r="BF128" s="46">
        <f>(G128*F128*E128)+M128</f>
        <v>5100</v>
      </c>
      <c r="BG128" s="36">
        <f>(G128*F128*E128)+N128</f>
        <v>5100</v>
      </c>
      <c r="BH128" s="36">
        <f>(G128*F128*E128)+O128</f>
        <v>5100</v>
      </c>
      <c r="BI128" s="36">
        <f>(G128*F128*E128)+P128</f>
        <v>5100</v>
      </c>
      <c r="BJ128" s="36">
        <f>((H128*F128*E128)+(((F128*H128+L128)/D128)*M128))/(1.25-((H128-G128)/4))</f>
        <v>3403.2</v>
      </c>
      <c r="BK128" s="36">
        <f>((I128*F128*E128)+(((F128*I128+L128)/D128)*(N128-Q128)))/(1.25-((I128-G128)/4))</f>
        <v>2640</v>
      </c>
      <c r="BL128" s="36">
        <f>((J128*F128*E128)+(((F128*J128+L128)/D128)*(O128-Q128)))/(1.25-((J128-G128)/4))</f>
        <v>1200</v>
      </c>
      <c r="BM128" s="36">
        <f>((K128*F128*E128)+(((F128*K128+L128)/D128)*(P128-Q128)))/(1.25-((K128-G128)/4))</f>
        <v>0</v>
      </c>
      <c r="BN128" s="39"/>
      <c r="BO128" s="36">
        <f>((BJ128/2)*R128)/2</f>
        <v>4861.7142857142853</v>
      </c>
      <c r="BP128" s="36">
        <f>((BK128)*(R128/2))/2</f>
        <v>3771.4285714285716</v>
      </c>
      <c r="BQ128" s="36">
        <f>((BL128*1.5)*(R128/3))/2</f>
        <v>1714.2857142857144</v>
      </c>
      <c r="BR128" s="36">
        <f>((BM128*2)*(S128/4))/2</f>
        <v>0</v>
      </c>
      <c r="BS128" s="39"/>
      <c r="BT128" s="36">
        <f>(AE128*BO128)/2</f>
        <v>14585.142857142855</v>
      </c>
      <c r="BU128" s="36">
        <f>(AE128*BP128)/2</f>
        <v>11314.285714285714</v>
      </c>
      <c r="BV128" s="36">
        <f>(AE128*BQ128)/2</f>
        <v>5142.8571428571431</v>
      </c>
      <c r="BW128" s="36">
        <f>(AE128*BR128)/2</f>
        <v>0</v>
      </c>
      <c r="BX128" s="39"/>
      <c r="BY128" s="14">
        <f>SUM(AE128*4, AC128*2, R128*2)/6-0.67</f>
        <v>8.2347619047619052</v>
      </c>
      <c r="BZ128" s="42">
        <f>SUM(AVERAGE(U128, (AVERAGE(BO128, BP128)/4000))*4, R128*4, S128*2)/7.5-0.67</f>
        <v>3.1987238095238095</v>
      </c>
      <c r="CA128" s="47">
        <f>SUM(W128*3, AVERAGE(BO128, BP128, BQ128, BR128)/3000)/3</f>
        <v>0.28742857142857142</v>
      </c>
      <c r="CB128" s="48">
        <f>IF(V128&lt;6, V128*Q128/2000, IF(V128&lt;7, V128*(AVERAGE(BJ128, BK128, BL128, BM128)/2000), V128*(AVERAGE(BJ128, BK128, BL128, BM128)/2000)*(Q128/2000)))/((10-S128+2)/4)</f>
        <v>0.98181818181818192</v>
      </c>
      <c r="CC128" s="41">
        <f>SUM(AF128*4, AI128*2/(AH128+1), AG128*4)/7.5</f>
        <v>0</v>
      </c>
      <c r="CD128" s="14">
        <f>SUM(AI128*3, AJ128*2, AK128*2, AL128*2, AF128*3)/8</f>
        <v>0</v>
      </c>
      <c r="CE128" s="14">
        <f>SUM(U128*2, BA128*1, AN128*3)/4.5</f>
        <v>5.1111111111111107</v>
      </c>
      <c r="CF128" s="39"/>
    </row>
    <row r="129" spans="2:84" s="35" customFormat="1">
      <c r="B129" s="29">
        <v>12</v>
      </c>
      <c r="C129" s="37" t="s">
        <v>101</v>
      </c>
      <c r="D129" s="54">
        <v>6</v>
      </c>
      <c r="E129" s="54">
        <v>1360</v>
      </c>
      <c r="F129" s="54">
        <v>1.65</v>
      </c>
      <c r="G129" s="54">
        <v>2</v>
      </c>
      <c r="H129" s="54">
        <v>1</v>
      </c>
      <c r="I129" s="54">
        <v>2</v>
      </c>
      <c r="J129" s="54">
        <v>1</v>
      </c>
      <c r="K129" s="54">
        <v>1</v>
      </c>
      <c r="L129" s="54">
        <v>2</v>
      </c>
      <c r="M129" s="54">
        <v>4000</v>
      </c>
      <c r="N129" s="54">
        <v>3000</v>
      </c>
      <c r="O129" s="54">
        <v>2000</v>
      </c>
      <c r="P129" s="54">
        <v>1000</v>
      </c>
      <c r="Q129" s="56">
        <v>2000</v>
      </c>
      <c r="R129" s="32">
        <f>4800/1400</f>
        <v>3.4285714285714284</v>
      </c>
      <c r="S129" s="33">
        <v>7</v>
      </c>
      <c r="T129" s="34">
        <v>0</v>
      </c>
      <c r="U129" s="34">
        <v>1</v>
      </c>
      <c r="V129" s="34">
        <v>7</v>
      </c>
      <c r="W129" s="34">
        <f>(6 + 2 + 3 + 8)/4</f>
        <v>4.75</v>
      </c>
      <c r="X129" s="34">
        <v>1</v>
      </c>
      <c r="Y129" s="34">
        <v>0</v>
      </c>
      <c r="Z129" s="34">
        <v>6</v>
      </c>
      <c r="AA129" s="34">
        <v>0</v>
      </c>
      <c r="AB129" s="34">
        <v>0</v>
      </c>
      <c r="AC129" s="38">
        <v>5</v>
      </c>
      <c r="AD129" s="38">
        <v>0</v>
      </c>
      <c r="AE129" s="27">
        <f>(BA129/5+1)*AD129</f>
        <v>0</v>
      </c>
      <c r="AF129" s="38">
        <v>4</v>
      </c>
      <c r="AG129" s="38">
        <v>1</v>
      </c>
      <c r="AH129" s="38">
        <v>0</v>
      </c>
      <c r="AI129" s="38">
        <v>2</v>
      </c>
      <c r="AJ129" s="38">
        <v>6</v>
      </c>
      <c r="AK129" s="38">
        <v>1</v>
      </c>
      <c r="AL129" s="38">
        <v>10</v>
      </c>
      <c r="AM129" s="38">
        <v>5</v>
      </c>
      <c r="AN129" s="38">
        <v>1</v>
      </c>
      <c r="AO129" s="44">
        <v>0</v>
      </c>
      <c r="AP129" s="44">
        <v>0</v>
      </c>
      <c r="AQ129" s="51">
        <v>0</v>
      </c>
      <c r="AR129" s="44">
        <v>0</v>
      </c>
      <c r="AS129" s="44">
        <v>0</v>
      </c>
      <c r="AT129" s="44">
        <v>0</v>
      </c>
      <c r="AU129" s="44">
        <v>0</v>
      </c>
      <c r="AV129" s="44">
        <v>0</v>
      </c>
      <c r="AW129" s="50">
        <v>0</v>
      </c>
      <c r="AX129" s="44">
        <v>0</v>
      </c>
      <c r="AY129" s="44">
        <v>0</v>
      </c>
      <c r="AZ129" s="51">
        <v>0</v>
      </c>
      <c r="BA129" s="52">
        <v>0</v>
      </c>
      <c r="BB129" s="44">
        <v>0</v>
      </c>
      <c r="BC129" s="44">
        <v>0.5</v>
      </c>
      <c r="BD129" s="51">
        <v>7</v>
      </c>
      <c r="BE129" s="44">
        <v>0</v>
      </c>
      <c r="BF129" s="46">
        <f>(G129*F129*E129)+M129</f>
        <v>8488</v>
      </c>
      <c r="BG129" s="36">
        <f>(G129*F129*E129)+N129</f>
        <v>7488</v>
      </c>
      <c r="BH129" s="36">
        <f>(G129*F129*E129)+O129</f>
        <v>6488</v>
      </c>
      <c r="BI129" s="36">
        <f>(G129*F129*E129)+P129</f>
        <v>5488</v>
      </c>
      <c r="BJ129" s="36">
        <f>((H129*F129*E129)+(((F129*H129+L129)/D129)*M129))/(1.25-((H129-G129)/4))</f>
        <v>3118.2222222222222</v>
      </c>
      <c r="BK129" s="36">
        <f>((I129*F129*E129)+(((F129*I129+L129)/D129)*(N129-Q129)))/(1.25-((I129-G129)/4))</f>
        <v>4297.0666666666666</v>
      </c>
      <c r="BL129" s="36">
        <f>((J129*F129*E129)+(((F129*J129+L129)/D129)*(O129-Q129)))/(1.25-((J129-G129)/4))</f>
        <v>1496</v>
      </c>
      <c r="BM129" s="36">
        <f>((K129*F129*E129)+(((F129*K129+L129)/D129)*(P129-Q129)))/(1.25-((K129-G129)/4))</f>
        <v>1090.4444444444446</v>
      </c>
      <c r="BN129" s="39"/>
      <c r="BO129" s="36">
        <f>((BJ129/2)*R129)/2</f>
        <v>2672.7619047619046</v>
      </c>
      <c r="BP129" s="36">
        <f>((BK129)*(R129/2))/2</f>
        <v>3683.2</v>
      </c>
      <c r="BQ129" s="36">
        <f>((BL129*1.5)*(R129/3))/2</f>
        <v>1282.2857142857142</v>
      </c>
      <c r="BR129" s="36">
        <f>((BM129*2)*(S129/4))/2</f>
        <v>1908.2777777777781</v>
      </c>
      <c r="BS129" s="39"/>
      <c r="BT129" s="36">
        <f>(AE129*BO129)/2</f>
        <v>0</v>
      </c>
      <c r="BU129" s="36">
        <f>(AE129*BP129)/2</f>
        <v>0</v>
      </c>
      <c r="BV129" s="36">
        <f>(AE129*BQ129)/2</f>
        <v>0</v>
      </c>
      <c r="BW129" s="36">
        <f>(AE129*BR129)/2</f>
        <v>0</v>
      </c>
      <c r="BX129" s="39"/>
      <c r="BY129" s="14">
        <f>SUM(AE129*4, AC129*2, R129*2)/6-0.67</f>
        <v>2.1395238095238098</v>
      </c>
      <c r="BZ129" s="42">
        <f>SUM(AVERAGE(U129, (AVERAGE(BO129, BP129)/4000))*4, R129*4, S129*2)/7.5-0.67</f>
        <v>3.5037701587301591</v>
      </c>
      <c r="CA129" s="47">
        <f>SUM(W129*3, AVERAGE(BO129, BP129, BQ129, BR129)/3000)/3</f>
        <v>5.0151812610229278</v>
      </c>
      <c r="CB129" s="48">
        <f>IF(V129&lt;6, V129*Q129/2000, IF(V129&lt;7, V129*(AVERAGE(BJ129, BK129, BL129, BM129)/2000), V129*(AVERAGE(BJ129, BK129, BL129, BM129)/2000)*(Q129/2000)))/((10-S129+2)/4)</f>
        <v>7.0012133333333342</v>
      </c>
      <c r="CC129" s="41">
        <f>SUM(AF129*4, AI129*2/(AH129+1), AG129*4)/7.5</f>
        <v>3.2</v>
      </c>
      <c r="CD129" s="14">
        <f>SUM(AI129*3, AJ129*2, AK129*2, AL129*2, AF129*3)/8</f>
        <v>6.5</v>
      </c>
      <c r="CE129" s="14">
        <f>SUM(U129*2, BA129*1, AN129*3)/4.5</f>
        <v>1.1111111111111112</v>
      </c>
      <c r="CF129" s="39"/>
    </row>
    <row r="130" spans="2:84" s="35" customFormat="1">
      <c r="B130" s="29">
        <v>76</v>
      </c>
      <c r="C130" s="30" t="s">
        <v>57</v>
      </c>
      <c r="D130" s="54">
        <v>7</v>
      </c>
      <c r="E130" s="54">
        <v>1800</v>
      </c>
      <c r="F130" s="54">
        <v>2.5</v>
      </c>
      <c r="G130" s="54">
        <v>1</v>
      </c>
      <c r="H130" s="54">
        <v>1</v>
      </c>
      <c r="I130" s="54">
        <v>1</v>
      </c>
      <c r="J130" s="54">
        <v>0.5</v>
      </c>
      <c r="K130" s="54">
        <v>0.5</v>
      </c>
      <c r="L130" s="54">
        <v>2.5</v>
      </c>
      <c r="M130" s="54">
        <v>4800</v>
      </c>
      <c r="N130" s="54">
        <v>9600</v>
      </c>
      <c r="O130" s="54">
        <v>800</v>
      </c>
      <c r="P130" s="54">
        <v>0</v>
      </c>
      <c r="Q130" s="55">
        <v>3200</v>
      </c>
      <c r="R130" s="32">
        <f>6200/1400</f>
        <v>4.4285714285714288</v>
      </c>
      <c r="S130" s="33">
        <v>7</v>
      </c>
      <c r="T130" s="34">
        <v>0</v>
      </c>
      <c r="U130" s="34">
        <v>1</v>
      </c>
      <c r="V130" s="34">
        <v>1</v>
      </c>
      <c r="W130" s="34">
        <v>0</v>
      </c>
      <c r="X130" s="34">
        <v>0</v>
      </c>
      <c r="Y130" s="34">
        <v>1</v>
      </c>
      <c r="Z130" s="34">
        <v>7</v>
      </c>
      <c r="AA130" s="34">
        <v>0</v>
      </c>
      <c r="AB130" s="34">
        <v>0</v>
      </c>
      <c r="AC130" s="31">
        <v>5</v>
      </c>
      <c r="AD130" s="31">
        <v>0</v>
      </c>
      <c r="AE130" s="27">
        <f>(BA130/5+1)*AD130</f>
        <v>0</v>
      </c>
      <c r="AF130" s="31">
        <v>4</v>
      </c>
      <c r="AG130" s="31">
        <v>1</v>
      </c>
      <c r="AH130" s="31">
        <v>0</v>
      </c>
      <c r="AI130" s="31">
        <v>7</v>
      </c>
      <c r="AJ130" s="31">
        <v>4</v>
      </c>
      <c r="AK130" s="31">
        <v>4</v>
      </c>
      <c r="AL130" s="31">
        <v>4</v>
      </c>
      <c r="AM130" s="31">
        <v>7.5</v>
      </c>
      <c r="AN130" s="31">
        <v>0</v>
      </c>
      <c r="AO130" s="44">
        <v>0</v>
      </c>
      <c r="AP130" s="44">
        <v>0</v>
      </c>
      <c r="AQ130" s="51">
        <v>0</v>
      </c>
      <c r="AR130" s="44">
        <v>0</v>
      </c>
      <c r="AS130" s="44">
        <v>0</v>
      </c>
      <c r="AT130" s="44">
        <v>0</v>
      </c>
      <c r="AU130" s="44">
        <v>0</v>
      </c>
      <c r="AV130" s="44">
        <v>0</v>
      </c>
      <c r="AW130" s="50">
        <v>0</v>
      </c>
      <c r="AX130" s="44">
        <v>0</v>
      </c>
      <c r="AY130" s="44">
        <f>(5 + 6 + 8)/3</f>
        <v>6.333333333333333</v>
      </c>
      <c r="AZ130" s="51">
        <v>0</v>
      </c>
      <c r="BA130" s="51">
        <v>0</v>
      </c>
      <c r="BB130" s="44">
        <v>0</v>
      </c>
      <c r="BC130" s="44">
        <v>0</v>
      </c>
      <c r="BD130" s="51">
        <v>7</v>
      </c>
      <c r="BE130" s="44">
        <v>0</v>
      </c>
      <c r="BF130" s="46">
        <f>(G130*F130*E130)+M130</f>
        <v>9300</v>
      </c>
      <c r="BG130" s="36">
        <f>(G130*F130*E130)+N130</f>
        <v>14100</v>
      </c>
      <c r="BH130" s="36">
        <f>(G130*F130*E130)+O130</f>
        <v>5300</v>
      </c>
      <c r="BI130" s="36">
        <f>(G130*F130*E130)+P130</f>
        <v>4500</v>
      </c>
      <c r="BJ130" s="36">
        <f>((H130*F130*E130)+(((F130*H130+L130)/D130)*M130))/(1.25-((H130-G130)/4))</f>
        <v>6342.8571428571431</v>
      </c>
      <c r="BK130" s="36">
        <f>((I130*F130*E130)+(((F130*I130+L130)/D130)*(N130-Q130)))/(1.25-((I130-G130)/4))</f>
        <v>7257.1428571428578</v>
      </c>
      <c r="BL130" s="36">
        <f>((J130*F130*E130)+(((F130*J130+L130)/D130)*(O130-Q130)))/(1.25-((J130-G130)/4))</f>
        <v>701.2987012987013</v>
      </c>
      <c r="BM130" s="36">
        <f>((K130*F130*E130)+(((F130*K130+L130)/D130)*(P130-Q130)))/(1.25-((K130-G130)/4))</f>
        <v>389.61038961038963</v>
      </c>
      <c r="BN130" s="39"/>
      <c r="BO130" s="36">
        <f>((BJ130/2)*R130)/2</f>
        <v>7022.4489795918371</v>
      </c>
      <c r="BP130" s="36">
        <f>((BK130)*(R130/2))/2</f>
        <v>8034.6938775510216</v>
      </c>
      <c r="BQ130" s="36">
        <f>((BL130*1.5)*(R130/3))/2</f>
        <v>776.43784786641925</v>
      </c>
      <c r="BR130" s="36">
        <f>((BM130*2)*(S130/4))/2</f>
        <v>681.81818181818187</v>
      </c>
      <c r="BS130" s="39"/>
      <c r="BT130" s="36">
        <f>(AE130*BO130)/2</f>
        <v>0</v>
      </c>
      <c r="BU130" s="36">
        <f>(AE130*BP130)/2</f>
        <v>0</v>
      </c>
      <c r="BV130" s="36">
        <f>(AE130*BQ130)/2</f>
        <v>0</v>
      </c>
      <c r="BW130" s="36">
        <f>(AE130*BR130)/2</f>
        <v>0</v>
      </c>
      <c r="BX130" s="39"/>
      <c r="BY130" s="14">
        <f>SUM(AE130*4, AC130*2, R130*2)/6-0.67</f>
        <v>2.4728571428571429</v>
      </c>
      <c r="BZ130" s="42">
        <f>SUM(AVERAGE(U130, (AVERAGE(BO130, BP130)/4000))*4, R130*4, S130*2)/7.5-0.67</f>
        <v>4.3271428571428574</v>
      </c>
      <c r="CA130" s="47">
        <f>SUM(W130*3, AVERAGE(BO130, BP130, BQ130, BR130)/3000)/3</f>
        <v>0.45876108018965156</v>
      </c>
      <c r="CB130" s="48">
        <f>IF(V130&lt;6, V130*Q130/2000, IF(V130&lt;7, V130*(AVERAGE(BJ130, BK130, BL130, BM130)/2000), V130*(AVERAGE(BJ130, BK130, BL130, BM130)/2000)*(Q130/2000)))/((10-S130+2)/4)</f>
        <v>1.28</v>
      </c>
      <c r="CC130" s="41">
        <f>SUM(AF130*4, AI130*2/(AH130+1), AG130*4)/7.5</f>
        <v>4.5333333333333332</v>
      </c>
      <c r="CD130" s="14">
        <f>SUM(AI130*3, AJ130*2, AK130*2, AL130*2, AF130*3)/8</f>
        <v>7.125</v>
      </c>
      <c r="CE130" s="14">
        <f>SUM(U130*2, BA130*1, AN130*3)/4.5</f>
        <v>0.44444444444444442</v>
      </c>
      <c r="CF130" s="39"/>
    </row>
    <row r="131" spans="2:84" s="35" customFormat="1">
      <c r="B131" s="29">
        <v>61</v>
      </c>
      <c r="C131" s="30" t="s">
        <v>40</v>
      </c>
      <c r="D131" s="54">
        <v>9</v>
      </c>
      <c r="E131" s="54">
        <v>1100</v>
      </c>
      <c r="F131" s="54">
        <v>2.5</v>
      </c>
      <c r="G131" s="54">
        <v>1.5</v>
      </c>
      <c r="H131" s="54">
        <v>3</v>
      </c>
      <c r="I131" s="54">
        <v>2.5</v>
      </c>
      <c r="J131" s="54">
        <v>1.5</v>
      </c>
      <c r="K131" s="54">
        <v>0.5</v>
      </c>
      <c r="L131" s="54">
        <v>1.5</v>
      </c>
      <c r="M131" s="54">
        <v>0</v>
      </c>
      <c r="N131" s="54">
        <v>400</v>
      </c>
      <c r="O131" s="54">
        <v>1200</v>
      </c>
      <c r="P131" s="54">
        <v>800</v>
      </c>
      <c r="Q131" s="55">
        <v>400</v>
      </c>
      <c r="R131" s="32">
        <f>6200/1400</f>
        <v>4.4285714285714288</v>
      </c>
      <c r="S131" s="33">
        <v>8</v>
      </c>
      <c r="T131" s="34">
        <v>0</v>
      </c>
      <c r="U131" s="34">
        <v>2</v>
      </c>
      <c r="V131" s="34">
        <v>1</v>
      </c>
      <c r="W131" s="34">
        <v>0</v>
      </c>
      <c r="X131" s="34">
        <v>0</v>
      </c>
      <c r="Y131" s="34">
        <v>1</v>
      </c>
      <c r="Z131" s="34">
        <v>7</v>
      </c>
      <c r="AA131" s="34">
        <v>0</v>
      </c>
      <c r="AB131" s="34">
        <v>0</v>
      </c>
      <c r="AC131" s="31">
        <v>5</v>
      </c>
      <c r="AD131" s="31">
        <v>0</v>
      </c>
      <c r="AE131" s="27">
        <f>(BA131/5+1)*AD131</f>
        <v>0</v>
      </c>
      <c r="AF131" s="31">
        <v>8</v>
      </c>
      <c r="AG131" s="31">
        <v>7</v>
      </c>
      <c r="AH131" s="31">
        <v>1</v>
      </c>
      <c r="AI131" s="31">
        <v>2</v>
      </c>
      <c r="AJ131" s="31">
        <v>2</v>
      </c>
      <c r="AK131" s="31">
        <v>1</v>
      </c>
      <c r="AL131" s="31">
        <v>8</v>
      </c>
      <c r="AM131" s="31">
        <v>7.5</v>
      </c>
      <c r="AN131" s="31">
        <v>0</v>
      </c>
      <c r="AO131" s="44">
        <v>0</v>
      </c>
      <c r="AP131" s="44">
        <v>0</v>
      </c>
      <c r="AQ131" s="51">
        <v>0</v>
      </c>
      <c r="AR131" s="44">
        <v>0</v>
      </c>
      <c r="AS131" s="44">
        <v>0</v>
      </c>
      <c r="AT131" s="44">
        <v>0</v>
      </c>
      <c r="AU131" s="44">
        <v>0</v>
      </c>
      <c r="AV131" s="44">
        <v>0</v>
      </c>
      <c r="AW131" s="50">
        <v>0</v>
      </c>
      <c r="AX131" s="44">
        <v>0</v>
      </c>
      <c r="AY131" s="44">
        <v>0</v>
      </c>
      <c r="AZ131" s="51">
        <v>0</v>
      </c>
      <c r="BA131" s="51">
        <v>0</v>
      </c>
      <c r="BB131" s="44">
        <v>0</v>
      </c>
      <c r="BC131" s="44">
        <v>0</v>
      </c>
      <c r="BD131" s="51">
        <v>6</v>
      </c>
      <c r="BE131" s="44">
        <v>0</v>
      </c>
      <c r="BF131" s="46">
        <f>(G131*F131*E131)+M131</f>
        <v>4125</v>
      </c>
      <c r="BG131" s="36">
        <f>(G131*F131*E131)+N131</f>
        <v>4525</v>
      </c>
      <c r="BH131" s="36">
        <f>(G131*F131*E131)+O131</f>
        <v>5325</v>
      </c>
      <c r="BI131" s="36">
        <f>(G131*F131*E131)+P131</f>
        <v>4925</v>
      </c>
      <c r="BJ131" s="36">
        <f>((H131*F131*E131)+(((F131*H131+L131)/D131)*M131))/(1.25-((H131-G131)/4))</f>
        <v>9428.5714285714294</v>
      </c>
      <c r="BK131" s="36">
        <f>((I131*F131*E131)+(((F131*I131+L131)/D131)*(N131-Q131)))/(1.25-((I131-G131)/4))</f>
        <v>6875</v>
      </c>
      <c r="BL131" s="36">
        <f>((J131*F131*E131)+(((F131*J131+L131)/D131)*(O131-Q131)))/(1.25-((J131-G131)/4))</f>
        <v>3673.3333333333335</v>
      </c>
      <c r="BM131" s="36">
        <f>((K131*F131*E131)+(((F131*K131+L131)/D131)*(P131-Q131)))/(1.25-((K131-G131)/4))</f>
        <v>998.14814814814815</v>
      </c>
      <c r="BN131" s="39"/>
      <c r="BO131" s="36">
        <f>((BJ131/2)*R131)/2</f>
        <v>10438.775510204083</v>
      </c>
      <c r="BP131" s="36">
        <f>((BK131)*(R131/2))/2</f>
        <v>7611.6071428571431</v>
      </c>
      <c r="BQ131" s="36">
        <f>((BL131*1.5)*(R131/3))/2</f>
        <v>4066.9047619047619</v>
      </c>
      <c r="BR131" s="36">
        <f>((BM131*2)*(S131/4))/2</f>
        <v>1996.2962962962963</v>
      </c>
      <c r="BS131" s="39"/>
      <c r="BT131" s="36">
        <f>(AE131*BO131)/2</f>
        <v>0</v>
      </c>
      <c r="BU131" s="36">
        <f>(AE131*BP131)/2</f>
        <v>0</v>
      </c>
      <c r="BV131" s="36">
        <f>(AE131*BQ131)/2</f>
        <v>0</v>
      </c>
      <c r="BW131" s="36">
        <f>(AE131*BR131)/2</f>
        <v>0</v>
      </c>
      <c r="BX131" s="39"/>
      <c r="BY131" s="14">
        <f>SUM(AE131*4, AC131*2, R131*2)/6-0.67</f>
        <v>2.4728571428571429</v>
      </c>
      <c r="BZ131" s="42">
        <f>SUM(AVERAGE(U131, (AVERAGE(BO131, BP131)/4000))*4, R131*4, S131*2)/7.5-0.67</f>
        <v>4.9602508503401364</v>
      </c>
      <c r="CA131" s="47">
        <f>SUM(W131*3, AVERAGE(BO131, BP131, BQ131, BR131)/3000)/3</f>
        <v>0.66982176975728569</v>
      </c>
      <c r="CB131" s="48">
        <f>IF(V131&lt;6, V131*Q131/2000, IF(V131&lt;7, V131*(AVERAGE(BJ131, BK131, BL131, BM131)/2000), V131*(AVERAGE(BJ131, BK131, BL131, BM131)/2000)*(Q131/2000)))/((10-S131+2)/4)</f>
        <v>0.2</v>
      </c>
      <c r="CC131" s="41">
        <f>SUM(AF131*4, AI131*2/(AH131+1), AG131*4)/7.5</f>
        <v>8.2666666666666675</v>
      </c>
      <c r="CD131" s="14">
        <f>SUM(AI131*3, AJ131*2, AK131*2, AL131*2, AF131*3)/8</f>
        <v>6.5</v>
      </c>
      <c r="CE131" s="14">
        <f>SUM(U131*2, BA131*1, AN131*3)/4.5</f>
        <v>0.88888888888888884</v>
      </c>
      <c r="CF131" s="39"/>
    </row>
    <row r="132" spans="2:84">
      <c r="B132" s="4">
        <v>52</v>
      </c>
      <c r="C132" s="11" t="s">
        <v>69</v>
      </c>
      <c r="D132" s="54">
        <v>14</v>
      </c>
      <c r="E132" s="54">
        <v>640</v>
      </c>
      <c r="F132" s="54">
        <v>3.3</v>
      </c>
      <c r="G132" s="54">
        <v>3</v>
      </c>
      <c r="H132" s="54">
        <v>4</v>
      </c>
      <c r="I132" s="54">
        <v>3.5</v>
      </c>
      <c r="J132" s="54">
        <v>2.5</v>
      </c>
      <c r="K132" s="54">
        <v>0</v>
      </c>
      <c r="L132" s="54">
        <v>0</v>
      </c>
      <c r="M132" s="54">
        <v>0</v>
      </c>
      <c r="N132" s="54">
        <v>0</v>
      </c>
      <c r="O132" s="54">
        <v>0</v>
      </c>
      <c r="P132" s="54">
        <v>0</v>
      </c>
      <c r="Q132" s="55">
        <v>0</v>
      </c>
      <c r="R132" s="32">
        <f>7000/1400</f>
        <v>5</v>
      </c>
      <c r="S132" s="33">
        <v>7</v>
      </c>
      <c r="T132" s="34">
        <f>(6 + 4 + 7)/3</f>
        <v>5.666666666666667</v>
      </c>
      <c r="U132" s="34">
        <v>3</v>
      </c>
      <c r="V132" s="34">
        <v>0</v>
      </c>
      <c r="W132" s="34">
        <v>0</v>
      </c>
      <c r="X132" s="34">
        <v>0</v>
      </c>
      <c r="Y132" s="34">
        <v>0</v>
      </c>
      <c r="Z132" s="34">
        <v>6</v>
      </c>
      <c r="AA132" s="34">
        <v>0</v>
      </c>
      <c r="AB132" s="34">
        <v>0</v>
      </c>
      <c r="AC132" s="31">
        <v>9</v>
      </c>
      <c r="AD132" s="31">
        <v>0</v>
      </c>
      <c r="AE132" s="27">
        <f>(BA132/5+1)*AD132</f>
        <v>0</v>
      </c>
      <c r="AF132" s="31">
        <v>0</v>
      </c>
      <c r="AG132" s="31">
        <v>0</v>
      </c>
      <c r="AH132" s="31">
        <v>0</v>
      </c>
      <c r="AI132" s="31">
        <v>0</v>
      </c>
      <c r="AJ132" s="31">
        <v>0</v>
      </c>
      <c r="AK132" s="31">
        <v>0</v>
      </c>
      <c r="AL132" s="31">
        <v>0</v>
      </c>
      <c r="AM132" s="31">
        <v>0</v>
      </c>
      <c r="AN132" s="31">
        <v>0</v>
      </c>
      <c r="AO132" s="44">
        <v>0</v>
      </c>
      <c r="AP132" s="44">
        <v>0</v>
      </c>
      <c r="AQ132" s="51">
        <v>0</v>
      </c>
      <c r="AR132" s="44">
        <v>0</v>
      </c>
      <c r="AS132" s="44">
        <f>(5 + 4)/2</f>
        <v>4.5</v>
      </c>
      <c r="AT132" s="44">
        <v>0</v>
      </c>
      <c r="AU132" s="44">
        <v>0</v>
      </c>
      <c r="AV132" s="44">
        <v>0</v>
      </c>
      <c r="AW132" s="50">
        <v>0</v>
      </c>
      <c r="AX132" s="44">
        <v>0</v>
      </c>
      <c r="AY132" s="44">
        <v>0</v>
      </c>
      <c r="AZ132" s="51">
        <v>0</v>
      </c>
      <c r="BA132" s="51">
        <v>0</v>
      </c>
      <c r="BB132" s="44">
        <v>0</v>
      </c>
      <c r="BC132" s="44">
        <v>0</v>
      </c>
      <c r="BD132" s="51">
        <v>6</v>
      </c>
      <c r="BE132" s="44">
        <v>0</v>
      </c>
      <c r="BF132" s="46">
        <f>(G132*F132*E132)+M132</f>
        <v>6335.9999999999991</v>
      </c>
      <c r="BG132" s="36">
        <f>(G132*F132*E132)+N132</f>
        <v>6335.9999999999991</v>
      </c>
      <c r="BH132" s="36">
        <f>(G132*F132*E132)+O132</f>
        <v>6335.9999999999991</v>
      </c>
      <c r="BI132" s="36">
        <f>(G132*F132*E132)+P132</f>
        <v>6335.9999999999991</v>
      </c>
      <c r="BJ132" s="36">
        <f>((H132*F132*E132)+(((F132*H132+L132)/D132)*M132))/(1.25-((H132-G132)/4))</f>
        <v>8448</v>
      </c>
      <c r="BK132" s="36">
        <f>((I132*F132*E132)+(((F132*I132+L132)/D132)*(N132-Q132)))/(1.25-((I132-G132)/4))</f>
        <v>6570.6666666666661</v>
      </c>
      <c r="BL132" s="36">
        <f>((J132*F132*E132)+(((F132*J132+L132)/D132)*(O132-Q132)))/(1.25-((J132-G132)/4))</f>
        <v>3840</v>
      </c>
      <c r="BM132" s="36">
        <f>((K132*F132*E132)+(((F132*K132+L132)/D132)*(P132-Q132)))/(1.25-((K132-G132)/4))</f>
        <v>0</v>
      </c>
      <c r="BN132" s="39"/>
      <c r="BO132" s="36">
        <f>((BJ132/2)*R132)/2</f>
        <v>10560</v>
      </c>
      <c r="BP132" s="36">
        <f>((BK132)*(R132/2))/2</f>
        <v>8213.3333333333321</v>
      </c>
      <c r="BQ132" s="36">
        <f>((BL132*1.5)*(R132/3))/2</f>
        <v>4800</v>
      </c>
      <c r="BR132" s="36">
        <f>((BM132*2)*(S132/4))/2</f>
        <v>0</v>
      </c>
      <c r="BS132" s="39"/>
      <c r="BT132" s="36">
        <f>(AE132*BO132)/2</f>
        <v>0</v>
      </c>
      <c r="BU132" s="36">
        <f>(AE132*BP132)/2</f>
        <v>0</v>
      </c>
      <c r="BV132" s="36">
        <f>(AE132*BQ132)/2</f>
        <v>0</v>
      </c>
      <c r="BW132" s="36">
        <f>(AE132*BR132)/2</f>
        <v>0</v>
      </c>
      <c r="BX132" s="39"/>
      <c r="BY132" s="14">
        <f>SUM(AE132*4, AC132*2, R132*2)/6-0.67</f>
        <v>3.996666666666667</v>
      </c>
      <c r="BZ132" s="42">
        <f>SUM(AVERAGE(U132, (AVERAGE(BO132, BP132)/4000))*4, R132*4, S132*2)/7.5-0.67</f>
        <v>5.2891111111111115</v>
      </c>
      <c r="CA132" s="47">
        <f>SUM(W132*3, AVERAGE(BO132, BP132, BQ132, BR132)/3000)/3</f>
        <v>0.65481481481481485</v>
      </c>
      <c r="CB132" s="48">
        <f>IF(V132&lt;6, V132*Q132/2000, IF(V132&lt;7, V132*(AVERAGE(BJ132, BK132, BL132, BM132)/2000), V132*(AVERAGE(BJ132, BK132, BL132, BM132)/2000)*(Q132/2000)))/((10-S132+2)/4)</f>
        <v>0</v>
      </c>
      <c r="CC132" s="41">
        <f>SUM(AF132*4, AI132*2/(AH132+1), AG132*4)/7.5</f>
        <v>0</v>
      </c>
      <c r="CD132" s="14">
        <f>SUM(AI132*3, AJ132*2, AK132*2, AL132*2, AF132*3)/8</f>
        <v>0</v>
      </c>
      <c r="CE132" s="14">
        <f>SUM(U132*2, BA132*1, AN132*3)/4.5</f>
        <v>1.3333333333333333</v>
      </c>
      <c r="CF132" s="39"/>
    </row>
  </sheetData>
  <dataValidations count="2">
    <dataValidation type="list" allowBlank="1" showInputMessage="1" showErrorMessage="1" sqref="B1:B2 B111:B112 B113 B133:B1048576" xr:uid="{7C34A5EA-8C54-4FBC-842E-A72500C2E810}">
      <formula1>"RARO,SUPER-RARO,ÉPICO,MÍTICO,LENDÁRIO,ULTRA-LENDÁRIO"</formula1>
    </dataValidation>
    <dataValidation allowBlank="1" showInputMessage="1" showErrorMessage="1" sqref="B3:B110 B114:B132" xr:uid="{82A4A6EC-64E6-4D49-B8BD-44C0521C2139}"/>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BDB4B-9CF1-4711-93FE-4537BD74AFF5}">
  <dimension ref="B2:D7"/>
  <sheetViews>
    <sheetView workbookViewId="0">
      <selection activeCell="D4" sqref="D4"/>
    </sheetView>
  </sheetViews>
  <sheetFormatPr defaultRowHeight="15"/>
  <cols>
    <col min="2" max="2" width="13.28515625" customWidth="1"/>
    <col min="3" max="3" width="9" customWidth="1"/>
  </cols>
  <sheetData>
    <row r="2" spans="2:4">
      <c r="B2" s="137" t="s">
        <v>196</v>
      </c>
      <c r="C2" s="137"/>
      <c r="D2" s="24"/>
    </row>
    <row r="3" spans="2:4">
      <c r="B3" t="s">
        <v>197</v>
      </c>
      <c r="C3" t="s">
        <v>198</v>
      </c>
    </row>
    <row r="4" spans="2:4">
      <c r="B4" t="s">
        <v>199</v>
      </c>
      <c r="C4" t="s">
        <v>200</v>
      </c>
    </row>
    <row r="5" spans="2:4">
      <c r="B5" t="s">
        <v>201</v>
      </c>
      <c r="C5" t="s">
        <v>202</v>
      </c>
    </row>
    <row r="6" spans="2:4">
      <c r="B6" t="s">
        <v>203</v>
      </c>
      <c r="C6" t="s">
        <v>204</v>
      </c>
    </row>
    <row r="7" spans="2:4">
      <c r="B7" t="s">
        <v>205</v>
      </c>
      <c r="C7" t="s">
        <v>206</v>
      </c>
    </row>
  </sheetData>
  <mergeCells count="1">
    <mergeCell ref="B2:C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C6AFC-1F0E-466A-8192-5E77213854C3}">
  <dimension ref="A2:AB90"/>
  <sheetViews>
    <sheetView workbookViewId="0">
      <selection activeCell="D8" sqref="D8"/>
    </sheetView>
  </sheetViews>
  <sheetFormatPr defaultRowHeight="19.5"/>
  <cols>
    <col min="1" max="1" width="55.140625" bestFit="1" customWidth="1"/>
    <col min="2" max="2" width="20.7109375" style="104" bestFit="1" customWidth="1"/>
    <col min="3" max="3" width="13.7109375" style="104" bestFit="1" customWidth="1"/>
    <col min="4" max="4" width="13" bestFit="1" customWidth="1"/>
    <col min="5" max="5" width="55.140625" bestFit="1" customWidth="1"/>
    <col min="6" max="6" width="20.28515625" style="104" bestFit="1" customWidth="1"/>
    <col min="7" max="7" width="27" style="104" bestFit="1" customWidth="1"/>
    <col min="8" max="8" width="13.140625" style="104" bestFit="1" customWidth="1"/>
    <col min="9" max="9" width="10.140625" customWidth="1"/>
    <col min="10" max="10" width="55.140625" bestFit="1" customWidth="1"/>
    <col min="11" max="11" width="20.28515625" style="104" bestFit="1" customWidth="1"/>
    <col min="12" max="12" width="27" style="104" bestFit="1" customWidth="1"/>
    <col min="13" max="13" width="13.140625" style="104" bestFit="1" customWidth="1"/>
    <col min="14" max="14" width="10.140625" customWidth="1"/>
    <col min="15" max="15" width="55.140625" bestFit="1" customWidth="1"/>
    <col min="16" max="16" width="20.7109375" style="104" bestFit="1" customWidth="1"/>
    <col min="17" max="17" width="36.42578125" style="104" bestFit="1" customWidth="1"/>
    <col min="18" max="18" width="13.7109375" style="104" bestFit="1" customWidth="1"/>
    <col min="19" max="19" width="5.7109375" customWidth="1"/>
    <col min="20" max="20" width="55.140625" bestFit="1" customWidth="1"/>
    <col min="21" max="21" width="20.85546875" style="104" bestFit="1" customWidth="1"/>
    <col min="22" max="22" width="36.42578125" style="104" bestFit="1" customWidth="1"/>
    <col min="23" max="23" width="13.7109375" style="104" bestFit="1" customWidth="1"/>
    <col min="24" max="24" width="4.7109375" customWidth="1"/>
    <col min="25" max="25" width="55.140625" bestFit="1" customWidth="1"/>
    <col min="26" max="26" width="20.28515625" style="104" bestFit="1" customWidth="1"/>
    <col min="27" max="27" width="27.85546875" style="104" bestFit="1" customWidth="1"/>
    <col min="28" max="28" width="13.140625" style="104" bestFit="1" customWidth="1"/>
    <col min="29" max="29" width="6.85546875" bestFit="1" customWidth="1"/>
    <col min="30" max="30" width="5.5703125" bestFit="1" customWidth="1"/>
    <col min="31" max="31" width="6.42578125" bestFit="1" customWidth="1"/>
    <col min="32" max="32" width="5" bestFit="1" customWidth="1"/>
    <col min="33" max="33" width="5.7109375" bestFit="1" customWidth="1"/>
    <col min="34" max="34" width="4.7109375" bestFit="1" customWidth="1"/>
    <col min="35" max="35" width="7.7109375" bestFit="1" customWidth="1"/>
    <col min="36" max="36" width="5.42578125" bestFit="1" customWidth="1"/>
    <col min="37" max="37" width="7" bestFit="1" customWidth="1"/>
    <col min="38" max="38" width="6.140625" bestFit="1" customWidth="1"/>
    <col min="39" max="39" width="5.42578125" bestFit="1" customWidth="1"/>
    <col min="40" max="40" width="7" bestFit="1" customWidth="1"/>
    <col min="41" max="41" width="7.5703125" bestFit="1" customWidth="1"/>
    <col min="42" max="42" width="6" bestFit="1" customWidth="1"/>
    <col min="43" max="43" width="5" bestFit="1" customWidth="1"/>
    <col min="44" max="44" width="10.42578125" bestFit="1" customWidth="1"/>
    <col min="45" max="45" width="30.28515625" bestFit="1" customWidth="1"/>
    <col min="46" max="46" width="33.85546875" bestFit="1" customWidth="1"/>
    <col min="47" max="47" width="30.28515625" bestFit="1" customWidth="1"/>
    <col min="48" max="48" width="33.85546875" bestFit="1" customWidth="1"/>
    <col min="49" max="49" width="30.28515625" bestFit="1" customWidth="1"/>
    <col min="50" max="50" width="33.85546875" bestFit="1" customWidth="1"/>
    <col min="51" max="51" width="30.28515625" bestFit="1" customWidth="1"/>
    <col min="52" max="52" width="33.85546875" bestFit="1" customWidth="1"/>
    <col min="53" max="53" width="30.28515625" bestFit="1" customWidth="1"/>
    <col min="54" max="54" width="33.85546875" bestFit="1" customWidth="1"/>
    <col min="55" max="55" width="30.28515625" bestFit="1" customWidth="1"/>
    <col min="56" max="56" width="33.85546875" bestFit="1" customWidth="1"/>
    <col min="57" max="57" width="30.28515625" bestFit="1" customWidth="1"/>
    <col min="58" max="58" width="33.85546875" bestFit="1" customWidth="1"/>
    <col min="59" max="59" width="30.28515625" bestFit="1" customWidth="1"/>
    <col min="60" max="60" width="33.85546875" bestFit="1" customWidth="1"/>
    <col min="61" max="61" width="35.140625" bestFit="1" customWidth="1"/>
    <col min="62" max="62" width="38.7109375" bestFit="1" customWidth="1"/>
    <col min="63" max="63" width="33.5703125" bestFit="1" customWidth="1"/>
    <col min="64" max="64" width="25.5703125" bestFit="1" customWidth="1"/>
    <col min="65" max="65" width="35" bestFit="1" customWidth="1"/>
    <col min="66" max="66" width="21.42578125" bestFit="1" customWidth="1"/>
    <col min="67" max="67" width="30.85546875" bestFit="1" customWidth="1"/>
    <col min="68" max="68" width="32.85546875" bestFit="1" customWidth="1"/>
    <col min="69" max="69" width="42.28515625" bestFit="1" customWidth="1"/>
    <col min="70" max="70" width="30.7109375" bestFit="1" customWidth="1"/>
    <col min="71" max="71" width="6.140625" bestFit="1" customWidth="1"/>
    <col min="72" max="72" width="5.42578125" bestFit="1" customWidth="1"/>
    <col min="73" max="73" width="7" bestFit="1" customWidth="1"/>
    <col min="74" max="74" width="7.5703125" bestFit="1" customWidth="1"/>
    <col min="75" max="75" width="6" bestFit="1" customWidth="1"/>
    <col min="76" max="76" width="5" bestFit="1" customWidth="1"/>
    <col min="77" max="77" width="46.5703125" bestFit="1" customWidth="1"/>
    <col min="78" max="78" width="6.7109375" bestFit="1" customWidth="1"/>
    <col min="79" max="79" width="4.28515625" bestFit="1" customWidth="1"/>
    <col min="80" max="80" width="6.85546875" bestFit="1" customWidth="1"/>
    <col min="81" max="81" width="5.5703125" bestFit="1" customWidth="1"/>
    <col min="82" max="82" width="6.42578125" bestFit="1" customWidth="1"/>
    <col min="83" max="83" width="5" bestFit="1" customWidth="1"/>
    <col min="84" max="84" width="5.7109375" bestFit="1" customWidth="1"/>
    <col min="85" max="85" width="4.7109375" bestFit="1" customWidth="1"/>
    <col min="86" max="86" width="7.7109375" bestFit="1" customWidth="1"/>
    <col min="87" max="87" width="5.42578125" bestFit="1" customWidth="1"/>
    <col min="88" max="88" width="7" bestFit="1" customWidth="1"/>
    <col min="89" max="89" width="6.140625" bestFit="1" customWidth="1"/>
    <col min="90" max="90" width="5.42578125" bestFit="1" customWidth="1"/>
    <col min="91" max="91" width="7" bestFit="1" customWidth="1"/>
    <col min="92" max="92" width="7.5703125" bestFit="1" customWidth="1"/>
    <col min="93" max="93" width="6" bestFit="1" customWidth="1"/>
    <col min="94" max="94" width="5" bestFit="1" customWidth="1"/>
    <col min="95" max="95" width="33.85546875" bestFit="1" customWidth="1"/>
    <col min="96" max="96" width="6.7109375" bestFit="1" customWidth="1"/>
    <col min="97" max="97" width="4.28515625" bestFit="1" customWidth="1"/>
    <col min="98" max="98" width="6.85546875" bestFit="1" customWidth="1"/>
    <col min="99" max="99" width="5.5703125" bestFit="1" customWidth="1"/>
    <col min="100" max="100" width="6.42578125" bestFit="1" customWidth="1"/>
    <col min="101" max="101" width="5" bestFit="1" customWidth="1"/>
    <col min="102" max="102" width="5.7109375" bestFit="1" customWidth="1"/>
    <col min="103" max="103" width="4.7109375" bestFit="1" customWidth="1"/>
    <col min="104" max="104" width="7.7109375" bestFit="1" customWidth="1"/>
    <col min="105" max="105" width="5.42578125" bestFit="1" customWidth="1"/>
    <col min="106" max="106" width="7" bestFit="1" customWidth="1"/>
    <col min="107" max="107" width="6.140625" bestFit="1" customWidth="1"/>
    <col min="108" max="108" width="5.42578125" bestFit="1" customWidth="1"/>
    <col min="109" max="109" width="7" bestFit="1" customWidth="1"/>
    <col min="110" max="110" width="7.5703125" bestFit="1" customWidth="1"/>
    <col min="111" max="111" width="6" bestFit="1" customWidth="1"/>
    <col min="112" max="112" width="5" bestFit="1" customWidth="1"/>
    <col min="113" max="113" width="30.28515625" bestFit="1" customWidth="1"/>
    <col min="114" max="114" width="6.7109375" bestFit="1" customWidth="1"/>
    <col min="115" max="115" width="4.28515625" bestFit="1" customWidth="1"/>
    <col min="116" max="116" width="6.85546875" bestFit="1" customWidth="1"/>
    <col min="117" max="117" width="5.5703125" bestFit="1" customWidth="1"/>
    <col min="118" max="118" width="6.42578125" bestFit="1" customWidth="1"/>
    <col min="119" max="119" width="5" bestFit="1" customWidth="1"/>
    <col min="120" max="120" width="5.7109375" bestFit="1" customWidth="1"/>
    <col min="121" max="121" width="4.7109375" bestFit="1" customWidth="1"/>
    <col min="122" max="122" width="7.7109375" bestFit="1" customWidth="1"/>
    <col min="123" max="123" width="5.42578125" bestFit="1" customWidth="1"/>
    <col min="124" max="124" width="7" bestFit="1" customWidth="1"/>
    <col min="125" max="125" width="6.140625" bestFit="1" customWidth="1"/>
    <col min="126" max="126" width="5.42578125" bestFit="1" customWidth="1"/>
    <col min="127" max="127" width="7" bestFit="1" customWidth="1"/>
    <col min="128" max="128" width="7.5703125" bestFit="1" customWidth="1"/>
    <col min="129" max="129" width="6" bestFit="1" customWidth="1"/>
    <col min="130" max="130" width="5" bestFit="1" customWidth="1"/>
    <col min="131" max="131" width="47.140625" bestFit="1" customWidth="1"/>
    <col min="132" max="132" width="6.7109375" bestFit="1" customWidth="1"/>
    <col min="133" max="133" width="4.28515625" bestFit="1" customWidth="1"/>
    <col min="134" max="134" width="6.85546875" bestFit="1" customWidth="1"/>
    <col min="135" max="135" width="5.5703125" bestFit="1" customWidth="1"/>
    <col min="136" max="136" width="6.42578125" bestFit="1" customWidth="1"/>
    <col min="137" max="137" width="5" bestFit="1" customWidth="1"/>
    <col min="138" max="138" width="5.7109375" bestFit="1" customWidth="1"/>
    <col min="139" max="139" width="4.7109375" bestFit="1" customWidth="1"/>
    <col min="140" max="140" width="7.7109375" bestFit="1" customWidth="1"/>
    <col min="141" max="141" width="5.42578125" bestFit="1" customWidth="1"/>
    <col min="142" max="142" width="7" bestFit="1" customWidth="1"/>
    <col min="143" max="143" width="6.140625" bestFit="1" customWidth="1"/>
    <col min="144" max="144" width="5.42578125" bestFit="1" customWidth="1"/>
    <col min="145" max="145" width="7" bestFit="1" customWidth="1"/>
    <col min="146" max="146" width="7.5703125" bestFit="1" customWidth="1"/>
    <col min="147" max="147" width="6" bestFit="1" customWidth="1"/>
    <col min="148" max="148" width="5" bestFit="1" customWidth="1"/>
    <col min="149" max="149" width="49.5703125" bestFit="1" customWidth="1"/>
    <col min="150" max="150" width="6.7109375" bestFit="1" customWidth="1"/>
    <col min="151" max="151" width="4.28515625" bestFit="1" customWidth="1"/>
    <col min="152" max="152" width="6.85546875" bestFit="1" customWidth="1"/>
    <col min="153" max="153" width="5.5703125" bestFit="1" customWidth="1"/>
    <col min="154" max="154" width="6.42578125" bestFit="1" customWidth="1"/>
    <col min="155" max="155" width="5" bestFit="1" customWidth="1"/>
    <col min="156" max="156" width="5.7109375" bestFit="1" customWidth="1"/>
    <col min="157" max="157" width="4.7109375" bestFit="1" customWidth="1"/>
    <col min="158" max="158" width="7.7109375" bestFit="1" customWidth="1"/>
    <col min="159" max="159" width="5.42578125" bestFit="1" customWidth="1"/>
    <col min="160" max="160" width="7" bestFit="1" customWidth="1"/>
    <col min="161" max="161" width="6.140625" bestFit="1" customWidth="1"/>
    <col min="162" max="162" width="5.42578125" bestFit="1" customWidth="1"/>
    <col min="163" max="163" width="7" bestFit="1" customWidth="1"/>
    <col min="164" max="164" width="7.5703125" bestFit="1" customWidth="1"/>
    <col min="165" max="165" width="6" bestFit="1" customWidth="1"/>
    <col min="166" max="166" width="5" bestFit="1" customWidth="1"/>
    <col min="167" max="167" width="56.140625" bestFit="1" customWidth="1"/>
    <col min="168" max="168" width="6.7109375" bestFit="1" customWidth="1"/>
    <col min="169" max="169" width="4.28515625" bestFit="1" customWidth="1"/>
    <col min="170" max="170" width="6.85546875" bestFit="1" customWidth="1"/>
    <col min="171" max="171" width="5.5703125" bestFit="1" customWidth="1"/>
    <col min="172" max="172" width="6.42578125" bestFit="1" customWidth="1"/>
    <col min="173" max="173" width="5" bestFit="1" customWidth="1"/>
    <col min="174" max="174" width="5.7109375" bestFit="1" customWidth="1"/>
    <col min="175" max="175" width="4.7109375" bestFit="1" customWidth="1"/>
    <col min="176" max="176" width="7.7109375" bestFit="1" customWidth="1"/>
    <col min="177" max="177" width="5.42578125" bestFit="1" customWidth="1"/>
    <col min="178" max="178" width="7" bestFit="1" customWidth="1"/>
    <col min="179" max="179" width="6.140625" bestFit="1" customWidth="1"/>
    <col min="180" max="180" width="5.42578125" bestFit="1" customWidth="1"/>
    <col min="181" max="181" width="7" bestFit="1" customWidth="1"/>
    <col min="182" max="182" width="7.5703125" bestFit="1" customWidth="1"/>
    <col min="183" max="183" width="6" bestFit="1" customWidth="1"/>
    <col min="184" max="184" width="5" bestFit="1" customWidth="1"/>
    <col min="185" max="185" width="43.7109375" bestFit="1" customWidth="1"/>
    <col min="186" max="186" width="6.85546875" bestFit="1" customWidth="1"/>
    <col min="187" max="187" width="4.28515625" bestFit="1" customWidth="1"/>
    <col min="188" max="189" width="6.85546875" bestFit="1" customWidth="1"/>
    <col min="190" max="190" width="6.42578125" bestFit="1" customWidth="1"/>
    <col min="191" max="191" width="6.85546875" bestFit="1" customWidth="1"/>
    <col min="192" max="192" width="5.7109375" bestFit="1" customWidth="1"/>
    <col min="193" max="193" width="4.7109375" bestFit="1" customWidth="1"/>
    <col min="194" max="194" width="7.7109375" bestFit="1" customWidth="1"/>
    <col min="195" max="195" width="6.85546875" bestFit="1" customWidth="1"/>
    <col min="196" max="196" width="7" bestFit="1" customWidth="1"/>
    <col min="197" max="197" width="6.140625" bestFit="1" customWidth="1"/>
    <col min="198" max="198" width="6.85546875" bestFit="1" customWidth="1"/>
    <col min="199" max="199" width="7" bestFit="1" customWidth="1"/>
    <col min="200" max="200" width="7.5703125" bestFit="1" customWidth="1"/>
    <col min="201" max="202" width="6.85546875" bestFit="1" customWidth="1"/>
    <col min="203" max="203" width="43.42578125" bestFit="1" customWidth="1"/>
    <col min="204" max="204" width="6.85546875" bestFit="1" customWidth="1"/>
    <col min="205" max="205" width="5.7109375" bestFit="1" customWidth="1"/>
    <col min="206" max="207" width="6.85546875" bestFit="1" customWidth="1"/>
    <col min="208" max="208" width="6.42578125" bestFit="1" customWidth="1"/>
    <col min="209" max="209" width="6.85546875" bestFit="1" customWidth="1"/>
    <col min="210" max="210" width="5.7109375" bestFit="1" customWidth="1"/>
    <col min="211" max="211" width="4.7109375" bestFit="1" customWidth="1"/>
    <col min="212" max="212" width="7.7109375" bestFit="1" customWidth="1"/>
    <col min="213" max="213" width="6.85546875" bestFit="1" customWidth="1"/>
    <col min="214" max="214" width="7" bestFit="1" customWidth="1"/>
    <col min="215" max="215" width="6.140625" bestFit="1" customWidth="1"/>
    <col min="216" max="216" width="6.85546875" bestFit="1" customWidth="1"/>
    <col min="217" max="217" width="7" bestFit="1" customWidth="1"/>
    <col min="218" max="218" width="7.5703125" bestFit="1" customWidth="1"/>
    <col min="219" max="220" width="6.85546875" bestFit="1" customWidth="1"/>
    <col min="221" max="221" width="44" bestFit="1" customWidth="1"/>
    <col min="222" max="225" width="6.85546875" bestFit="1" customWidth="1"/>
    <col min="226" max="226" width="6.42578125" bestFit="1" customWidth="1"/>
    <col min="227" max="228" width="5.7109375" bestFit="1" customWidth="1"/>
    <col min="229" max="229" width="4.7109375" bestFit="1" customWidth="1"/>
    <col min="230" max="230" width="7.7109375" bestFit="1" customWidth="1"/>
    <col min="231" max="231" width="6.85546875" bestFit="1" customWidth="1"/>
    <col min="232" max="232" width="7" bestFit="1" customWidth="1"/>
    <col min="233" max="233" width="6.140625" bestFit="1" customWidth="1"/>
    <col min="234" max="234" width="6.85546875" bestFit="1" customWidth="1"/>
    <col min="235" max="235" width="7" bestFit="1" customWidth="1"/>
    <col min="236" max="236" width="7.5703125" bestFit="1" customWidth="1"/>
    <col min="237" max="238" width="6.85546875" bestFit="1" customWidth="1"/>
    <col min="239" max="239" width="47.140625" bestFit="1" customWidth="1"/>
    <col min="240" max="240" width="6.7109375" bestFit="1" customWidth="1"/>
    <col min="241" max="241" width="5.7109375" bestFit="1" customWidth="1"/>
    <col min="242" max="243" width="6.85546875" bestFit="1" customWidth="1"/>
    <col min="244" max="244" width="6.42578125" bestFit="1" customWidth="1"/>
    <col min="245" max="245" width="5" bestFit="1" customWidth="1"/>
    <col min="246" max="246" width="5.7109375" bestFit="1" customWidth="1"/>
    <col min="247" max="247" width="4.7109375" bestFit="1" customWidth="1"/>
    <col min="248" max="248" width="7.7109375" bestFit="1" customWidth="1"/>
    <col min="249" max="249" width="6.85546875" bestFit="1" customWidth="1"/>
    <col min="250" max="250" width="7" bestFit="1" customWidth="1"/>
    <col min="251" max="251" width="6.140625" bestFit="1" customWidth="1"/>
    <col min="252" max="252" width="6.85546875" bestFit="1" customWidth="1"/>
    <col min="253" max="253" width="7" bestFit="1" customWidth="1"/>
    <col min="254" max="254" width="7.5703125" bestFit="1" customWidth="1"/>
    <col min="255" max="256" width="6.85546875" bestFit="1" customWidth="1"/>
    <col min="257" max="257" width="31.7109375" bestFit="1" customWidth="1"/>
    <col min="258" max="258" width="6.85546875" bestFit="1" customWidth="1"/>
    <col min="259" max="259" width="5.7109375" bestFit="1" customWidth="1"/>
    <col min="260" max="261" width="6.85546875" bestFit="1" customWidth="1"/>
    <col min="262" max="262" width="6.42578125" bestFit="1" customWidth="1"/>
    <col min="263" max="263" width="6.85546875" bestFit="1" customWidth="1"/>
    <col min="264" max="264" width="5.7109375" bestFit="1" customWidth="1"/>
    <col min="265" max="265" width="4.7109375" bestFit="1" customWidth="1"/>
    <col min="266" max="266" width="7.7109375" bestFit="1" customWidth="1"/>
    <col min="267" max="267" width="6.85546875" bestFit="1" customWidth="1"/>
    <col min="268" max="268" width="7" bestFit="1" customWidth="1"/>
    <col min="269" max="269" width="6.140625" bestFit="1" customWidth="1"/>
    <col min="270" max="270" width="6.85546875" bestFit="1" customWidth="1"/>
    <col min="271" max="271" width="7" bestFit="1" customWidth="1"/>
    <col min="272" max="272" width="7.5703125" bestFit="1" customWidth="1"/>
    <col min="273" max="274" width="6.85546875" bestFit="1" customWidth="1"/>
    <col min="275" max="275" width="25.5703125" bestFit="1" customWidth="1"/>
    <col min="276" max="276" width="6.7109375" bestFit="1" customWidth="1"/>
    <col min="277" max="277" width="4.28515625" bestFit="1" customWidth="1"/>
    <col min="278" max="278" width="6.85546875" bestFit="1" customWidth="1"/>
    <col min="279" max="279" width="5.5703125" bestFit="1" customWidth="1"/>
    <col min="280" max="280" width="6.42578125" bestFit="1" customWidth="1"/>
    <col min="281" max="281" width="5" bestFit="1" customWidth="1"/>
    <col min="282" max="282" width="5.7109375" bestFit="1" customWidth="1"/>
    <col min="283" max="283" width="4.7109375" bestFit="1" customWidth="1"/>
    <col min="284" max="284" width="7.7109375" bestFit="1" customWidth="1"/>
    <col min="285" max="285" width="5.42578125" bestFit="1" customWidth="1"/>
    <col min="286" max="286" width="7" bestFit="1" customWidth="1"/>
    <col min="287" max="287" width="6.140625" bestFit="1" customWidth="1"/>
    <col min="288" max="288" width="5.42578125" bestFit="1" customWidth="1"/>
    <col min="289" max="289" width="7" bestFit="1" customWidth="1"/>
    <col min="290" max="290" width="7.5703125" bestFit="1" customWidth="1"/>
    <col min="291" max="291" width="6" bestFit="1" customWidth="1"/>
    <col min="292" max="292" width="5" bestFit="1" customWidth="1"/>
    <col min="293" max="293" width="17.5703125" bestFit="1" customWidth="1"/>
    <col min="294" max="294" width="6.7109375" bestFit="1" customWidth="1"/>
    <col min="295" max="295" width="4.28515625" bestFit="1" customWidth="1"/>
    <col min="296" max="296" width="6.85546875" bestFit="1" customWidth="1"/>
    <col min="297" max="297" width="5.5703125" bestFit="1" customWidth="1"/>
    <col min="298" max="298" width="6.42578125" bestFit="1" customWidth="1"/>
    <col min="299" max="299" width="5" bestFit="1" customWidth="1"/>
    <col min="300" max="300" width="5.7109375" bestFit="1" customWidth="1"/>
    <col min="301" max="301" width="4.7109375" bestFit="1" customWidth="1"/>
    <col min="302" max="302" width="7.7109375" bestFit="1" customWidth="1"/>
    <col min="303" max="303" width="5.42578125" bestFit="1" customWidth="1"/>
    <col min="304" max="304" width="7" bestFit="1" customWidth="1"/>
    <col min="305" max="305" width="6.140625" bestFit="1" customWidth="1"/>
    <col min="306" max="306" width="5.42578125" bestFit="1" customWidth="1"/>
    <col min="307" max="307" width="7" bestFit="1" customWidth="1"/>
    <col min="308" max="308" width="7.5703125" bestFit="1" customWidth="1"/>
    <col min="309" max="309" width="6" bestFit="1" customWidth="1"/>
    <col min="310" max="310" width="5" bestFit="1" customWidth="1"/>
    <col min="311" max="311" width="24.28515625" bestFit="1" customWidth="1"/>
    <col min="312" max="312" width="6.7109375" bestFit="1" customWidth="1"/>
    <col min="313" max="313" width="4.28515625" bestFit="1" customWidth="1"/>
    <col min="314" max="314" width="6.85546875" bestFit="1" customWidth="1"/>
    <col min="315" max="315" width="5.5703125" bestFit="1" customWidth="1"/>
    <col min="316" max="316" width="6.42578125" bestFit="1" customWidth="1"/>
    <col min="317" max="317" width="5" bestFit="1" customWidth="1"/>
    <col min="318" max="318" width="5.7109375" bestFit="1" customWidth="1"/>
    <col min="319" max="319" width="4.7109375" bestFit="1" customWidth="1"/>
    <col min="320" max="320" width="7.7109375" bestFit="1" customWidth="1"/>
    <col min="321" max="321" width="5.42578125" bestFit="1" customWidth="1"/>
    <col min="322" max="322" width="7" bestFit="1" customWidth="1"/>
    <col min="323" max="323" width="6.140625" bestFit="1" customWidth="1"/>
    <col min="324" max="324" width="5.42578125" bestFit="1" customWidth="1"/>
    <col min="325" max="325" width="7" bestFit="1" customWidth="1"/>
    <col min="326" max="326" width="7.5703125" bestFit="1" customWidth="1"/>
    <col min="327" max="327" width="6" bestFit="1" customWidth="1"/>
    <col min="328" max="328" width="5" bestFit="1" customWidth="1"/>
    <col min="329" max="329" width="21.85546875" bestFit="1" customWidth="1"/>
    <col min="330" max="330" width="6.7109375" bestFit="1" customWidth="1"/>
    <col min="331" max="331" width="4.28515625" bestFit="1" customWidth="1"/>
    <col min="332" max="332" width="6.85546875" bestFit="1" customWidth="1"/>
    <col min="333" max="333" width="5.5703125" bestFit="1" customWidth="1"/>
    <col min="334" max="334" width="6.42578125" bestFit="1" customWidth="1"/>
    <col min="335" max="335" width="5" bestFit="1" customWidth="1"/>
    <col min="336" max="336" width="5.7109375" bestFit="1" customWidth="1"/>
    <col min="337" max="337" width="4.7109375" bestFit="1" customWidth="1"/>
    <col min="338" max="338" width="7.7109375" bestFit="1" customWidth="1"/>
    <col min="339" max="339" width="5.42578125" bestFit="1" customWidth="1"/>
    <col min="340" max="340" width="7" bestFit="1" customWidth="1"/>
    <col min="341" max="341" width="6.140625" bestFit="1" customWidth="1"/>
    <col min="342" max="342" width="5.42578125" bestFit="1" customWidth="1"/>
    <col min="343" max="343" width="7" bestFit="1" customWidth="1"/>
    <col min="344" max="344" width="7.5703125" bestFit="1" customWidth="1"/>
    <col min="345" max="345" width="6" bestFit="1" customWidth="1"/>
    <col min="346" max="346" width="5" bestFit="1" customWidth="1"/>
    <col min="347" max="347" width="21.42578125" bestFit="1" customWidth="1"/>
    <col min="348" max="348" width="6.7109375" bestFit="1" customWidth="1"/>
    <col min="349" max="349" width="4.28515625" bestFit="1" customWidth="1"/>
    <col min="350" max="350" width="6.85546875" bestFit="1" customWidth="1"/>
    <col min="351" max="351" width="5.5703125" bestFit="1" customWidth="1"/>
    <col min="352" max="352" width="6.42578125" bestFit="1" customWidth="1"/>
    <col min="353" max="353" width="5" bestFit="1" customWidth="1"/>
    <col min="354" max="354" width="5.7109375" bestFit="1" customWidth="1"/>
    <col min="355" max="355" width="4.7109375" bestFit="1" customWidth="1"/>
    <col min="356" max="356" width="7.7109375" bestFit="1" customWidth="1"/>
    <col min="357" max="357" width="5.42578125" bestFit="1" customWidth="1"/>
    <col min="358" max="358" width="7" bestFit="1" customWidth="1"/>
    <col min="359" max="359" width="6.140625" bestFit="1" customWidth="1"/>
    <col min="360" max="360" width="5.42578125" bestFit="1" customWidth="1"/>
    <col min="361" max="361" width="7" bestFit="1" customWidth="1"/>
    <col min="362" max="362" width="7.5703125" bestFit="1" customWidth="1"/>
    <col min="363" max="363" width="6" bestFit="1" customWidth="1"/>
    <col min="364" max="364" width="5" bestFit="1" customWidth="1"/>
    <col min="365" max="365" width="35.85546875" bestFit="1" customWidth="1"/>
    <col min="366" max="366" width="6.7109375" bestFit="1" customWidth="1"/>
    <col min="367" max="367" width="4.28515625" bestFit="1" customWidth="1"/>
    <col min="368" max="368" width="6.85546875" bestFit="1" customWidth="1"/>
    <col min="369" max="369" width="5.5703125" bestFit="1" customWidth="1"/>
    <col min="370" max="370" width="6.42578125" bestFit="1" customWidth="1"/>
    <col min="371" max="371" width="5" bestFit="1" customWidth="1"/>
    <col min="372" max="372" width="5.7109375" bestFit="1" customWidth="1"/>
    <col min="373" max="373" width="4.7109375" bestFit="1" customWidth="1"/>
    <col min="374" max="374" width="7.7109375" bestFit="1" customWidth="1"/>
    <col min="375" max="375" width="5.42578125" bestFit="1" customWidth="1"/>
    <col min="376" max="376" width="7" bestFit="1" customWidth="1"/>
    <col min="377" max="377" width="6.140625" bestFit="1" customWidth="1"/>
    <col min="378" max="378" width="5.42578125" bestFit="1" customWidth="1"/>
    <col min="379" max="379" width="7" bestFit="1" customWidth="1"/>
    <col min="380" max="380" width="7.5703125" bestFit="1" customWidth="1"/>
    <col min="381" max="381" width="6" bestFit="1" customWidth="1"/>
    <col min="382" max="382" width="5" bestFit="1" customWidth="1"/>
    <col min="383" max="383" width="26.42578125" bestFit="1" customWidth="1"/>
    <col min="384" max="384" width="6.7109375" bestFit="1" customWidth="1"/>
    <col min="385" max="385" width="4.28515625" bestFit="1" customWidth="1"/>
    <col min="386" max="386" width="6.85546875" bestFit="1" customWidth="1"/>
    <col min="387" max="387" width="5.5703125" bestFit="1" customWidth="1"/>
    <col min="388" max="388" width="6.42578125" bestFit="1" customWidth="1"/>
    <col min="389" max="389" width="5" bestFit="1" customWidth="1"/>
    <col min="390" max="390" width="5.7109375" bestFit="1" customWidth="1"/>
    <col min="391" max="391" width="4.7109375" bestFit="1" customWidth="1"/>
    <col min="392" max="392" width="7.7109375" bestFit="1" customWidth="1"/>
    <col min="393" max="393" width="5.42578125" bestFit="1" customWidth="1"/>
    <col min="394" max="394" width="7" bestFit="1" customWidth="1"/>
    <col min="395" max="395" width="6.140625" bestFit="1" customWidth="1"/>
    <col min="396" max="396" width="5.42578125" bestFit="1" customWidth="1"/>
    <col min="397" max="397" width="7" bestFit="1" customWidth="1"/>
    <col min="398" max="398" width="7.5703125" bestFit="1" customWidth="1"/>
    <col min="399" max="399" width="6" bestFit="1" customWidth="1"/>
    <col min="400" max="400" width="5" bestFit="1" customWidth="1"/>
    <col min="401" max="401" width="46.7109375" bestFit="1" customWidth="1"/>
    <col min="402" max="402" width="6.7109375" bestFit="1" customWidth="1"/>
    <col min="403" max="403" width="4.28515625" bestFit="1" customWidth="1"/>
    <col min="404" max="404" width="6.85546875" bestFit="1" customWidth="1"/>
    <col min="405" max="405" width="5.5703125" bestFit="1" customWidth="1"/>
    <col min="406" max="406" width="6.42578125" bestFit="1" customWidth="1"/>
    <col min="407" max="407" width="5" bestFit="1" customWidth="1"/>
    <col min="408" max="408" width="5.7109375" bestFit="1" customWidth="1"/>
    <col min="409" max="409" width="4.7109375" bestFit="1" customWidth="1"/>
    <col min="410" max="410" width="7.7109375" bestFit="1" customWidth="1"/>
    <col min="411" max="411" width="5.42578125" bestFit="1" customWidth="1"/>
    <col min="412" max="412" width="7" bestFit="1" customWidth="1"/>
    <col min="413" max="413" width="6.140625" bestFit="1" customWidth="1"/>
    <col min="414" max="414" width="5.42578125" bestFit="1" customWidth="1"/>
    <col min="415" max="415" width="7" bestFit="1" customWidth="1"/>
    <col min="416" max="416" width="7.5703125" bestFit="1" customWidth="1"/>
    <col min="417" max="417" width="6" bestFit="1" customWidth="1"/>
    <col min="418" max="418" width="5" bestFit="1" customWidth="1"/>
    <col min="419" max="419" width="26.42578125" bestFit="1" customWidth="1"/>
    <col min="420" max="420" width="6.7109375" bestFit="1" customWidth="1"/>
    <col min="421" max="421" width="4.28515625" bestFit="1" customWidth="1"/>
    <col min="422" max="422" width="6.85546875" bestFit="1" customWidth="1"/>
    <col min="423" max="423" width="5.5703125" bestFit="1" customWidth="1"/>
    <col min="424" max="424" width="6.42578125" bestFit="1" customWidth="1"/>
    <col min="425" max="425" width="5" bestFit="1" customWidth="1"/>
    <col min="426" max="426" width="5.7109375" bestFit="1" customWidth="1"/>
    <col min="427" max="427" width="4.7109375" bestFit="1" customWidth="1"/>
    <col min="428" max="428" width="7.7109375" bestFit="1" customWidth="1"/>
    <col min="429" max="429" width="5.42578125" bestFit="1" customWidth="1"/>
    <col min="430" max="430" width="7" bestFit="1" customWidth="1"/>
    <col min="431" max="431" width="6.140625" bestFit="1" customWidth="1"/>
    <col min="432" max="432" width="5.42578125" bestFit="1" customWidth="1"/>
    <col min="433" max="433" width="7" bestFit="1" customWidth="1"/>
    <col min="434" max="434" width="7.5703125" bestFit="1" customWidth="1"/>
    <col min="435" max="435" width="6" bestFit="1" customWidth="1"/>
    <col min="436" max="436" width="5" bestFit="1" customWidth="1"/>
    <col min="437" max="437" width="40.7109375" bestFit="1" customWidth="1"/>
    <col min="438" max="438" width="6.7109375" bestFit="1" customWidth="1"/>
    <col min="439" max="439" width="4.28515625" bestFit="1" customWidth="1"/>
    <col min="440" max="440" width="6.85546875" bestFit="1" customWidth="1"/>
    <col min="441" max="441" width="5.5703125" bestFit="1" customWidth="1"/>
    <col min="442" max="442" width="6.42578125" bestFit="1" customWidth="1"/>
    <col min="443" max="443" width="5" bestFit="1" customWidth="1"/>
    <col min="444" max="444" width="5.7109375" bestFit="1" customWidth="1"/>
    <col min="445" max="445" width="4.7109375" bestFit="1" customWidth="1"/>
    <col min="446" max="446" width="7.7109375" bestFit="1" customWidth="1"/>
    <col min="447" max="447" width="5.42578125" bestFit="1" customWidth="1"/>
    <col min="448" max="448" width="7" bestFit="1" customWidth="1"/>
    <col min="449" max="449" width="6.140625" bestFit="1" customWidth="1"/>
    <col min="450" max="450" width="5.42578125" bestFit="1" customWidth="1"/>
    <col min="451" max="451" width="7" bestFit="1" customWidth="1"/>
    <col min="452" max="452" width="7.5703125" bestFit="1" customWidth="1"/>
    <col min="453" max="453" width="6" bestFit="1" customWidth="1"/>
    <col min="454" max="454" width="5" bestFit="1" customWidth="1"/>
    <col min="455" max="455" width="41.85546875" bestFit="1" customWidth="1"/>
    <col min="456" max="456" width="6.7109375" bestFit="1" customWidth="1"/>
    <col min="457" max="457" width="4.28515625" bestFit="1" customWidth="1"/>
    <col min="458" max="458" width="6.85546875" bestFit="1" customWidth="1"/>
    <col min="459" max="459" width="5.5703125" bestFit="1" customWidth="1"/>
    <col min="460" max="460" width="6.42578125" bestFit="1" customWidth="1"/>
    <col min="461" max="461" width="5" bestFit="1" customWidth="1"/>
    <col min="462" max="462" width="5.7109375" bestFit="1" customWidth="1"/>
    <col min="463" max="463" width="4.7109375" bestFit="1" customWidth="1"/>
    <col min="464" max="464" width="7.7109375" bestFit="1" customWidth="1"/>
    <col min="465" max="465" width="5.42578125" bestFit="1" customWidth="1"/>
    <col min="466" max="466" width="7" bestFit="1" customWidth="1"/>
    <col min="467" max="467" width="6.140625" bestFit="1" customWidth="1"/>
    <col min="468" max="468" width="5.42578125" bestFit="1" customWidth="1"/>
    <col min="469" max="469" width="7" bestFit="1" customWidth="1"/>
    <col min="470" max="470" width="7.5703125" bestFit="1" customWidth="1"/>
    <col min="471" max="471" width="6" bestFit="1" customWidth="1"/>
    <col min="472" max="472" width="5" bestFit="1" customWidth="1"/>
    <col min="473" max="473" width="41.7109375" bestFit="1" customWidth="1"/>
    <col min="474" max="474" width="6.7109375" bestFit="1" customWidth="1"/>
    <col min="475" max="475" width="4.28515625" bestFit="1" customWidth="1"/>
    <col min="476" max="476" width="6.85546875" bestFit="1" customWidth="1"/>
    <col min="477" max="477" width="5.5703125" bestFit="1" customWidth="1"/>
    <col min="478" max="478" width="6.42578125" bestFit="1" customWidth="1"/>
    <col min="479" max="479" width="5" bestFit="1" customWidth="1"/>
    <col min="480" max="480" width="5.7109375" bestFit="1" customWidth="1"/>
    <col min="481" max="481" width="4.7109375" bestFit="1" customWidth="1"/>
    <col min="482" max="482" width="7.7109375" bestFit="1" customWidth="1"/>
    <col min="483" max="483" width="5.42578125" bestFit="1" customWidth="1"/>
    <col min="484" max="484" width="7" bestFit="1" customWidth="1"/>
    <col min="485" max="485" width="6.140625" bestFit="1" customWidth="1"/>
    <col min="486" max="486" width="5.42578125" bestFit="1" customWidth="1"/>
    <col min="487" max="487" width="7" bestFit="1" customWidth="1"/>
    <col min="488" max="488" width="7.5703125" bestFit="1" customWidth="1"/>
    <col min="489" max="489" width="6" bestFit="1" customWidth="1"/>
    <col min="490" max="490" width="5" bestFit="1" customWidth="1"/>
    <col min="491" max="491" width="41.140625" bestFit="1" customWidth="1"/>
    <col min="492" max="492" width="6.7109375" bestFit="1" customWidth="1"/>
    <col min="493" max="493" width="4.28515625" bestFit="1" customWidth="1"/>
    <col min="494" max="494" width="6.85546875" bestFit="1" customWidth="1"/>
    <col min="495" max="495" width="5.5703125" bestFit="1" customWidth="1"/>
    <col min="496" max="496" width="6.42578125" bestFit="1" customWidth="1"/>
    <col min="497" max="497" width="5" bestFit="1" customWidth="1"/>
    <col min="498" max="498" width="5.7109375" bestFit="1" customWidth="1"/>
    <col min="499" max="499" width="4.7109375" bestFit="1" customWidth="1"/>
    <col min="500" max="500" width="7.7109375" bestFit="1" customWidth="1"/>
    <col min="501" max="501" width="5.42578125" bestFit="1" customWidth="1"/>
    <col min="502" max="502" width="7" bestFit="1" customWidth="1"/>
    <col min="503" max="503" width="6.140625" bestFit="1" customWidth="1"/>
    <col min="504" max="504" width="5.42578125" bestFit="1" customWidth="1"/>
    <col min="505" max="505" width="7" bestFit="1" customWidth="1"/>
    <col min="506" max="506" width="7.5703125" bestFit="1" customWidth="1"/>
    <col min="507" max="507" width="6" bestFit="1" customWidth="1"/>
    <col min="508" max="508" width="5" bestFit="1" customWidth="1"/>
    <col min="509" max="509" width="32.28515625" bestFit="1" customWidth="1"/>
    <col min="510" max="510" width="6.7109375" bestFit="1" customWidth="1"/>
    <col min="511" max="511" width="4.28515625" bestFit="1" customWidth="1"/>
    <col min="512" max="512" width="6.85546875" bestFit="1" customWidth="1"/>
    <col min="513" max="513" width="5.5703125" bestFit="1" customWidth="1"/>
    <col min="514" max="514" width="6.42578125" bestFit="1" customWidth="1"/>
    <col min="515" max="515" width="5" bestFit="1" customWidth="1"/>
    <col min="516" max="516" width="5.7109375" bestFit="1" customWidth="1"/>
    <col min="517" max="517" width="4.7109375" bestFit="1" customWidth="1"/>
    <col min="518" max="518" width="7.7109375" bestFit="1" customWidth="1"/>
    <col min="519" max="519" width="5.42578125" bestFit="1" customWidth="1"/>
    <col min="520" max="520" width="7" bestFit="1" customWidth="1"/>
    <col min="521" max="521" width="6.140625" bestFit="1" customWidth="1"/>
    <col min="522" max="522" width="5.42578125" bestFit="1" customWidth="1"/>
    <col min="523" max="523" width="7" bestFit="1" customWidth="1"/>
    <col min="524" max="524" width="7.5703125" bestFit="1" customWidth="1"/>
    <col min="525" max="525" width="6" bestFit="1" customWidth="1"/>
    <col min="526" max="526" width="5" bestFit="1" customWidth="1"/>
    <col min="527" max="527" width="24.42578125" bestFit="1" customWidth="1"/>
    <col min="528" max="528" width="6.7109375" bestFit="1" customWidth="1"/>
    <col min="529" max="529" width="4.28515625" bestFit="1" customWidth="1"/>
    <col min="530" max="530" width="6.85546875" bestFit="1" customWidth="1"/>
    <col min="531" max="531" width="5.5703125" bestFit="1" customWidth="1"/>
    <col min="532" max="532" width="6.42578125" bestFit="1" customWidth="1"/>
    <col min="533" max="533" width="5" bestFit="1" customWidth="1"/>
    <col min="534" max="534" width="5.7109375" bestFit="1" customWidth="1"/>
    <col min="535" max="535" width="4.7109375" bestFit="1" customWidth="1"/>
    <col min="536" max="536" width="7.7109375" bestFit="1" customWidth="1"/>
    <col min="537" max="537" width="5.42578125" bestFit="1" customWidth="1"/>
    <col min="538" max="538" width="7" bestFit="1" customWidth="1"/>
    <col min="539" max="539" width="6.140625" bestFit="1" customWidth="1"/>
    <col min="540" max="540" width="5.42578125" bestFit="1" customWidth="1"/>
    <col min="541" max="541" width="7" bestFit="1" customWidth="1"/>
    <col min="542" max="542" width="7.5703125" bestFit="1" customWidth="1"/>
    <col min="543" max="543" width="6" bestFit="1" customWidth="1"/>
    <col min="544" max="544" width="5" bestFit="1" customWidth="1"/>
    <col min="545" max="545" width="23.85546875" bestFit="1" customWidth="1"/>
    <col min="546" max="546" width="6.7109375" bestFit="1" customWidth="1"/>
    <col min="547" max="547" width="4.28515625" bestFit="1" customWidth="1"/>
    <col min="548" max="548" width="6.85546875" bestFit="1" customWidth="1"/>
    <col min="549" max="549" width="5.5703125" bestFit="1" customWidth="1"/>
    <col min="550" max="550" width="6.42578125" bestFit="1" customWidth="1"/>
    <col min="551" max="551" width="5" bestFit="1" customWidth="1"/>
    <col min="552" max="552" width="5.7109375" bestFit="1" customWidth="1"/>
    <col min="553" max="553" width="4.7109375" bestFit="1" customWidth="1"/>
    <col min="554" max="554" width="7.7109375" bestFit="1" customWidth="1"/>
    <col min="555" max="555" width="5.42578125" bestFit="1" customWidth="1"/>
    <col min="556" max="556" width="7" bestFit="1" customWidth="1"/>
    <col min="557" max="557" width="6.140625" bestFit="1" customWidth="1"/>
    <col min="558" max="558" width="5.42578125" bestFit="1" customWidth="1"/>
    <col min="559" max="559" width="7" bestFit="1" customWidth="1"/>
    <col min="560" max="560" width="7.5703125" bestFit="1" customWidth="1"/>
    <col min="561" max="561" width="6" bestFit="1" customWidth="1"/>
    <col min="562" max="562" width="5" bestFit="1" customWidth="1"/>
    <col min="563" max="563" width="38.140625" bestFit="1" customWidth="1"/>
    <col min="564" max="564" width="6.7109375" bestFit="1" customWidth="1"/>
    <col min="565" max="565" width="4.28515625" bestFit="1" customWidth="1"/>
    <col min="566" max="566" width="6.85546875" bestFit="1" customWidth="1"/>
    <col min="567" max="567" width="5.5703125" bestFit="1" customWidth="1"/>
    <col min="568" max="568" width="6.42578125" bestFit="1" customWidth="1"/>
    <col min="569" max="569" width="5" bestFit="1" customWidth="1"/>
    <col min="570" max="570" width="5.7109375" bestFit="1" customWidth="1"/>
    <col min="571" max="571" width="4.7109375" bestFit="1" customWidth="1"/>
    <col min="572" max="572" width="7.7109375" bestFit="1" customWidth="1"/>
    <col min="573" max="573" width="5.42578125" bestFit="1" customWidth="1"/>
    <col min="574" max="574" width="7" bestFit="1" customWidth="1"/>
    <col min="575" max="575" width="6.140625" bestFit="1" customWidth="1"/>
    <col min="576" max="576" width="5.42578125" bestFit="1" customWidth="1"/>
    <col min="577" max="577" width="7" bestFit="1" customWidth="1"/>
    <col min="578" max="578" width="7.5703125" bestFit="1" customWidth="1"/>
    <col min="579" max="579" width="6" bestFit="1" customWidth="1"/>
    <col min="580" max="580" width="5" bestFit="1" customWidth="1"/>
    <col min="581" max="581" width="23" bestFit="1" customWidth="1"/>
    <col min="582" max="582" width="6.7109375" bestFit="1" customWidth="1"/>
    <col min="583" max="583" width="4.28515625" bestFit="1" customWidth="1"/>
    <col min="584" max="584" width="6.85546875" bestFit="1" customWidth="1"/>
    <col min="585" max="585" width="5.5703125" bestFit="1" customWidth="1"/>
    <col min="586" max="586" width="6.42578125" bestFit="1" customWidth="1"/>
    <col min="587" max="587" width="5" bestFit="1" customWidth="1"/>
    <col min="588" max="588" width="5.7109375" bestFit="1" customWidth="1"/>
    <col min="589" max="589" width="4.7109375" bestFit="1" customWidth="1"/>
    <col min="590" max="590" width="7.7109375" bestFit="1" customWidth="1"/>
    <col min="591" max="591" width="5.42578125" bestFit="1" customWidth="1"/>
    <col min="592" max="592" width="7" bestFit="1" customWidth="1"/>
    <col min="593" max="593" width="6.140625" bestFit="1" customWidth="1"/>
    <col min="594" max="594" width="5.42578125" bestFit="1" customWidth="1"/>
    <col min="595" max="595" width="7" bestFit="1" customWidth="1"/>
    <col min="596" max="596" width="7.5703125" bestFit="1" customWidth="1"/>
    <col min="597" max="597" width="6" bestFit="1" customWidth="1"/>
    <col min="598" max="598" width="5" bestFit="1" customWidth="1"/>
    <col min="599" max="599" width="32.28515625" bestFit="1" customWidth="1"/>
    <col min="600" max="600" width="6.7109375" bestFit="1" customWidth="1"/>
    <col min="601" max="601" width="4.28515625" bestFit="1" customWidth="1"/>
    <col min="602" max="602" width="6.85546875" bestFit="1" customWidth="1"/>
    <col min="603" max="603" width="5.5703125" bestFit="1" customWidth="1"/>
    <col min="604" max="604" width="6.42578125" bestFit="1" customWidth="1"/>
    <col min="605" max="605" width="5" bestFit="1" customWidth="1"/>
    <col min="606" max="606" width="5.7109375" bestFit="1" customWidth="1"/>
    <col min="607" max="607" width="4.7109375" bestFit="1" customWidth="1"/>
    <col min="608" max="608" width="7.7109375" bestFit="1" customWidth="1"/>
    <col min="609" max="609" width="5.42578125" bestFit="1" customWidth="1"/>
    <col min="610" max="610" width="7" bestFit="1" customWidth="1"/>
    <col min="611" max="611" width="6.140625" bestFit="1" customWidth="1"/>
    <col min="612" max="612" width="5.42578125" bestFit="1" customWidth="1"/>
    <col min="613" max="613" width="7" bestFit="1" customWidth="1"/>
    <col min="614" max="614" width="7.5703125" bestFit="1" customWidth="1"/>
    <col min="615" max="615" width="6" bestFit="1" customWidth="1"/>
    <col min="616" max="616" width="5" bestFit="1" customWidth="1"/>
    <col min="617" max="617" width="25.7109375" bestFit="1" customWidth="1"/>
    <col min="618" max="618" width="6.7109375" bestFit="1" customWidth="1"/>
    <col min="619" max="619" width="4.28515625" bestFit="1" customWidth="1"/>
    <col min="620" max="620" width="6.85546875" bestFit="1" customWidth="1"/>
    <col min="621" max="621" width="5.5703125" bestFit="1" customWidth="1"/>
    <col min="622" max="622" width="6.42578125" bestFit="1" customWidth="1"/>
    <col min="623" max="623" width="5" bestFit="1" customWidth="1"/>
    <col min="624" max="624" width="5.7109375" bestFit="1" customWidth="1"/>
    <col min="625" max="625" width="4.7109375" bestFit="1" customWidth="1"/>
    <col min="626" max="626" width="7.7109375" bestFit="1" customWidth="1"/>
    <col min="627" max="627" width="5.42578125" bestFit="1" customWidth="1"/>
    <col min="628" max="628" width="7" bestFit="1" customWidth="1"/>
    <col min="629" max="629" width="6.140625" bestFit="1" customWidth="1"/>
    <col min="630" max="630" width="5.42578125" bestFit="1" customWidth="1"/>
    <col min="631" max="631" width="7" bestFit="1" customWidth="1"/>
    <col min="632" max="632" width="7.5703125" bestFit="1" customWidth="1"/>
    <col min="633" max="633" width="6" bestFit="1" customWidth="1"/>
    <col min="634" max="634" width="5" bestFit="1" customWidth="1"/>
    <col min="635" max="635" width="19.28515625" bestFit="1" customWidth="1"/>
    <col min="636" max="636" width="6.7109375" bestFit="1" customWidth="1"/>
    <col min="637" max="637" width="4.28515625" bestFit="1" customWidth="1"/>
    <col min="638" max="638" width="6.85546875" bestFit="1" customWidth="1"/>
    <col min="639" max="639" width="5.5703125" bestFit="1" customWidth="1"/>
    <col min="640" max="640" width="6.42578125" bestFit="1" customWidth="1"/>
    <col min="641" max="641" width="5" bestFit="1" customWidth="1"/>
    <col min="642" max="642" width="5.7109375" bestFit="1" customWidth="1"/>
    <col min="643" max="643" width="4.7109375" bestFit="1" customWidth="1"/>
    <col min="644" max="644" width="7.7109375" bestFit="1" customWidth="1"/>
    <col min="645" max="645" width="5.42578125" bestFit="1" customWidth="1"/>
    <col min="646" max="646" width="7" bestFit="1" customWidth="1"/>
    <col min="647" max="647" width="6.140625" bestFit="1" customWidth="1"/>
    <col min="648" max="648" width="5.42578125" bestFit="1" customWidth="1"/>
    <col min="649" max="649" width="7" bestFit="1" customWidth="1"/>
    <col min="650" max="650" width="7.5703125" bestFit="1" customWidth="1"/>
    <col min="651" max="651" width="6" bestFit="1" customWidth="1"/>
    <col min="652" max="652" width="5" bestFit="1" customWidth="1"/>
    <col min="653" max="653" width="22.5703125" bestFit="1" customWidth="1"/>
    <col min="654" max="654" width="6.7109375" bestFit="1" customWidth="1"/>
    <col min="655" max="655" width="4.28515625" bestFit="1" customWidth="1"/>
    <col min="656" max="656" width="6.85546875" bestFit="1" customWidth="1"/>
    <col min="657" max="657" width="5.5703125" bestFit="1" customWidth="1"/>
    <col min="658" max="658" width="6.42578125" bestFit="1" customWidth="1"/>
    <col min="659" max="659" width="5" bestFit="1" customWidth="1"/>
    <col min="660" max="660" width="5.7109375" bestFit="1" customWidth="1"/>
    <col min="661" max="661" width="4.7109375" bestFit="1" customWidth="1"/>
    <col min="662" max="662" width="7.7109375" bestFit="1" customWidth="1"/>
    <col min="663" max="663" width="5.42578125" bestFit="1" customWidth="1"/>
    <col min="664" max="664" width="7" bestFit="1" customWidth="1"/>
    <col min="665" max="665" width="6.140625" bestFit="1" customWidth="1"/>
    <col min="666" max="666" width="5.42578125" bestFit="1" customWidth="1"/>
    <col min="667" max="667" width="7" bestFit="1" customWidth="1"/>
    <col min="668" max="668" width="7.5703125" bestFit="1" customWidth="1"/>
    <col min="669" max="669" width="6" bestFit="1" customWidth="1"/>
    <col min="670" max="670" width="5" bestFit="1" customWidth="1"/>
    <col min="671" max="671" width="25.5703125" bestFit="1" customWidth="1"/>
    <col min="672" max="672" width="6.7109375" bestFit="1" customWidth="1"/>
    <col min="673" max="673" width="4.28515625" bestFit="1" customWidth="1"/>
    <col min="674" max="674" width="6.85546875" bestFit="1" customWidth="1"/>
    <col min="675" max="675" width="5.5703125" bestFit="1" customWidth="1"/>
    <col min="676" max="676" width="6.42578125" bestFit="1" customWidth="1"/>
    <col min="677" max="677" width="5" bestFit="1" customWidth="1"/>
    <col min="678" max="678" width="5.7109375" bestFit="1" customWidth="1"/>
    <col min="679" max="679" width="4.7109375" bestFit="1" customWidth="1"/>
    <col min="680" max="680" width="7.7109375" bestFit="1" customWidth="1"/>
    <col min="681" max="681" width="5.42578125" bestFit="1" customWidth="1"/>
    <col min="682" max="682" width="7" bestFit="1" customWidth="1"/>
    <col min="683" max="683" width="6.140625" bestFit="1" customWidth="1"/>
    <col min="684" max="684" width="5.42578125" bestFit="1" customWidth="1"/>
    <col min="685" max="685" width="7" bestFit="1" customWidth="1"/>
    <col min="686" max="686" width="7.5703125" bestFit="1" customWidth="1"/>
    <col min="687" max="687" width="6" bestFit="1" customWidth="1"/>
    <col min="688" max="688" width="5" bestFit="1" customWidth="1"/>
    <col min="689" max="689" width="26.5703125" bestFit="1" customWidth="1"/>
    <col min="690" max="690" width="6.7109375" bestFit="1" customWidth="1"/>
    <col min="691" max="691" width="4.28515625" bestFit="1" customWidth="1"/>
    <col min="692" max="692" width="6.85546875" bestFit="1" customWidth="1"/>
    <col min="693" max="693" width="5.5703125" bestFit="1" customWidth="1"/>
    <col min="694" max="694" width="6.42578125" bestFit="1" customWidth="1"/>
    <col min="695" max="695" width="5" bestFit="1" customWidth="1"/>
    <col min="696" max="696" width="5.7109375" bestFit="1" customWidth="1"/>
    <col min="697" max="697" width="4.7109375" bestFit="1" customWidth="1"/>
    <col min="698" max="698" width="7.7109375" bestFit="1" customWidth="1"/>
    <col min="699" max="699" width="5.42578125" bestFit="1" customWidth="1"/>
    <col min="700" max="700" width="7" bestFit="1" customWidth="1"/>
    <col min="701" max="701" width="6.140625" bestFit="1" customWidth="1"/>
    <col min="702" max="702" width="5.42578125" bestFit="1" customWidth="1"/>
    <col min="703" max="703" width="7" bestFit="1" customWidth="1"/>
    <col min="704" max="704" width="7.5703125" bestFit="1" customWidth="1"/>
    <col min="705" max="705" width="6" bestFit="1" customWidth="1"/>
    <col min="706" max="706" width="5" bestFit="1" customWidth="1"/>
    <col min="707" max="707" width="46" bestFit="1" customWidth="1"/>
    <col min="708" max="708" width="6.7109375" bestFit="1" customWidth="1"/>
    <col min="709" max="709" width="4.28515625" bestFit="1" customWidth="1"/>
    <col min="710" max="710" width="6.85546875" bestFit="1" customWidth="1"/>
    <col min="711" max="711" width="5.5703125" bestFit="1" customWidth="1"/>
    <col min="712" max="712" width="6.42578125" bestFit="1" customWidth="1"/>
    <col min="713" max="713" width="5" bestFit="1" customWidth="1"/>
    <col min="714" max="714" width="5.7109375" bestFit="1" customWidth="1"/>
    <col min="715" max="715" width="4.7109375" bestFit="1" customWidth="1"/>
    <col min="716" max="716" width="7.7109375" bestFit="1" customWidth="1"/>
    <col min="717" max="717" width="5.42578125" bestFit="1" customWidth="1"/>
    <col min="718" max="718" width="7" bestFit="1" customWidth="1"/>
    <col min="719" max="719" width="6.140625" bestFit="1" customWidth="1"/>
    <col min="720" max="720" width="5.42578125" bestFit="1" customWidth="1"/>
    <col min="721" max="721" width="7" bestFit="1" customWidth="1"/>
    <col min="722" max="722" width="7.5703125" bestFit="1" customWidth="1"/>
    <col min="723" max="723" width="6" bestFit="1" customWidth="1"/>
    <col min="724" max="724" width="5" bestFit="1" customWidth="1"/>
    <col min="725" max="725" width="32.28515625" bestFit="1" customWidth="1"/>
    <col min="726" max="726" width="6.7109375" bestFit="1" customWidth="1"/>
    <col min="727" max="727" width="4.28515625" bestFit="1" customWidth="1"/>
    <col min="728" max="728" width="6.85546875" bestFit="1" customWidth="1"/>
    <col min="729" max="729" width="5.5703125" bestFit="1" customWidth="1"/>
    <col min="730" max="730" width="6.42578125" bestFit="1" customWidth="1"/>
    <col min="731" max="731" width="5" bestFit="1" customWidth="1"/>
    <col min="732" max="732" width="5.7109375" bestFit="1" customWidth="1"/>
    <col min="733" max="733" width="4.7109375" bestFit="1" customWidth="1"/>
    <col min="734" max="734" width="7.7109375" bestFit="1" customWidth="1"/>
    <col min="735" max="735" width="5.42578125" bestFit="1" customWidth="1"/>
    <col min="736" max="736" width="7" bestFit="1" customWidth="1"/>
    <col min="737" max="737" width="6.140625" bestFit="1" customWidth="1"/>
    <col min="738" max="738" width="5.42578125" bestFit="1" customWidth="1"/>
    <col min="739" max="739" width="7" bestFit="1" customWidth="1"/>
    <col min="740" max="740" width="7.5703125" bestFit="1" customWidth="1"/>
    <col min="741" max="741" width="6" bestFit="1" customWidth="1"/>
    <col min="742" max="742" width="5" bestFit="1" customWidth="1"/>
    <col min="743" max="743" width="20.42578125" bestFit="1" customWidth="1"/>
    <col min="744" max="744" width="6.7109375" bestFit="1" customWidth="1"/>
    <col min="745" max="745" width="4.28515625" bestFit="1" customWidth="1"/>
    <col min="746" max="746" width="6.85546875" bestFit="1" customWidth="1"/>
    <col min="747" max="747" width="5.5703125" bestFit="1" customWidth="1"/>
    <col min="748" max="748" width="6.42578125" bestFit="1" customWidth="1"/>
    <col min="749" max="749" width="5" bestFit="1" customWidth="1"/>
    <col min="750" max="750" width="5.7109375" bestFit="1" customWidth="1"/>
    <col min="751" max="751" width="4.7109375" bestFit="1" customWidth="1"/>
    <col min="752" max="752" width="7.7109375" bestFit="1" customWidth="1"/>
    <col min="753" max="753" width="5.42578125" bestFit="1" customWidth="1"/>
    <col min="754" max="754" width="7" bestFit="1" customWidth="1"/>
    <col min="755" max="755" width="6.140625" bestFit="1" customWidth="1"/>
    <col min="756" max="756" width="5.42578125" bestFit="1" customWidth="1"/>
    <col min="757" max="757" width="7" bestFit="1" customWidth="1"/>
    <col min="758" max="758" width="7.5703125" bestFit="1" customWidth="1"/>
    <col min="759" max="759" width="6" bestFit="1" customWidth="1"/>
    <col min="760" max="760" width="5" bestFit="1" customWidth="1"/>
    <col min="761" max="761" width="30.28515625" bestFit="1" customWidth="1"/>
    <col min="762" max="762" width="6.7109375" bestFit="1" customWidth="1"/>
    <col min="763" max="763" width="4.28515625" bestFit="1" customWidth="1"/>
    <col min="764" max="764" width="6.85546875" bestFit="1" customWidth="1"/>
    <col min="765" max="765" width="5.5703125" bestFit="1" customWidth="1"/>
    <col min="766" max="766" width="6.42578125" bestFit="1" customWidth="1"/>
    <col min="767" max="767" width="5" bestFit="1" customWidth="1"/>
    <col min="768" max="768" width="5.7109375" bestFit="1" customWidth="1"/>
    <col min="769" max="769" width="4.7109375" bestFit="1" customWidth="1"/>
    <col min="770" max="770" width="7.7109375" bestFit="1" customWidth="1"/>
    <col min="771" max="771" width="5.42578125" bestFit="1" customWidth="1"/>
    <col min="772" max="772" width="7" bestFit="1" customWidth="1"/>
    <col min="773" max="773" width="6.140625" bestFit="1" customWidth="1"/>
    <col min="774" max="774" width="5.42578125" bestFit="1" customWidth="1"/>
    <col min="775" max="775" width="7" bestFit="1" customWidth="1"/>
    <col min="776" max="776" width="7.5703125" bestFit="1" customWidth="1"/>
    <col min="777" max="777" width="6" bestFit="1" customWidth="1"/>
    <col min="778" max="778" width="5" bestFit="1" customWidth="1"/>
    <col min="779" max="779" width="23.28515625" bestFit="1" customWidth="1"/>
    <col min="780" max="780" width="6.7109375" bestFit="1" customWidth="1"/>
    <col min="781" max="781" width="4.28515625" bestFit="1" customWidth="1"/>
    <col min="782" max="782" width="6.85546875" bestFit="1" customWidth="1"/>
    <col min="783" max="783" width="5.5703125" bestFit="1" customWidth="1"/>
    <col min="784" max="784" width="6.42578125" bestFit="1" customWidth="1"/>
    <col min="785" max="785" width="5" bestFit="1" customWidth="1"/>
    <col min="786" max="786" width="5.7109375" bestFit="1" customWidth="1"/>
    <col min="787" max="787" width="4.7109375" bestFit="1" customWidth="1"/>
    <col min="788" max="788" width="7.7109375" bestFit="1" customWidth="1"/>
    <col min="789" max="789" width="5.42578125" bestFit="1" customWidth="1"/>
    <col min="790" max="790" width="7" bestFit="1" customWidth="1"/>
    <col min="791" max="791" width="6.140625" bestFit="1" customWidth="1"/>
    <col min="792" max="792" width="5.42578125" bestFit="1" customWidth="1"/>
    <col min="793" max="793" width="7" bestFit="1" customWidth="1"/>
    <col min="794" max="794" width="7.5703125" bestFit="1" customWidth="1"/>
    <col min="795" max="795" width="6" bestFit="1" customWidth="1"/>
    <col min="796" max="796" width="5" bestFit="1" customWidth="1"/>
    <col min="797" max="797" width="33" bestFit="1" customWidth="1"/>
    <col min="798" max="798" width="6.7109375" bestFit="1" customWidth="1"/>
    <col min="799" max="799" width="4.28515625" bestFit="1" customWidth="1"/>
    <col min="800" max="800" width="6.85546875" bestFit="1" customWidth="1"/>
    <col min="801" max="801" width="5.5703125" bestFit="1" customWidth="1"/>
    <col min="802" max="802" width="6.42578125" bestFit="1" customWidth="1"/>
    <col min="803" max="803" width="5" bestFit="1" customWidth="1"/>
    <col min="804" max="804" width="5.7109375" bestFit="1" customWidth="1"/>
    <col min="805" max="805" width="4.7109375" bestFit="1" customWidth="1"/>
    <col min="806" max="806" width="7.7109375" bestFit="1" customWidth="1"/>
    <col min="807" max="807" width="5.42578125" bestFit="1" customWidth="1"/>
    <col min="808" max="808" width="7" bestFit="1" customWidth="1"/>
    <col min="809" max="809" width="6.140625" bestFit="1" customWidth="1"/>
    <col min="810" max="810" width="5.42578125" bestFit="1" customWidth="1"/>
    <col min="811" max="811" width="7" bestFit="1" customWidth="1"/>
    <col min="812" max="812" width="7.5703125" bestFit="1" customWidth="1"/>
    <col min="813" max="813" width="6" bestFit="1" customWidth="1"/>
    <col min="814" max="814" width="5" bestFit="1" customWidth="1"/>
    <col min="815" max="815" width="23.7109375" bestFit="1" customWidth="1"/>
    <col min="816" max="816" width="6.7109375" bestFit="1" customWidth="1"/>
    <col min="817" max="817" width="4.28515625" bestFit="1" customWidth="1"/>
    <col min="818" max="818" width="6.85546875" bestFit="1" customWidth="1"/>
    <col min="819" max="819" width="5.5703125" bestFit="1" customWidth="1"/>
    <col min="820" max="820" width="6.42578125" bestFit="1" customWidth="1"/>
    <col min="821" max="821" width="5" bestFit="1" customWidth="1"/>
    <col min="822" max="822" width="5.7109375" bestFit="1" customWidth="1"/>
    <col min="823" max="823" width="4.7109375" bestFit="1" customWidth="1"/>
    <col min="824" max="824" width="7.7109375" bestFit="1" customWidth="1"/>
    <col min="825" max="825" width="5.42578125" bestFit="1" customWidth="1"/>
    <col min="826" max="826" width="7" bestFit="1" customWidth="1"/>
    <col min="827" max="827" width="6.140625" bestFit="1" customWidth="1"/>
    <col min="828" max="828" width="5.42578125" bestFit="1" customWidth="1"/>
    <col min="829" max="829" width="7" bestFit="1" customWidth="1"/>
    <col min="830" max="830" width="7.5703125" bestFit="1" customWidth="1"/>
    <col min="831" max="831" width="6" bestFit="1" customWidth="1"/>
    <col min="832" max="832" width="5" bestFit="1" customWidth="1"/>
    <col min="833" max="833" width="31.7109375" bestFit="1" customWidth="1"/>
    <col min="834" max="834" width="6.7109375" bestFit="1" customWidth="1"/>
    <col min="835" max="835" width="4.28515625" bestFit="1" customWidth="1"/>
    <col min="836" max="836" width="6.85546875" bestFit="1" customWidth="1"/>
    <col min="837" max="837" width="5.5703125" bestFit="1" customWidth="1"/>
    <col min="838" max="838" width="6.42578125" bestFit="1" customWidth="1"/>
    <col min="839" max="839" width="5" bestFit="1" customWidth="1"/>
    <col min="840" max="840" width="5.7109375" bestFit="1" customWidth="1"/>
    <col min="841" max="841" width="4.7109375" bestFit="1" customWidth="1"/>
    <col min="842" max="842" width="7.7109375" bestFit="1" customWidth="1"/>
    <col min="843" max="843" width="5.42578125" bestFit="1" customWidth="1"/>
    <col min="844" max="844" width="7" bestFit="1" customWidth="1"/>
    <col min="845" max="845" width="6.140625" bestFit="1" customWidth="1"/>
    <col min="846" max="846" width="5.42578125" bestFit="1" customWidth="1"/>
    <col min="847" max="847" width="7" bestFit="1" customWidth="1"/>
    <col min="848" max="848" width="7.5703125" bestFit="1" customWidth="1"/>
    <col min="849" max="849" width="6" bestFit="1" customWidth="1"/>
    <col min="850" max="850" width="5" bestFit="1" customWidth="1"/>
    <col min="851" max="851" width="25.5703125" bestFit="1" customWidth="1"/>
    <col min="852" max="852" width="6.7109375" bestFit="1" customWidth="1"/>
    <col min="853" max="853" width="4.28515625" bestFit="1" customWidth="1"/>
    <col min="854" max="854" width="6.85546875" bestFit="1" customWidth="1"/>
    <col min="855" max="855" width="5.5703125" bestFit="1" customWidth="1"/>
    <col min="856" max="856" width="6.42578125" bestFit="1" customWidth="1"/>
    <col min="857" max="857" width="5" bestFit="1" customWidth="1"/>
    <col min="858" max="858" width="5.7109375" bestFit="1" customWidth="1"/>
    <col min="859" max="859" width="4.7109375" bestFit="1" customWidth="1"/>
    <col min="860" max="860" width="7.7109375" bestFit="1" customWidth="1"/>
    <col min="861" max="861" width="5.42578125" bestFit="1" customWidth="1"/>
    <col min="862" max="862" width="7" bestFit="1" customWidth="1"/>
    <col min="863" max="863" width="6.140625" bestFit="1" customWidth="1"/>
    <col min="864" max="864" width="5.42578125" bestFit="1" customWidth="1"/>
    <col min="865" max="865" width="7" bestFit="1" customWidth="1"/>
    <col min="866" max="866" width="7.5703125" bestFit="1" customWidth="1"/>
    <col min="867" max="867" width="6" bestFit="1" customWidth="1"/>
    <col min="868" max="868" width="5" bestFit="1" customWidth="1"/>
    <col min="869" max="869" width="34.5703125" bestFit="1" customWidth="1"/>
    <col min="870" max="870" width="6.7109375" bestFit="1" customWidth="1"/>
    <col min="871" max="871" width="4.28515625" bestFit="1" customWidth="1"/>
    <col min="872" max="872" width="6.85546875" bestFit="1" customWidth="1"/>
    <col min="873" max="873" width="5.5703125" bestFit="1" customWidth="1"/>
    <col min="874" max="874" width="6.42578125" bestFit="1" customWidth="1"/>
    <col min="875" max="875" width="5" bestFit="1" customWidth="1"/>
    <col min="876" max="876" width="5.7109375" bestFit="1" customWidth="1"/>
    <col min="877" max="877" width="4.7109375" bestFit="1" customWidth="1"/>
    <col min="878" max="878" width="7.7109375" bestFit="1" customWidth="1"/>
    <col min="879" max="879" width="5.42578125" bestFit="1" customWidth="1"/>
    <col min="880" max="880" width="7" bestFit="1" customWidth="1"/>
    <col min="881" max="881" width="6.140625" bestFit="1" customWidth="1"/>
    <col min="882" max="882" width="5.42578125" bestFit="1" customWidth="1"/>
    <col min="883" max="883" width="7" bestFit="1" customWidth="1"/>
    <col min="884" max="884" width="7.5703125" bestFit="1" customWidth="1"/>
    <col min="885" max="885" width="6" bestFit="1" customWidth="1"/>
    <col min="886" max="886" width="5" bestFit="1" customWidth="1"/>
    <col min="887" max="887" width="24.140625" bestFit="1" customWidth="1"/>
    <col min="888" max="888" width="6.7109375" bestFit="1" customWidth="1"/>
    <col min="889" max="889" width="4.28515625" bestFit="1" customWidth="1"/>
    <col min="890" max="890" width="6.85546875" bestFit="1" customWidth="1"/>
    <col min="891" max="891" width="5.5703125" bestFit="1" customWidth="1"/>
    <col min="892" max="892" width="6.42578125" bestFit="1" customWidth="1"/>
    <col min="893" max="893" width="5" bestFit="1" customWidth="1"/>
    <col min="894" max="894" width="5.7109375" bestFit="1" customWidth="1"/>
    <col min="895" max="895" width="4.7109375" bestFit="1" customWidth="1"/>
    <col min="896" max="896" width="7.7109375" bestFit="1" customWidth="1"/>
    <col min="897" max="897" width="5.42578125" bestFit="1" customWidth="1"/>
    <col min="898" max="898" width="7" bestFit="1" customWidth="1"/>
    <col min="899" max="899" width="6.140625" bestFit="1" customWidth="1"/>
    <col min="900" max="900" width="5.42578125" bestFit="1" customWidth="1"/>
    <col min="901" max="901" width="7" bestFit="1" customWidth="1"/>
    <col min="902" max="902" width="7.5703125" bestFit="1" customWidth="1"/>
    <col min="903" max="903" width="6" bestFit="1" customWidth="1"/>
    <col min="904" max="904" width="5" bestFit="1" customWidth="1"/>
    <col min="905" max="905" width="33.5703125" bestFit="1" customWidth="1"/>
    <col min="906" max="906" width="6.7109375" bestFit="1" customWidth="1"/>
    <col min="907" max="907" width="4.28515625" bestFit="1" customWidth="1"/>
    <col min="908" max="908" width="6.85546875" bestFit="1" customWidth="1"/>
    <col min="909" max="909" width="5.5703125" bestFit="1" customWidth="1"/>
    <col min="910" max="910" width="6.42578125" bestFit="1" customWidth="1"/>
    <col min="911" max="911" width="5" bestFit="1" customWidth="1"/>
    <col min="912" max="912" width="5.7109375" bestFit="1" customWidth="1"/>
    <col min="913" max="913" width="4.7109375" bestFit="1" customWidth="1"/>
    <col min="914" max="914" width="7.7109375" bestFit="1" customWidth="1"/>
    <col min="915" max="915" width="5.42578125" bestFit="1" customWidth="1"/>
    <col min="916" max="916" width="7" bestFit="1" customWidth="1"/>
    <col min="917" max="917" width="6.140625" bestFit="1" customWidth="1"/>
    <col min="918" max="918" width="5.42578125" bestFit="1" customWidth="1"/>
    <col min="919" max="919" width="7" bestFit="1" customWidth="1"/>
    <col min="920" max="920" width="7.5703125" bestFit="1" customWidth="1"/>
    <col min="921" max="921" width="6" bestFit="1" customWidth="1"/>
    <col min="922" max="922" width="5" bestFit="1" customWidth="1"/>
    <col min="923" max="923" width="25.5703125" bestFit="1" customWidth="1"/>
    <col min="924" max="924" width="6.7109375" bestFit="1" customWidth="1"/>
    <col min="925" max="925" width="4.28515625" bestFit="1" customWidth="1"/>
    <col min="926" max="926" width="6.85546875" bestFit="1" customWidth="1"/>
    <col min="927" max="927" width="5.5703125" bestFit="1" customWidth="1"/>
    <col min="928" max="928" width="6.42578125" bestFit="1" customWidth="1"/>
    <col min="929" max="929" width="5" bestFit="1" customWidth="1"/>
    <col min="930" max="930" width="5.7109375" bestFit="1" customWidth="1"/>
    <col min="931" max="931" width="4.7109375" bestFit="1" customWidth="1"/>
    <col min="932" max="932" width="7.7109375" bestFit="1" customWidth="1"/>
    <col min="933" max="933" width="5.42578125" bestFit="1" customWidth="1"/>
    <col min="934" max="934" width="7" bestFit="1" customWidth="1"/>
    <col min="935" max="935" width="6.140625" bestFit="1" customWidth="1"/>
    <col min="936" max="936" width="5.42578125" bestFit="1" customWidth="1"/>
    <col min="937" max="937" width="7" bestFit="1" customWidth="1"/>
    <col min="938" max="938" width="7.5703125" bestFit="1" customWidth="1"/>
    <col min="939" max="939" width="6" bestFit="1" customWidth="1"/>
    <col min="940" max="940" width="5" bestFit="1" customWidth="1"/>
    <col min="941" max="941" width="35" bestFit="1" customWidth="1"/>
    <col min="942" max="942" width="6.7109375" bestFit="1" customWidth="1"/>
    <col min="943" max="943" width="4.28515625" bestFit="1" customWidth="1"/>
    <col min="944" max="944" width="6.85546875" bestFit="1" customWidth="1"/>
    <col min="945" max="945" width="5.5703125" bestFit="1" customWidth="1"/>
    <col min="946" max="946" width="6.42578125" bestFit="1" customWidth="1"/>
    <col min="947" max="947" width="5" bestFit="1" customWidth="1"/>
    <col min="948" max="948" width="5.7109375" bestFit="1" customWidth="1"/>
    <col min="949" max="949" width="4.7109375" bestFit="1" customWidth="1"/>
    <col min="950" max="950" width="7.7109375" bestFit="1" customWidth="1"/>
    <col min="951" max="951" width="5.42578125" bestFit="1" customWidth="1"/>
    <col min="952" max="952" width="7" bestFit="1" customWidth="1"/>
    <col min="953" max="953" width="6.140625" bestFit="1" customWidth="1"/>
    <col min="954" max="954" width="5.42578125" bestFit="1" customWidth="1"/>
    <col min="955" max="955" width="7" bestFit="1" customWidth="1"/>
    <col min="956" max="956" width="7.5703125" bestFit="1" customWidth="1"/>
    <col min="957" max="957" width="6" bestFit="1" customWidth="1"/>
    <col min="958" max="958" width="5" bestFit="1" customWidth="1"/>
    <col min="959" max="959" width="21.42578125" bestFit="1" customWidth="1"/>
    <col min="960" max="960" width="6.7109375" bestFit="1" customWidth="1"/>
    <col min="961" max="961" width="4.28515625" bestFit="1" customWidth="1"/>
    <col min="962" max="962" width="6.85546875" bestFit="1" customWidth="1"/>
    <col min="963" max="963" width="5.5703125" bestFit="1" customWidth="1"/>
    <col min="964" max="964" width="6.42578125" bestFit="1" customWidth="1"/>
    <col min="965" max="965" width="5" bestFit="1" customWidth="1"/>
    <col min="966" max="966" width="5.7109375" bestFit="1" customWidth="1"/>
    <col min="967" max="967" width="4.7109375" bestFit="1" customWidth="1"/>
    <col min="968" max="968" width="7.7109375" bestFit="1" customWidth="1"/>
    <col min="969" max="969" width="5.42578125" bestFit="1" customWidth="1"/>
    <col min="970" max="970" width="7" bestFit="1" customWidth="1"/>
    <col min="971" max="971" width="6.140625" bestFit="1" customWidth="1"/>
    <col min="972" max="972" width="5.42578125" bestFit="1" customWidth="1"/>
    <col min="973" max="973" width="7" bestFit="1" customWidth="1"/>
    <col min="974" max="974" width="7.5703125" bestFit="1" customWidth="1"/>
    <col min="975" max="975" width="6" bestFit="1" customWidth="1"/>
    <col min="976" max="976" width="5" bestFit="1" customWidth="1"/>
    <col min="977" max="977" width="30.85546875" bestFit="1" customWidth="1"/>
    <col min="978" max="978" width="6.7109375" bestFit="1" customWidth="1"/>
    <col min="979" max="979" width="4.28515625" bestFit="1" customWidth="1"/>
    <col min="980" max="980" width="6.85546875" bestFit="1" customWidth="1"/>
    <col min="981" max="981" width="5.5703125" bestFit="1" customWidth="1"/>
    <col min="982" max="982" width="6.42578125" bestFit="1" customWidth="1"/>
    <col min="983" max="983" width="5" bestFit="1" customWidth="1"/>
    <col min="984" max="984" width="5.7109375" bestFit="1" customWidth="1"/>
    <col min="985" max="985" width="4.7109375" bestFit="1" customWidth="1"/>
    <col min="986" max="986" width="7.7109375" bestFit="1" customWidth="1"/>
    <col min="987" max="987" width="5.42578125" bestFit="1" customWidth="1"/>
    <col min="988" max="988" width="7" bestFit="1" customWidth="1"/>
    <col min="989" max="989" width="6.140625" bestFit="1" customWidth="1"/>
    <col min="990" max="990" width="5.42578125" bestFit="1" customWidth="1"/>
    <col min="991" max="991" width="7" bestFit="1" customWidth="1"/>
    <col min="992" max="992" width="7.5703125" bestFit="1" customWidth="1"/>
    <col min="993" max="993" width="6" bestFit="1" customWidth="1"/>
    <col min="994" max="994" width="5" bestFit="1" customWidth="1"/>
    <col min="995" max="995" width="32.85546875" bestFit="1" customWidth="1"/>
    <col min="996" max="996" width="6.7109375" bestFit="1" customWidth="1"/>
    <col min="997" max="997" width="4.28515625" bestFit="1" customWidth="1"/>
    <col min="998" max="998" width="6.85546875" bestFit="1" customWidth="1"/>
    <col min="999" max="999" width="5.5703125" bestFit="1" customWidth="1"/>
    <col min="1000" max="1000" width="6.42578125" bestFit="1" customWidth="1"/>
    <col min="1001" max="1001" width="5" bestFit="1" customWidth="1"/>
    <col min="1002" max="1002" width="5.7109375" bestFit="1" customWidth="1"/>
    <col min="1003" max="1003" width="4.7109375" bestFit="1" customWidth="1"/>
    <col min="1004" max="1004" width="7.7109375" bestFit="1" customWidth="1"/>
    <col min="1005" max="1005" width="5.42578125" bestFit="1" customWidth="1"/>
    <col min="1006" max="1006" width="7" bestFit="1" customWidth="1"/>
    <col min="1007" max="1007" width="6.140625" bestFit="1" customWidth="1"/>
    <col min="1008" max="1008" width="5.42578125" bestFit="1" customWidth="1"/>
    <col min="1009" max="1009" width="7" bestFit="1" customWidth="1"/>
    <col min="1010" max="1010" width="7.5703125" bestFit="1" customWidth="1"/>
    <col min="1011" max="1011" width="6" bestFit="1" customWidth="1"/>
    <col min="1012" max="1012" width="5" bestFit="1" customWidth="1"/>
    <col min="1013" max="1013" width="42.28515625" bestFit="1" customWidth="1"/>
    <col min="1014" max="1014" width="6.7109375" bestFit="1" customWidth="1"/>
    <col min="1015" max="1015" width="4.28515625" bestFit="1" customWidth="1"/>
    <col min="1016" max="1016" width="6.85546875" bestFit="1" customWidth="1"/>
    <col min="1017" max="1017" width="5.5703125" bestFit="1" customWidth="1"/>
    <col min="1018" max="1018" width="6.42578125" bestFit="1" customWidth="1"/>
    <col min="1019" max="1019" width="5" bestFit="1" customWidth="1"/>
    <col min="1020" max="1020" width="5.7109375" bestFit="1" customWidth="1"/>
    <col min="1021" max="1021" width="4.7109375" bestFit="1" customWidth="1"/>
    <col min="1022" max="1022" width="7.7109375" bestFit="1" customWidth="1"/>
    <col min="1023" max="1023" width="5.42578125" bestFit="1" customWidth="1"/>
    <col min="1024" max="1024" width="7" bestFit="1" customWidth="1"/>
    <col min="1025" max="1025" width="6.140625" bestFit="1" customWidth="1"/>
    <col min="1026" max="1026" width="5.42578125" bestFit="1" customWidth="1"/>
    <col min="1027" max="1027" width="7" bestFit="1" customWidth="1"/>
    <col min="1028" max="1028" width="7.5703125" bestFit="1" customWidth="1"/>
    <col min="1029" max="1029" width="6" bestFit="1" customWidth="1"/>
    <col min="1030" max="1030" width="5" bestFit="1" customWidth="1"/>
    <col min="1031" max="1031" width="30.7109375" bestFit="1" customWidth="1"/>
    <col min="1032" max="1032" width="6.7109375" bestFit="1" customWidth="1"/>
    <col min="1033" max="1033" width="4.28515625" bestFit="1" customWidth="1"/>
    <col min="1034" max="1034" width="6.85546875" bestFit="1" customWidth="1"/>
    <col min="1035" max="1035" width="5.5703125" bestFit="1" customWidth="1"/>
    <col min="1036" max="1036" width="6.42578125" bestFit="1" customWidth="1"/>
    <col min="1037" max="1037" width="5" bestFit="1" customWidth="1"/>
    <col min="1038" max="1038" width="5.7109375" bestFit="1" customWidth="1"/>
    <col min="1039" max="1039" width="4.7109375" bestFit="1" customWidth="1"/>
    <col min="1040" max="1040" width="7.7109375" bestFit="1" customWidth="1"/>
    <col min="1041" max="1041" width="5.42578125" bestFit="1" customWidth="1"/>
    <col min="1042" max="1042" width="7" bestFit="1" customWidth="1"/>
    <col min="1043" max="1043" width="6.140625" bestFit="1" customWidth="1"/>
    <col min="1044" max="1044" width="5.42578125" bestFit="1" customWidth="1"/>
    <col min="1045" max="1045" width="7" bestFit="1" customWidth="1"/>
    <col min="1046" max="1046" width="7.5703125" bestFit="1" customWidth="1"/>
    <col min="1047" max="1047" width="6" bestFit="1" customWidth="1"/>
    <col min="1048" max="1048" width="5" bestFit="1" customWidth="1"/>
    <col min="1049" max="1049" width="50.85546875" bestFit="1" customWidth="1"/>
    <col min="1050" max="1050" width="8" bestFit="1" customWidth="1"/>
    <col min="1051" max="1051" width="6.85546875" bestFit="1" customWidth="1"/>
    <col min="1052" max="1052" width="8" bestFit="1" customWidth="1"/>
    <col min="1053" max="1057" width="6.85546875" bestFit="1" customWidth="1"/>
    <col min="1058" max="1058" width="7.7109375" bestFit="1" customWidth="1"/>
    <col min="1059" max="1059" width="8" bestFit="1" customWidth="1"/>
    <col min="1060" max="1060" width="7" bestFit="1" customWidth="1"/>
    <col min="1061" max="1061" width="6.85546875" bestFit="1" customWidth="1"/>
    <col min="1062" max="1062" width="8" bestFit="1" customWidth="1"/>
    <col min="1063" max="1063" width="7" bestFit="1" customWidth="1"/>
    <col min="1064" max="1065" width="8" bestFit="1" customWidth="1"/>
    <col min="1066" max="1066" width="6.85546875" bestFit="1" customWidth="1"/>
    <col min="1067" max="1067" width="50.7109375" bestFit="1" customWidth="1"/>
    <col min="1068" max="1068" width="8" bestFit="1" customWidth="1"/>
    <col min="1069" max="1069" width="6.85546875" bestFit="1" customWidth="1"/>
    <col min="1070" max="1070" width="8" bestFit="1" customWidth="1"/>
    <col min="1071" max="1072" width="6.85546875" bestFit="1" customWidth="1"/>
    <col min="1073" max="1073" width="8" bestFit="1" customWidth="1"/>
    <col min="1074" max="1075" width="6.85546875" bestFit="1" customWidth="1"/>
    <col min="1076" max="1076" width="7.7109375" bestFit="1" customWidth="1"/>
    <col min="1077" max="1077" width="8" bestFit="1" customWidth="1"/>
    <col min="1078" max="1078" width="7" bestFit="1" customWidth="1"/>
    <col min="1079" max="1079" width="6.85546875" bestFit="1" customWidth="1"/>
    <col min="1080" max="1080" width="8" bestFit="1" customWidth="1"/>
    <col min="1081" max="1081" width="7" bestFit="1" customWidth="1"/>
    <col min="1082" max="1083" width="8" bestFit="1" customWidth="1"/>
    <col min="1084" max="1084" width="6.85546875" bestFit="1" customWidth="1"/>
    <col min="1085" max="1085" width="51.140625" bestFit="1" customWidth="1"/>
    <col min="1086" max="1086" width="8" bestFit="1" customWidth="1"/>
    <col min="1087" max="1087" width="6.85546875" bestFit="1" customWidth="1"/>
    <col min="1088" max="1088" width="8" bestFit="1" customWidth="1"/>
    <col min="1089" max="1093" width="6.85546875" bestFit="1" customWidth="1"/>
    <col min="1094" max="1094" width="7.7109375" bestFit="1" customWidth="1"/>
    <col min="1095" max="1096" width="8" bestFit="1" customWidth="1"/>
    <col min="1097" max="1097" width="6.85546875" bestFit="1" customWidth="1"/>
    <col min="1098" max="1098" width="8" bestFit="1" customWidth="1"/>
    <col min="1099" max="1099" width="7" bestFit="1" customWidth="1"/>
    <col min="1100" max="1101" width="8" bestFit="1" customWidth="1"/>
    <col min="1102" max="1102" width="6.85546875" bestFit="1" customWidth="1"/>
    <col min="1103" max="1103" width="54.42578125" bestFit="1" customWidth="1"/>
    <col min="1104" max="1104" width="8" bestFit="1" customWidth="1"/>
    <col min="1105" max="1111" width="6.85546875" bestFit="1" customWidth="1"/>
    <col min="1112" max="1112" width="7.7109375" bestFit="1" customWidth="1"/>
    <col min="1113" max="1114" width="8" bestFit="1" customWidth="1"/>
    <col min="1115" max="1115" width="6.85546875" bestFit="1" customWidth="1"/>
    <col min="1116" max="1116" width="8" bestFit="1" customWidth="1"/>
    <col min="1117" max="1117" width="7" bestFit="1" customWidth="1"/>
    <col min="1118" max="1118" width="7.5703125" bestFit="1" customWidth="1"/>
    <col min="1119" max="1119" width="8" bestFit="1" customWidth="1"/>
    <col min="1120" max="1120" width="6.85546875" bestFit="1" customWidth="1"/>
    <col min="1121" max="1121" width="43.140625" bestFit="1" customWidth="1"/>
    <col min="1122" max="1124" width="6.85546875" bestFit="1" customWidth="1"/>
    <col min="1125" max="1125" width="8" bestFit="1" customWidth="1"/>
    <col min="1126" max="1129" width="6.85546875" bestFit="1" customWidth="1"/>
    <col min="1130" max="1130" width="7.7109375" bestFit="1" customWidth="1"/>
    <col min="1131" max="1131" width="8" bestFit="1" customWidth="1"/>
    <col min="1132" max="1132" width="7" bestFit="1" customWidth="1"/>
    <col min="1133" max="1133" width="6.85546875" bestFit="1" customWidth="1"/>
    <col min="1134" max="1134" width="8" bestFit="1" customWidth="1"/>
    <col min="1135" max="1135" width="7" bestFit="1" customWidth="1"/>
    <col min="1136" max="1137" width="8" bestFit="1" customWidth="1"/>
    <col min="1138" max="1138" width="6.85546875" bestFit="1" customWidth="1"/>
    <col min="1139" max="1139" width="42.85546875" bestFit="1" customWidth="1"/>
    <col min="1140" max="1147" width="6.85546875" bestFit="1" customWidth="1"/>
    <col min="1148" max="1148" width="7.7109375" bestFit="1" customWidth="1"/>
    <col min="1149" max="1149" width="6.85546875" bestFit="1" customWidth="1"/>
    <col min="1150" max="1150" width="7" bestFit="1" customWidth="1"/>
    <col min="1151" max="1152" width="6.85546875" bestFit="1" customWidth="1"/>
    <col min="1153" max="1153" width="7" bestFit="1" customWidth="1"/>
    <col min="1154" max="1154" width="7.5703125" bestFit="1" customWidth="1"/>
    <col min="1155" max="1156" width="6.85546875" bestFit="1" customWidth="1"/>
    <col min="1157" max="1157" width="43.42578125" bestFit="1" customWidth="1"/>
    <col min="1158" max="1158" width="6.7109375" bestFit="1" customWidth="1"/>
    <col min="1159" max="1161" width="6.85546875" bestFit="1" customWidth="1"/>
    <col min="1162" max="1162" width="6.42578125" bestFit="1" customWidth="1"/>
    <col min="1163" max="1163" width="5.7109375" bestFit="1" customWidth="1"/>
    <col min="1164" max="1165" width="6.85546875" bestFit="1" customWidth="1"/>
    <col min="1166" max="1166" width="7.7109375" bestFit="1" customWidth="1"/>
    <col min="1167" max="1167" width="6.85546875" bestFit="1" customWidth="1"/>
    <col min="1168" max="1168" width="7" bestFit="1" customWidth="1"/>
    <col min="1169" max="1170" width="6.85546875" bestFit="1" customWidth="1"/>
    <col min="1171" max="1171" width="7" bestFit="1" customWidth="1"/>
    <col min="1172" max="1172" width="7.5703125" bestFit="1" customWidth="1"/>
    <col min="1173" max="1174" width="6.85546875" bestFit="1" customWidth="1"/>
    <col min="1175" max="1175" width="46.5703125" bestFit="1" customWidth="1"/>
    <col min="1176" max="1176" width="6.7109375" bestFit="1" customWidth="1"/>
    <col min="1177" max="1177" width="5.7109375" bestFit="1" customWidth="1"/>
    <col min="1178" max="1178" width="6.85546875" bestFit="1" customWidth="1"/>
    <col min="1179" max="1179" width="5.5703125" bestFit="1" customWidth="1"/>
    <col min="1180" max="1180" width="6.42578125" bestFit="1" customWidth="1"/>
    <col min="1181" max="1181" width="5.7109375" bestFit="1" customWidth="1"/>
    <col min="1182" max="1182" width="6.85546875" bestFit="1" customWidth="1"/>
    <col min="1183" max="1183" width="4.7109375" bestFit="1" customWidth="1"/>
    <col min="1184" max="1184" width="7.7109375" bestFit="1" customWidth="1"/>
    <col min="1185" max="1185" width="6.85546875" bestFit="1" customWidth="1"/>
    <col min="1186" max="1186" width="7" bestFit="1" customWidth="1"/>
    <col min="1187" max="1187" width="6.140625" bestFit="1" customWidth="1"/>
    <col min="1188" max="1188" width="6.85546875" bestFit="1" customWidth="1"/>
    <col min="1189" max="1189" width="7" bestFit="1" customWidth="1"/>
    <col min="1190" max="1190" width="7.5703125" bestFit="1" customWidth="1"/>
    <col min="1191" max="1192" width="6.85546875" bestFit="1" customWidth="1"/>
    <col min="1193" max="1193" width="42.85546875" bestFit="1" customWidth="1"/>
    <col min="1194" max="1195" width="6.85546875" bestFit="1" customWidth="1"/>
    <col min="1196" max="1197" width="8" bestFit="1" customWidth="1"/>
    <col min="1198" max="1200" width="6.85546875" bestFit="1" customWidth="1"/>
    <col min="1201" max="1201" width="8" bestFit="1" customWidth="1"/>
    <col min="1202" max="1202" width="7.7109375" bestFit="1" customWidth="1"/>
    <col min="1203" max="1203" width="8" bestFit="1" customWidth="1"/>
    <col min="1204" max="1204" width="7" bestFit="1" customWidth="1"/>
    <col min="1205" max="1205" width="6.85546875" bestFit="1" customWidth="1"/>
    <col min="1206" max="1206" width="8" bestFit="1" customWidth="1"/>
    <col min="1207" max="1207" width="7" bestFit="1" customWidth="1"/>
    <col min="1208" max="1209" width="8" bestFit="1" customWidth="1"/>
    <col min="1210" max="1210" width="6.85546875" bestFit="1" customWidth="1"/>
    <col min="1211" max="1211" width="42.5703125" bestFit="1" customWidth="1"/>
    <col min="1212" max="1213" width="6.85546875" bestFit="1" customWidth="1"/>
    <col min="1214" max="1214" width="8" bestFit="1" customWidth="1"/>
    <col min="1215" max="1219" width="6.85546875" bestFit="1" customWidth="1"/>
    <col min="1220" max="1220" width="7.7109375" bestFit="1" customWidth="1"/>
    <col min="1221" max="1221" width="6.85546875" bestFit="1" customWidth="1"/>
    <col min="1222" max="1222" width="7" bestFit="1" customWidth="1"/>
    <col min="1223" max="1223" width="6.85546875" bestFit="1" customWidth="1"/>
    <col min="1224" max="1224" width="8" bestFit="1" customWidth="1"/>
    <col min="1225" max="1225" width="7" bestFit="1" customWidth="1"/>
    <col min="1226" max="1226" width="7.5703125" bestFit="1" customWidth="1"/>
    <col min="1227" max="1228" width="6.85546875" bestFit="1" customWidth="1"/>
    <col min="1229" max="1229" width="43.140625" bestFit="1" customWidth="1"/>
    <col min="1230" max="1230" width="6.7109375" bestFit="1" customWidth="1"/>
    <col min="1231" max="1233" width="6.85546875" bestFit="1" customWidth="1"/>
    <col min="1234" max="1234" width="6.42578125" bestFit="1" customWidth="1"/>
    <col min="1235" max="1235" width="5.7109375" bestFit="1" customWidth="1"/>
    <col min="1236" max="1237" width="6.85546875" bestFit="1" customWidth="1"/>
    <col min="1238" max="1238" width="7.7109375" bestFit="1" customWidth="1"/>
    <col min="1239" max="1239" width="6.85546875" bestFit="1" customWidth="1"/>
    <col min="1240" max="1240" width="7" bestFit="1" customWidth="1"/>
    <col min="1241" max="1242" width="6.85546875" bestFit="1" customWidth="1"/>
    <col min="1243" max="1243" width="7" bestFit="1" customWidth="1"/>
    <col min="1244" max="1244" width="7.5703125" bestFit="1" customWidth="1"/>
    <col min="1245" max="1246" width="6.85546875" bestFit="1" customWidth="1"/>
    <col min="1247" max="1247" width="46.28515625" bestFit="1" customWidth="1"/>
    <col min="1248" max="1248" width="6.7109375" bestFit="1" customWidth="1"/>
    <col min="1249" max="1250" width="6.85546875" bestFit="1" customWidth="1"/>
    <col min="1251" max="1251" width="5.5703125" bestFit="1" customWidth="1"/>
    <col min="1252" max="1252" width="6.42578125" bestFit="1" customWidth="1"/>
    <col min="1253" max="1253" width="5.7109375" bestFit="1" customWidth="1"/>
    <col min="1254" max="1254" width="6.85546875" bestFit="1" customWidth="1"/>
    <col min="1255" max="1255" width="4.7109375" bestFit="1" customWidth="1"/>
    <col min="1256" max="1256" width="7.7109375" bestFit="1" customWidth="1"/>
    <col min="1257" max="1257" width="6.85546875" bestFit="1" customWidth="1"/>
    <col min="1258" max="1258" width="7" bestFit="1" customWidth="1"/>
    <col min="1259" max="1259" width="6.140625" bestFit="1" customWidth="1"/>
    <col min="1260" max="1260" width="6.85546875" bestFit="1" customWidth="1"/>
    <col min="1261" max="1261" width="7" bestFit="1" customWidth="1"/>
    <col min="1262" max="1262" width="7.5703125" bestFit="1" customWidth="1"/>
    <col min="1263" max="1264" width="6.85546875" bestFit="1" customWidth="1"/>
    <col min="1265" max="1265" width="38.5703125" bestFit="1" customWidth="1"/>
    <col min="1266" max="1266" width="8" bestFit="1" customWidth="1"/>
    <col min="1267" max="1267" width="4.28515625" bestFit="1" customWidth="1"/>
    <col min="1268" max="1268" width="6.85546875" bestFit="1" customWidth="1"/>
    <col min="1269" max="1269" width="5.5703125" bestFit="1" customWidth="1"/>
    <col min="1270" max="1270" width="6.42578125" bestFit="1" customWidth="1"/>
    <col min="1271" max="1271" width="5" bestFit="1" customWidth="1"/>
    <col min="1272" max="1272" width="8" bestFit="1" customWidth="1"/>
    <col min="1273" max="1273" width="4.7109375" bestFit="1" customWidth="1"/>
    <col min="1274" max="1274" width="8" bestFit="1" customWidth="1"/>
    <col min="1275" max="1275" width="5.42578125" bestFit="1" customWidth="1"/>
    <col min="1276" max="1276" width="7" bestFit="1" customWidth="1"/>
    <col min="1277" max="1277" width="6.140625" bestFit="1" customWidth="1"/>
    <col min="1278" max="1278" width="5.42578125" bestFit="1" customWidth="1"/>
    <col min="1279" max="1279" width="7" bestFit="1" customWidth="1"/>
    <col min="1280" max="1280" width="7.5703125" bestFit="1" customWidth="1"/>
    <col min="1281" max="1281" width="6" bestFit="1" customWidth="1"/>
    <col min="1282" max="1282" width="5" bestFit="1" customWidth="1"/>
    <col min="1283" max="1283" width="38.28515625" bestFit="1" customWidth="1"/>
    <col min="1284" max="1284" width="6.85546875" bestFit="1" customWidth="1"/>
    <col min="1285" max="1285" width="4.28515625" bestFit="1" customWidth="1"/>
    <col min="1286" max="1286" width="6.85546875" bestFit="1" customWidth="1"/>
    <col min="1287" max="1287" width="5.5703125" bestFit="1" customWidth="1"/>
    <col min="1288" max="1288" width="6.42578125" bestFit="1" customWidth="1"/>
    <col min="1289" max="1289" width="5" bestFit="1" customWidth="1"/>
    <col min="1290" max="1290" width="8" bestFit="1" customWidth="1"/>
    <col min="1291" max="1291" width="4.7109375" bestFit="1" customWidth="1"/>
    <col min="1292" max="1292" width="8" bestFit="1" customWidth="1"/>
    <col min="1293" max="1293" width="5.42578125" bestFit="1" customWidth="1"/>
    <col min="1294" max="1294" width="7" bestFit="1" customWidth="1"/>
    <col min="1295" max="1295" width="6.140625" bestFit="1" customWidth="1"/>
    <col min="1296" max="1296" width="5.42578125" bestFit="1" customWidth="1"/>
    <col min="1297" max="1297" width="7" bestFit="1" customWidth="1"/>
    <col min="1298" max="1298" width="7.5703125" bestFit="1" customWidth="1"/>
    <col min="1299" max="1299" width="6" bestFit="1" customWidth="1"/>
    <col min="1300" max="1300" width="5" bestFit="1" customWidth="1"/>
    <col min="1301" max="1301" width="38.85546875" bestFit="1" customWidth="1"/>
    <col min="1302" max="1302" width="6.85546875" bestFit="1" customWidth="1"/>
    <col min="1303" max="1303" width="4.28515625" bestFit="1" customWidth="1"/>
    <col min="1304" max="1304" width="6.85546875" bestFit="1" customWidth="1"/>
    <col min="1305" max="1305" width="5.5703125" bestFit="1" customWidth="1"/>
    <col min="1306" max="1306" width="6.42578125" bestFit="1" customWidth="1"/>
    <col min="1307" max="1307" width="5" bestFit="1" customWidth="1"/>
    <col min="1308" max="1308" width="8" bestFit="1" customWidth="1"/>
    <col min="1309" max="1309" width="4.7109375" bestFit="1" customWidth="1"/>
    <col min="1310" max="1310" width="7.7109375" bestFit="1" customWidth="1"/>
    <col min="1311" max="1311" width="5.42578125" bestFit="1" customWidth="1"/>
    <col min="1312" max="1312" width="7" bestFit="1" customWidth="1"/>
    <col min="1313" max="1313" width="6.140625" bestFit="1" customWidth="1"/>
    <col min="1314" max="1314" width="5.42578125" bestFit="1" customWidth="1"/>
    <col min="1315" max="1315" width="7" bestFit="1" customWidth="1"/>
    <col min="1316" max="1316" width="7.5703125" bestFit="1" customWidth="1"/>
    <col min="1317" max="1317" width="6" bestFit="1" customWidth="1"/>
    <col min="1318" max="1318" width="5" bestFit="1" customWidth="1"/>
    <col min="1319" max="1319" width="42" bestFit="1" customWidth="1"/>
    <col min="1320" max="1320" width="7.5703125" bestFit="1" customWidth="1"/>
    <col min="1321" max="1321" width="4.28515625" bestFit="1" customWidth="1"/>
    <col min="1322" max="1322" width="6.85546875" bestFit="1" customWidth="1"/>
    <col min="1323" max="1323" width="5.5703125" bestFit="1" customWidth="1"/>
    <col min="1324" max="1324" width="6.42578125" bestFit="1" customWidth="1"/>
    <col min="1325" max="1325" width="5" bestFit="1" customWidth="1"/>
    <col min="1326" max="1326" width="8" bestFit="1" customWidth="1"/>
    <col min="1327" max="1327" width="4.7109375" bestFit="1" customWidth="1"/>
    <col min="1328" max="1328" width="7.7109375" bestFit="1" customWidth="1"/>
    <col min="1329" max="1329" width="5.42578125" bestFit="1" customWidth="1"/>
    <col min="1330" max="1330" width="7" bestFit="1" customWidth="1"/>
    <col min="1331" max="1331" width="6.140625" bestFit="1" customWidth="1"/>
    <col min="1332" max="1332" width="5.42578125" bestFit="1" customWidth="1"/>
    <col min="1333" max="1333" width="7" bestFit="1" customWidth="1"/>
    <col min="1334" max="1334" width="7.5703125" bestFit="1" customWidth="1"/>
    <col min="1335" max="1335" width="6" bestFit="1" customWidth="1"/>
    <col min="1336" max="1336" width="5" bestFit="1" customWidth="1"/>
    <col min="1337" max="1337" width="25.42578125" bestFit="1" customWidth="1"/>
    <col min="1338" max="1338" width="6.7109375" bestFit="1" customWidth="1"/>
    <col min="1339" max="1339" width="4.28515625" bestFit="1" customWidth="1"/>
    <col min="1340" max="1340" width="6.85546875" bestFit="1" customWidth="1"/>
    <col min="1341" max="1341" width="5.5703125" bestFit="1" customWidth="1"/>
    <col min="1342" max="1342" width="6.42578125" bestFit="1" customWidth="1"/>
    <col min="1343" max="1343" width="5" bestFit="1" customWidth="1"/>
    <col min="1344" max="1344" width="5.7109375" bestFit="1" customWidth="1"/>
    <col min="1345" max="1345" width="4.7109375" bestFit="1" customWidth="1"/>
    <col min="1346" max="1346" width="7.7109375" bestFit="1" customWidth="1"/>
    <col min="1347" max="1347" width="5.42578125" bestFit="1" customWidth="1"/>
    <col min="1348" max="1348" width="7" bestFit="1" customWidth="1"/>
    <col min="1349" max="1349" width="6.140625" bestFit="1" customWidth="1"/>
    <col min="1350" max="1350" width="5.42578125" bestFit="1" customWidth="1"/>
    <col min="1351" max="1351" width="7" bestFit="1" customWidth="1"/>
    <col min="1352" max="1352" width="7.5703125" bestFit="1" customWidth="1"/>
    <col min="1353" max="1353" width="6" bestFit="1" customWidth="1"/>
    <col min="1354" max="1354" width="5" bestFit="1" customWidth="1"/>
    <col min="1355" max="1355" width="29.28515625" bestFit="1" customWidth="1"/>
    <col min="1356" max="1356" width="6.7109375" bestFit="1" customWidth="1"/>
    <col min="1357" max="1357" width="4.28515625" bestFit="1" customWidth="1"/>
    <col min="1358" max="1358" width="6.85546875" bestFit="1" customWidth="1"/>
    <col min="1359" max="1359" width="5.5703125" bestFit="1" customWidth="1"/>
    <col min="1360" max="1360" width="6.42578125" bestFit="1" customWidth="1"/>
    <col min="1361" max="1361" width="5" bestFit="1" customWidth="1"/>
    <col min="1362" max="1362" width="5.7109375" bestFit="1" customWidth="1"/>
    <col min="1363" max="1363" width="4.7109375" bestFit="1" customWidth="1"/>
    <col min="1364" max="1364" width="7.7109375" bestFit="1" customWidth="1"/>
    <col min="1365" max="1365" width="5.42578125" bestFit="1" customWidth="1"/>
    <col min="1366" max="1366" width="7" bestFit="1" customWidth="1"/>
    <col min="1367" max="1367" width="6.140625" bestFit="1" customWidth="1"/>
    <col min="1368" max="1368" width="5.42578125" bestFit="1" customWidth="1"/>
    <col min="1369" max="1369" width="7" bestFit="1" customWidth="1"/>
    <col min="1370" max="1370" width="7.5703125" bestFit="1" customWidth="1"/>
    <col min="1371" max="1371" width="6" bestFit="1" customWidth="1"/>
    <col min="1372" max="1372" width="5" bestFit="1" customWidth="1"/>
    <col min="1373" max="1373" width="26.7109375" bestFit="1" customWidth="1"/>
    <col min="1374" max="1374" width="6.7109375" bestFit="1" customWidth="1"/>
    <col min="1375" max="1375" width="4.28515625" bestFit="1" customWidth="1"/>
    <col min="1376" max="1376" width="6.85546875" bestFit="1" customWidth="1"/>
    <col min="1377" max="1377" width="5.5703125" bestFit="1" customWidth="1"/>
    <col min="1378" max="1378" width="6.42578125" bestFit="1" customWidth="1"/>
    <col min="1379" max="1379" width="5" bestFit="1" customWidth="1"/>
    <col min="1380" max="1380" width="5.7109375" bestFit="1" customWidth="1"/>
    <col min="1381" max="1381" width="4.7109375" bestFit="1" customWidth="1"/>
    <col min="1382" max="1382" width="7.7109375" bestFit="1" customWidth="1"/>
    <col min="1383" max="1383" width="5.42578125" bestFit="1" customWidth="1"/>
    <col min="1384" max="1384" width="7" bestFit="1" customWidth="1"/>
    <col min="1385" max="1385" width="6.140625" bestFit="1" customWidth="1"/>
    <col min="1386" max="1386" width="5.42578125" bestFit="1" customWidth="1"/>
    <col min="1387" max="1387" width="7" bestFit="1" customWidth="1"/>
    <col min="1388" max="1388" width="7.5703125" bestFit="1" customWidth="1"/>
    <col min="1389" max="1389" width="6" bestFit="1" customWidth="1"/>
    <col min="1390" max="1390" width="5" bestFit="1" customWidth="1"/>
    <col min="1391" max="1391" width="23.28515625" bestFit="1" customWidth="1"/>
    <col min="1392" max="1392" width="6.7109375" bestFit="1" customWidth="1"/>
    <col min="1393" max="1393" width="4.28515625" bestFit="1" customWidth="1"/>
    <col min="1394" max="1394" width="6.85546875" bestFit="1" customWidth="1"/>
    <col min="1395" max="1395" width="5.5703125" bestFit="1" customWidth="1"/>
    <col min="1396" max="1396" width="6.42578125" bestFit="1" customWidth="1"/>
    <col min="1397" max="1397" width="5" bestFit="1" customWidth="1"/>
    <col min="1398" max="1398" width="5.7109375" bestFit="1" customWidth="1"/>
    <col min="1399" max="1399" width="4.7109375" bestFit="1" customWidth="1"/>
    <col min="1400" max="1400" width="7.7109375" bestFit="1" customWidth="1"/>
    <col min="1401" max="1401" width="5.42578125" bestFit="1" customWidth="1"/>
    <col min="1402" max="1402" width="7" bestFit="1" customWidth="1"/>
    <col min="1403" max="1403" width="6.140625" bestFit="1" customWidth="1"/>
    <col min="1404" max="1404" width="5.42578125" bestFit="1" customWidth="1"/>
    <col min="1405" max="1405" width="7" bestFit="1" customWidth="1"/>
    <col min="1406" max="1406" width="7.5703125" bestFit="1" customWidth="1"/>
    <col min="1407" max="1407" width="6" bestFit="1" customWidth="1"/>
    <col min="1408" max="1408" width="5" bestFit="1" customWidth="1"/>
    <col min="1409" max="1409" width="29.42578125" bestFit="1" customWidth="1"/>
    <col min="1410" max="1410" width="6.7109375" bestFit="1" customWidth="1"/>
    <col min="1411" max="1411" width="4.28515625" bestFit="1" customWidth="1"/>
    <col min="1412" max="1412" width="6.85546875" bestFit="1" customWidth="1"/>
    <col min="1413" max="1413" width="5.5703125" bestFit="1" customWidth="1"/>
    <col min="1414" max="1414" width="6.42578125" bestFit="1" customWidth="1"/>
    <col min="1415" max="1415" width="5" bestFit="1" customWidth="1"/>
    <col min="1416" max="1416" width="5.7109375" bestFit="1" customWidth="1"/>
    <col min="1417" max="1417" width="4.7109375" bestFit="1" customWidth="1"/>
    <col min="1418" max="1418" width="7.7109375" bestFit="1" customWidth="1"/>
    <col min="1419" max="1419" width="5.42578125" bestFit="1" customWidth="1"/>
    <col min="1420" max="1420" width="7" bestFit="1" customWidth="1"/>
    <col min="1421" max="1421" width="6.140625" bestFit="1" customWidth="1"/>
    <col min="1422" max="1422" width="5.42578125" bestFit="1" customWidth="1"/>
    <col min="1423" max="1423" width="7" bestFit="1" customWidth="1"/>
    <col min="1424" max="1424" width="7.5703125" bestFit="1" customWidth="1"/>
    <col min="1425" max="1425" width="6" bestFit="1" customWidth="1"/>
    <col min="1426" max="1426" width="5" bestFit="1" customWidth="1"/>
    <col min="1427" max="1427" width="30.85546875" bestFit="1" customWidth="1"/>
    <col min="1428" max="1428" width="6.7109375" bestFit="1" customWidth="1"/>
    <col min="1429" max="1429" width="4.28515625" bestFit="1" customWidth="1"/>
    <col min="1430" max="1430" width="6.85546875" bestFit="1" customWidth="1"/>
    <col min="1431" max="1431" width="5.5703125" bestFit="1" customWidth="1"/>
    <col min="1432" max="1432" width="6.42578125" bestFit="1" customWidth="1"/>
    <col min="1433" max="1433" width="5" bestFit="1" customWidth="1"/>
    <col min="1434" max="1434" width="5.7109375" bestFit="1" customWidth="1"/>
    <col min="1435" max="1435" width="4.7109375" bestFit="1" customWidth="1"/>
    <col min="1436" max="1436" width="7.7109375" bestFit="1" customWidth="1"/>
    <col min="1437" max="1437" width="5.42578125" bestFit="1" customWidth="1"/>
    <col min="1438" max="1438" width="7" bestFit="1" customWidth="1"/>
    <col min="1439" max="1439" width="6.140625" bestFit="1" customWidth="1"/>
    <col min="1440" max="1440" width="5.42578125" bestFit="1" customWidth="1"/>
    <col min="1441" max="1441" width="7" bestFit="1" customWidth="1"/>
    <col min="1442" max="1442" width="7.5703125" bestFit="1" customWidth="1"/>
    <col min="1443" max="1443" width="6" bestFit="1" customWidth="1"/>
    <col min="1444" max="1444" width="5" bestFit="1" customWidth="1"/>
    <col min="1445" max="1445" width="28.7109375" bestFit="1" customWidth="1"/>
    <col min="1446" max="1446" width="6.7109375" bestFit="1" customWidth="1"/>
    <col min="1447" max="1447" width="4.28515625" bestFit="1" customWidth="1"/>
    <col min="1448" max="1448" width="6.85546875" bestFit="1" customWidth="1"/>
    <col min="1449" max="1449" width="5.5703125" bestFit="1" customWidth="1"/>
    <col min="1450" max="1450" width="6.42578125" bestFit="1" customWidth="1"/>
    <col min="1451" max="1451" width="5" bestFit="1" customWidth="1"/>
    <col min="1452" max="1452" width="5.7109375" bestFit="1" customWidth="1"/>
    <col min="1453" max="1453" width="4.7109375" bestFit="1" customWidth="1"/>
    <col min="1454" max="1454" width="7.7109375" bestFit="1" customWidth="1"/>
    <col min="1455" max="1455" width="5.42578125" bestFit="1" customWidth="1"/>
    <col min="1456" max="1456" width="7" bestFit="1" customWidth="1"/>
    <col min="1457" max="1457" width="6.140625" bestFit="1" customWidth="1"/>
    <col min="1458" max="1458" width="5.42578125" bestFit="1" customWidth="1"/>
    <col min="1459" max="1459" width="7" bestFit="1" customWidth="1"/>
    <col min="1460" max="1460" width="7.5703125" bestFit="1" customWidth="1"/>
    <col min="1461" max="1461" width="6" bestFit="1" customWidth="1"/>
    <col min="1462" max="1462" width="5" bestFit="1" customWidth="1"/>
    <col min="1463" max="1463" width="38.7109375" bestFit="1" customWidth="1"/>
    <col min="1464" max="1464" width="27.85546875" bestFit="1" customWidth="1"/>
    <col min="1465" max="1465" width="51.5703125" bestFit="1" customWidth="1"/>
    <col min="1466" max="1466" width="42.140625" bestFit="1" customWidth="1"/>
    <col min="1467" max="1467" width="51.28515625" bestFit="1" customWidth="1"/>
    <col min="1468" max="1468" width="38.5703125" bestFit="1" customWidth="1"/>
    <col min="1469" max="1469" width="35.140625" bestFit="1" customWidth="1"/>
    <col min="1470" max="1470" width="51.85546875" bestFit="1" customWidth="1"/>
    <col min="1471" max="1471" width="54.42578125" bestFit="1" customWidth="1"/>
    <col min="1472" max="1472" width="61" bestFit="1" customWidth="1"/>
    <col min="1473" max="1473" width="48.42578125" bestFit="1" customWidth="1"/>
    <col min="1474" max="1474" width="48.28515625" bestFit="1" customWidth="1"/>
    <col min="1475" max="1475" width="48.7109375" bestFit="1" customWidth="1"/>
    <col min="1476" max="1476" width="52" bestFit="1" customWidth="1"/>
    <col min="1477" max="1477" width="36.42578125" bestFit="1" customWidth="1"/>
    <col min="1478" max="1478" width="30.28515625" bestFit="1" customWidth="1"/>
    <col min="1479" max="1479" width="22.42578125" bestFit="1" customWidth="1"/>
    <col min="1480" max="1480" width="29" bestFit="1" customWidth="1"/>
    <col min="1481" max="1481" width="26.5703125" bestFit="1" customWidth="1"/>
    <col min="1482" max="1482" width="26.28515625" bestFit="1" customWidth="1"/>
    <col min="1483" max="1483" width="40.7109375" bestFit="1" customWidth="1"/>
    <col min="1484" max="1484" width="31.140625" bestFit="1" customWidth="1"/>
    <col min="1485" max="1485" width="51.5703125" bestFit="1" customWidth="1"/>
    <col min="1486" max="1486" width="31.28515625" bestFit="1" customWidth="1"/>
    <col min="1487" max="1487" width="45.42578125" bestFit="1" customWidth="1"/>
    <col min="1488" max="1488" width="46.5703125" bestFit="1" customWidth="1"/>
    <col min="1489" max="1489" width="46.42578125" bestFit="1" customWidth="1"/>
    <col min="1490" max="1490" width="46" bestFit="1" customWidth="1"/>
    <col min="1491" max="1491" width="37.140625" bestFit="1" customWidth="1"/>
    <col min="1492" max="1492" width="29.140625" bestFit="1" customWidth="1"/>
    <col min="1493" max="1493" width="28.5703125" bestFit="1" customWidth="1"/>
    <col min="1494" max="1494" width="42.85546875" bestFit="1" customWidth="1"/>
    <col min="1495" max="1495" width="27.7109375" bestFit="1" customWidth="1"/>
    <col min="1496" max="1496" width="36.85546875" bestFit="1" customWidth="1"/>
    <col min="1497" max="1497" width="30.42578125" bestFit="1" customWidth="1"/>
    <col min="1498" max="1498" width="24.140625" bestFit="1" customWidth="1"/>
    <col min="1499" max="1499" width="27.28515625" bestFit="1" customWidth="1"/>
    <col min="1500" max="1500" width="30.42578125" bestFit="1" customWidth="1"/>
    <col min="1501" max="1501" width="31.42578125" bestFit="1" customWidth="1"/>
    <col min="1502" max="1502" width="50.7109375" bestFit="1" customWidth="1"/>
    <col min="1503" max="1503" width="37" bestFit="1" customWidth="1"/>
    <col min="1504" max="1504" width="25.28515625" bestFit="1" customWidth="1"/>
    <col min="1505" max="1505" width="35" bestFit="1" customWidth="1"/>
    <col min="1506" max="1506" width="28" bestFit="1" customWidth="1"/>
    <col min="1507" max="1507" width="37.85546875" bestFit="1" customWidth="1"/>
    <col min="1508" max="1508" width="28.5703125" bestFit="1" customWidth="1"/>
    <col min="1509" max="1509" width="36.5703125" bestFit="1" customWidth="1"/>
    <col min="1510" max="1510" width="30.42578125" bestFit="1" customWidth="1"/>
    <col min="1511" max="1511" width="39.42578125" bestFit="1" customWidth="1"/>
    <col min="1512" max="1512" width="29" bestFit="1" customWidth="1"/>
    <col min="1513" max="1513" width="38.42578125" bestFit="1" customWidth="1"/>
    <col min="1514" max="1514" width="30.42578125" bestFit="1" customWidth="1"/>
    <col min="1515" max="1515" width="39.85546875" bestFit="1" customWidth="1"/>
    <col min="1516" max="1516" width="26.28515625" bestFit="1" customWidth="1"/>
    <col min="1517" max="1517" width="35.7109375" bestFit="1" customWidth="1"/>
    <col min="1518" max="1518" width="37.7109375" bestFit="1" customWidth="1"/>
    <col min="1519" max="1519" width="47.140625" bestFit="1" customWidth="1"/>
    <col min="1520" max="1520" width="35.5703125" bestFit="1" customWidth="1"/>
    <col min="1521" max="1521" width="55.7109375" bestFit="1" customWidth="1"/>
    <col min="1522" max="1522" width="55.42578125" bestFit="1" customWidth="1"/>
    <col min="1523" max="1523" width="56" bestFit="1" customWidth="1"/>
    <col min="1524" max="1524" width="59.140625" bestFit="1" customWidth="1"/>
    <col min="1525" max="1525" width="47.85546875" bestFit="1" customWidth="1"/>
    <col min="1526" max="1526" width="47.5703125" bestFit="1" customWidth="1"/>
    <col min="1527" max="1527" width="48.140625" bestFit="1" customWidth="1"/>
    <col min="1528" max="1528" width="51.28515625" bestFit="1" customWidth="1"/>
    <col min="1529" max="1529" width="47.5703125" bestFit="1" customWidth="1"/>
    <col min="1530" max="1530" width="47.42578125" bestFit="1" customWidth="1"/>
    <col min="1531" max="1531" width="47.85546875" bestFit="1" customWidth="1"/>
    <col min="1532" max="1532" width="51.140625" bestFit="1" customWidth="1"/>
    <col min="1533" max="1533" width="43.42578125" bestFit="1" customWidth="1"/>
    <col min="1534" max="1534" width="43.140625" bestFit="1" customWidth="1"/>
    <col min="1535" max="1535" width="43.7109375" bestFit="1" customWidth="1"/>
    <col min="1536" max="1536" width="46.85546875" bestFit="1" customWidth="1"/>
    <col min="1537" max="1537" width="30.140625" bestFit="1" customWidth="1"/>
    <col min="1538" max="1538" width="34" bestFit="1" customWidth="1"/>
    <col min="1539" max="1539" width="31.42578125" bestFit="1" customWidth="1"/>
    <col min="1540" max="1540" width="28" bestFit="1" customWidth="1"/>
    <col min="1541" max="1541" width="34.140625" bestFit="1" customWidth="1"/>
    <col min="1542" max="1542" width="35.5703125" bestFit="1" customWidth="1"/>
    <col min="1543" max="1543" width="33.42578125" bestFit="1" customWidth="1"/>
  </cols>
  <sheetData>
    <row r="2" spans="1:28">
      <c r="A2" s="16" t="s">
        <v>111</v>
      </c>
      <c r="B2" s="104" t="s">
        <v>207</v>
      </c>
    </row>
    <row r="4" spans="1:28">
      <c r="B4" s="105" t="s">
        <v>0</v>
      </c>
      <c r="F4" s="105" t="s">
        <v>0</v>
      </c>
      <c r="G4" s="105" t="s">
        <v>208</v>
      </c>
      <c r="K4" s="105" t="s">
        <v>0</v>
      </c>
      <c r="L4" s="105" t="s">
        <v>208</v>
      </c>
      <c r="P4" s="105" t="s">
        <v>0</v>
      </c>
      <c r="Q4" s="105" t="s">
        <v>209</v>
      </c>
      <c r="U4" s="105" t="s">
        <v>0</v>
      </c>
      <c r="V4" s="105" t="s">
        <v>209</v>
      </c>
      <c r="Z4" s="105" t="s">
        <v>0</v>
      </c>
      <c r="AA4" s="105" t="s">
        <v>210</v>
      </c>
    </row>
    <row r="5" spans="1:28">
      <c r="A5" s="16" t="s">
        <v>211</v>
      </c>
      <c r="B5" s="104" t="s">
        <v>101</v>
      </c>
      <c r="C5" s="104" t="s">
        <v>106</v>
      </c>
      <c r="F5" s="104" t="s">
        <v>101</v>
      </c>
      <c r="G5" s="104" t="s">
        <v>212</v>
      </c>
      <c r="H5" s="104" t="s">
        <v>106</v>
      </c>
      <c r="K5" s="104" t="s">
        <v>101</v>
      </c>
      <c r="L5" s="104" t="s">
        <v>212</v>
      </c>
      <c r="M5" s="104" t="s">
        <v>106</v>
      </c>
      <c r="P5" s="104" t="s">
        <v>101</v>
      </c>
      <c r="Q5" s="104" t="s">
        <v>212</v>
      </c>
      <c r="R5" s="104" t="s">
        <v>106</v>
      </c>
      <c r="U5" s="104" t="s">
        <v>101</v>
      </c>
      <c r="V5" s="104" t="s">
        <v>212</v>
      </c>
      <c r="W5" s="104" t="s">
        <v>106</v>
      </c>
      <c r="Z5" s="104" t="s">
        <v>101</v>
      </c>
      <c r="AA5" s="104" t="s">
        <v>212</v>
      </c>
      <c r="AB5" s="104" t="s">
        <v>106</v>
      </c>
    </row>
    <row r="6" spans="1:28">
      <c r="A6" t="s">
        <v>213</v>
      </c>
      <c r="B6" s="106">
        <v>6</v>
      </c>
      <c r="C6" s="104">
        <v>6</v>
      </c>
      <c r="E6" s="16" t="s">
        <v>211</v>
      </c>
      <c r="F6" t="s">
        <v>214</v>
      </c>
      <c r="J6" s="16" t="s">
        <v>211</v>
      </c>
      <c r="K6" t="s">
        <v>215</v>
      </c>
      <c r="O6" s="16" t="s">
        <v>211</v>
      </c>
      <c r="P6" t="s">
        <v>216</v>
      </c>
      <c r="T6" s="16" t="s">
        <v>211</v>
      </c>
      <c r="U6" t="s">
        <v>217</v>
      </c>
      <c r="Y6" s="16" t="s">
        <v>211</v>
      </c>
      <c r="Z6" t="s">
        <v>218</v>
      </c>
    </row>
    <row r="7" spans="1:28">
      <c r="A7" t="s">
        <v>219</v>
      </c>
      <c r="B7" s="104">
        <v>2.3333333333333335</v>
      </c>
      <c r="C7" s="104">
        <v>2.3333333333333335</v>
      </c>
      <c r="E7" t="s">
        <v>213</v>
      </c>
      <c r="F7" s="104">
        <v>0</v>
      </c>
      <c r="G7" s="104">
        <v>0</v>
      </c>
      <c r="H7" s="104">
        <v>0</v>
      </c>
      <c r="J7" t="s">
        <v>213</v>
      </c>
      <c r="K7" s="104">
        <v>0</v>
      </c>
      <c r="L7" s="104">
        <v>0</v>
      </c>
      <c r="M7" s="104">
        <v>0</v>
      </c>
      <c r="O7" t="s">
        <v>213</v>
      </c>
      <c r="P7" s="104">
        <v>0</v>
      </c>
      <c r="Q7" s="104">
        <v>0</v>
      </c>
      <c r="R7" s="104">
        <v>0</v>
      </c>
      <c r="T7" t="s">
        <v>213</v>
      </c>
      <c r="U7" s="104">
        <v>0</v>
      </c>
      <c r="V7" s="104">
        <v>0</v>
      </c>
      <c r="W7" s="104">
        <v>0</v>
      </c>
      <c r="Y7" t="s">
        <v>213</v>
      </c>
      <c r="Z7" s="104">
        <v>0</v>
      </c>
      <c r="AA7" s="104">
        <v>0</v>
      </c>
      <c r="AB7" s="104">
        <v>0</v>
      </c>
    </row>
    <row r="8" spans="1:28">
      <c r="A8" t="s">
        <v>220</v>
      </c>
      <c r="B8" s="104">
        <v>1360</v>
      </c>
      <c r="C8" s="104">
        <v>1360</v>
      </c>
      <c r="E8" t="s">
        <v>219</v>
      </c>
      <c r="F8" s="104">
        <v>0</v>
      </c>
      <c r="G8" s="104">
        <v>0</v>
      </c>
      <c r="H8" s="104">
        <v>0</v>
      </c>
      <c r="J8" t="s">
        <v>219</v>
      </c>
      <c r="K8" s="104">
        <v>0</v>
      </c>
      <c r="L8" s="104">
        <v>0</v>
      </c>
      <c r="M8" s="104">
        <v>0</v>
      </c>
      <c r="O8" t="s">
        <v>219</v>
      </c>
      <c r="P8" s="104">
        <v>0</v>
      </c>
      <c r="Q8" s="104">
        <v>0</v>
      </c>
      <c r="R8" s="104">
        <v>0</v>
      </c>
      <c r="T8" t="s">
        <v>219</v>
      </c>
      <c r="U8" s="104">
        <v>0</v>
      </c>
      <c r="V8" s="104">
        <v>0</v>
      </c>
      <c r="W8" s="104">
        <v>0</v>
      </c>
      <c r="Y8" t="s">
        <v>219</v>
      </c>
      <c r="Z8" s="104">
        <v>0</v>
      </c>
      <c r="AA8" s="104">
        <v>0</v>
      </c>
      <c r="AB8" s="104">
        <v>0</v>
      </c>
    </row>
    <row r="9" spans="1:28">
      <c r="A9" t="s">
        <v>221</v>
      </c>
      <c r="B9" s="104">
        <v>1.65</v>
      </c>
      <c r="C9" s="104">
        <v>1.65</v>
      </c>
      <c r="E9" t="s">
        <v>220</v>
      </c>
      <c r="F9" s="104">
        <v>0</v>
      </c>
      <c r="G9" s="104">
        <v>0</v>
      </c>
      <c r="H9" s="104">
        <v>0</v>
      </c>
      <c r="J9" t="s">
        <v>220</v>
      </c>
      <c r="K9" s="104">
        <v>0</v>
      </c>
      <c r="L9" s="104">
        <v>0</v>
      </c>
      <c r="M9" s="104">
        <v>0</v>
      </c>
      <c r="O9" t="s">
        <v>220</v>
      </c>
      <c r="P9" s="104">
        <v>0</v>
      </c>
      <c r="Q9" s="104">
        <v>0</v>
      </c>
      <c r="R9" s="104">
        <v>0</v>
      </c>
      <c r="T9" t="s">
        <v>220</v>
      </c>
      <c r="U9" s="104">
        <v>0</v>
      </c>
      <c r="V9" s="104">
        <v>0</v>
      </c>
      <c r="W9" s="104">
        <v>0</v>
      </c>
      <c r="Y9" t="s">
        <v>220</v>
      </c>
      <c r="Z9" s="104">
        <v>29.14285714285711</v>
      </c>
      <c r="AA9" s="104">
        <v>29.14285714285711</v>
      </c>
      <c r="AB9" s="104">
        <v>29.14285714285711</v>
      </c>
    </row>
    <row r="10" spans="1:28">
      <c r="A10" t="s">
        <v>222</v>
      </c>
      <c r="B10" s="104">
        <v>2</v>
      </c>
      <c r="C10" s="104">
        <v>2</v>
      </c>
      <c r="E10" t="s">
        <v>221</v>
      </c>
      <c r="F10" s="104">
        <v>0</v>
      </c>
      <c r="G10" s="104">
        <v>0</v>
      </c>
      <c r="H10" s="104">
        <v>0</v>
      </c>
      <c r="J10" t="s">
        <v>221</v>
      </c>
      <c r="K10" s="104">
        <v>0</v>
      </c>
      <c r="L10" s="104">
        <v>0</v>
      </c>
      <c r="M10" s="104">
        <v>0</v>
      </c>
      <c r="O10" t="s">
        <v>221</v>
      </c>
      <c r="P10" s="104">
        <v>0</v>
      </c>
      <c r="Q10" s="104">
        <v>0</v>
      </c>
      <c r="R10" s="104">
        <v>0</v>
      </c>
      <c r="T10" t="s">
        <v>221</v>
      </c>
      <c r="U10" s="104">
        <v>0.14850000000000008</v>
      </c>
      <c r="V10" s="104">
        <v>0.14850000000000008</v>
      </c>
      <c r="W10" s="104">
        <v>0.14850000000000008</v>
      </c>
      <c r="Y10" t="s">
        <v>221</v>
      </c>
      <c r="Z10" s="104">
        <v>0</v>
      </c>
      <c r="AA10" s="104">
        <v>0</v>
      </c>
      <c r="AB10" s="104">
        <v>0</v>
      </c>
    </row>
    <row r="11" spans="1:28">
      <c r="A11" t="s">
        <v>223</v>
      </c>
      <c r="B11" s="104">
        <v>1</v>
      </c>
      <c r="C11" s="104">
        <v>1</v>
      </c>
      <c r="E11" t="s">
        <v>222</v>
      </c>
      <c r="F11" s="104">
        <v>0.66666666666666652</v>
      </c>
      <c r="G11" s="104">
        <v>0.66666666666666652</v>
      </c>
      <c r="H11" s="104">
        <v>0.66666666666666652</v>
      </c>
      <c r="J11" t="s">
        <v>222</v>
      </c>
      <c r="K11" s="104">
        <v>0</v>
      </c>
      <c r="L11" s="104">
        <v>0</v>
      </c>
      <c r="M11" s="104">
        <v>0</v>
      </c>
      <c r="O11" t="s">
        <v>222</v>
      </c>
      <c r="P11" s="104">
        <v>0</v>
      </c>
      <c r="Q11" s="104">
        <v>0</v>
      </c>
      <c r="R11" s="104">
        <v>0</v>
      </c>
      <c r="T11" t="s">
        <v>222</v>
      </c>
      <c r="U11" s="104">
        <v>0</v>
      </c>
      <c r="V11" s="104">
        <v>0</v>
      </c>
      <c r="W11" s="104">
        <v>0</v>
      </c>
      <c r="Y11" t="s">
        <v>222</v>
      </c>
      <c r="Z11" s="104">
        <v>0</v>
      </c>
      <c r="AA11" s="104">
        <v>0</v>
      </c>
      <c r="AB11" s="104">
        <v>0</v>
      </c>
    </row>
    <row r="12" spans="1:28">
      <c r="A12" t="s">
        <v>224</v>
      </c>
      <c r="B12" s="104">
        <v>2</v>
      </c>
      <c r="C12" s="104">
        <v>2</v>
      </c>
      <c r="E12" t="s">
        <v>223</v>
      </c>
      <c r="F12" s="104">
        <v>0.33333333333333326</v>
      </c>
      <c r="G12" s="104">
        <v>0.33333333333333326</v>
      </c>
      <c r="H12" s="104">
        <v>0.33333333333333326</v>
      </c>
      <c r="J12" t="s">
        <v>223</v>
      </c>
      <c r="K12" s="104">
        <v>0</v>
      </c>
      <c r="L12" s="104">
        <v>0</v>
      </c>
      <c r="M12" s="104">
        <v>0</v>
      </c>
      <c r="O12" t="s">
        <v>223</v>
      </c>
      <c r="P12" s="104">
        <v>0</v>
      </c>
      <c r="Q12" s="104">
        <v>0</v>
      </c>
      <c r="R12" s="104">
        <v>0</v>
      </c>
      <c r="T12" t="s">
        <v>223</v>
      </c>
      <c r="U12" s="104">
        <v>0</v>
      </c>
      <c r="V12" s="104">
        <v>0</v>
      </c>
      <c r="W12" s="104">
        <v>0</v>
      </c>
      <c r="Y12" t="s">
        <v>223</v>
      </c>
      <c r="Z12" s="104">
        <v>0</v>
      </c>
      <c r="AA12" s="104">
        <v>0</v>
      </c>
      <c r="AB12" s="104">
        <v>0</v>
      </c>
    </row>
    <row r="13" spans="1:28">
      <c r="A13" t="s">
        <v>225</v>
      </c>
      <c r="B13" s="104">
        <v>1</v>
      </c>
      <c r="C13" s="104">
        <v>1</v>
      </c>
      <c r="E13" t="s">
        <v>224</v>
      </c>
      <c r="F13" s="104">
        <v>0.66666666666666652</v>
      </c>
      <c r="G13" s="104">
        <v>0.66666666666666652</v>
      </c>
      <c r="H13" s="104">
        <v>0.66666666666666652</v>
      </c>
      <c r="J13" t="s">
        <v>224</v>
      </c>
      <c r="K13" s="104">
        <v>0</v>
      </c>
      <c r="L13" s="104">
        <v>0</v>
      </c>
      <c r="M13" s="104">
        <v>0</v>
      </c>
      <c r="O13" t="s">
        <v>224</v>
      </c>
      <c r="P13" s="104">
        <v>0</v>
      </c>
      <c r="Q13" s="104">
        <v>0</v>
      </c>
      <c r="R13" s="104">
        <v>0</v>
      </c>
      <c r="T13" t="s">
        <v>224</v>
      </c>
      <c r="U13" s="104">
        <v>0</v>
      </c>
      <c r="V13" s="104">
        <v>0</v>
      </c>
      <c r="W13" s="104">
        <v>0</v>
      </c>
      <c r="Y13" t="s">
        <v>224</v>
      </c>
      <c r="Z13" s="104">
        <v>0</v>
      </c>
      <c r="AA13" s="104">
        <v>0</v>
      </c>
      <c r="AB13" s="104">
        <v>0</v>
      </c>
    </row>
    <row r="14" spans="1:28">
      <c r="A14" t="s">
        <v>226</v>
      </c>
      <c r="B14" s="104">
        <v>1</v>
      </c>
      <c r="C14" s="104">
        <v>1</v>
      </c>
      <c r="E14" t="s">
        <v>225</v>
      </c>
      <c r="F14" s="104">
        <v>0.33333333333333326</v>
      </c>
      <c r="G14" s="104">
        <v>0.33333333333333326</v>
      </c>
      <c r="H14" s="104">
        <v>0.33333333333333326</v>
      </c>
      <c r="J14" t="s">
        <v>225</v>
      </c>
      <c r="K14" s="104">
        <v>0</v>
      </c>
      <c r="L14" s="104">
        <v>0</v>
      </c>
      <c r="M14" s="104">
        <v>0</v>
      </c>
      <c r="O14" t="s">
        <v>225</v>
      </c>
      <c r="P14" s="104">
        <v>0</v>
      </c>
      <c r="Q14" s="104">
        <v>0</v>
      </c>
      <c r="R14" s="104">
        <v>0</v>
      </c>
      <c r="T14" t="s">
        <v>225</v>
      </c>
      <c r="U14" s="104">
        <v>0</v>
      </c>
      <c r="V14" s="104">
        <v>0</v>
      </c>
      <c r="W14" s="104">
        <v>0</v>
      </c>
      <c r="Y14" t="s">
        <v>225</v>
      </c>
      <c r="Z14" s="104">
        <v>0</v>
      </c>
      <c r="AA14" s="104">
        <v>0</v>
      </c>
      <c r="AB14" s="104">
        <v>0</v>
      </c>
    </row>
    <row r="15" spans="1:28">
      <c r="A15" t="s">
        <v>227</v>
      </c>
      <c r="B15" s="104">
        <v>2</v>
      </c>
      <c r="C15" s="104">
        <v>2</v>
      </c>
      <c r="E15" t="s">
        <v>226</v>
      </c>
      <c r="F15" s="104">
        <v>0.33333333333333326</v>
      </c>
      <c r="G15" s="104">
        <v>0.33333333333333326</v>
      </c>
      <c r="H15" s="104">
        <v>0.33333333333333326</v>
      </c>
      <c r="J15" t="s">
        <v>226</v>
      </c>
      <c r="K15" s="104">
        <v>0</v>
      </c>
      <c r="L15" s="104">
        <v>0</v>
      </c>
      <c r="M15" s="104">
        <v>0</v>
      </c>
      <c r="O15" t="s">
        <v>226</v>
      </c>
      <c r="P15" s="104">
        <v>0</v>
      </c>
      <c r="Q15" s="104">
        <v>0</v>
      </c>
      <c r="R15" s="104">
        <v>0</v>
      </c>
      <c r="T15" t="s">
        <v>226</v>
      </c>
      <c r="U15" s="104">
        <v>0</v>
      </c>
      <c r="V15" s="104">
        <v>0</v>
      </c>
      <c r="W15" s="104">
        <v>0</v>
      </c>
      <c r="Y15" t="s">
        <v>226</v>
      </c>
      <c r="Z15" s="104">
        <v>0</v>
      </c>
      <c r="AA15" s="104">
        <v>0</v>
      </c>
      <c r="AB15" s="104">
        <v>0</v>
      </c>
    </row>
    <row r="16" spans="1:28">
      <c r="A16" t="s">
        <v>228</v>
      </c>
      <c r="B16" s="104">
        <v>4000</v>
      </c>
      <c r="C16" s="104">
        <v>4000</v>
      </c>
      <c r="E16" t="s">
        <v>227</v>
      </c>
      <c r="F16" s="104">
        <v>0</v>
      </c>
      <c r="G16" s="104">
        <v>0</v>
      </c>
      <c r="H16" s="104">
        <v>0</v>
      </c>
      <c r="J16" t="s">
        <v>227</v>
      </c>
      <c r="K16" s="104">
        <v>0</v>
      </c>
      <c r="L16" s="104">
        <v>0</v>
      </c>
      <c r="M16" s="104">
        <v>0</v>
      </c>
      <c r="O16" t="s">
        <v>227</v>
      </c>
      <c r="P16" s="104">
        <v>0</v>
      </c>
      <c r="Q16" s="104">
        <v>0</v>
      </c>
      <c r="R16" s="104">
        <v>0</v>
      </c>
      <c r="T16" t="s">
        <v>227</v>
      </c>
      <c r="U16" s="104">
        <v>0</v>
      </c>
      <c r="V16" s="104">
        <v>0</v>
      </c>
      <c r="W16" s="104">
        <v>0</v>
      </c>
      <c r="Y16" t="s">
        <v>227</v>
      </c>
      <c r="Z16" s="104">
        <v>0</v>
      </c>
      <c r="AA16" s="104">
        <v>0</v>
      </c>
      <c r="AB16" s="104">
        <v>0</v>
      </c>
    </row>
    <row r="17" spans="1:28">
      <c r="A17" t="s">
        <v>229</v>
      </c>
      <c r="B17" s="104">
        <v>3000</v>
      </c>
      <c r="C17" s="104">
        <v>3000</v>
      </c>
      <c r="E17" t="s">
        <v>228</v>
      </c>
      <c r="F17" s="104">
        <v>0</v>
      </c>
      <c r="G17" s="104">
        <v>0</v>
      </c>
      <c r="H17" s="104">
        <v>0</v>
      </c>
      <c r="J17" t="s">
        <v>228</v>
      </c>
      <c r="K17" s="104">
        <v>0</v>
      </c>
      <c r="L17" s="104">
        <v>0</v>
      </c>
      <c r="M17" s="104">
        <v>0</v>
      </c>
      <c r="O17" t="s">
        <v>228</v>
      </c>
      <c r="P17" s="104">
        <v>0</v>
      </c>
      <c r="Q17" s="104">
        <v>0</v>
      </c>
      <c r="R17" s="104">
        <v>0</v>
      </c>
      <c r="T17" t="s">
        <v>228</v>
      </c>
      <c r="U17" s="104">
        <v>0</v>
      </c>
      <c r="V17" s="104">
        <v>0</v>
      </c>
      <c r="W17" s="104">
        <v>0</v>
      </c>
      <c r="Y17" t="s">
        <v>228</v>
      </c>
      <c r="Z17" s="104">
        <v>1800</v>
      </c>
      <c r="AA17" s="104">
        <v>1800</v>
      </c>
      <c r="AB17" s="104">
        <v>1800</v>
      </c>
    </row>
    <row r="18" spans="1:28">
      <c r="A18" t="s">
        <v>230</v>
      </c>
      <c r="B18" s="104">
        <v>2000</v>
      </c>
      <c r="C18" s="104">
        <v>2000</v>
      </c>
      <c r="E18" t="s">
        <v>229</v>
      </c>
      <c r="F18" s="104">
        <v>0</v>
      </c>
      <c r="G18" s="104">
        <v>0</v>
      </c>
      <c r="H18" s="104">
        <v>0</v>
      </c>
      <c r="J18" t="s">
        <v>229</v>
      </c>
      <c r="K18" s="104">
        <v>0</v>
      </c>
      <c r="L18" s="104">
        <v>0</v>
      </c>
      <c r="M18" s="104">
        <v>0</v>
      </c>
      <c r="O18" t="s">
        <v>229</v>
      </c>
      <c r="P18" s="104">
        <v>0</v>
      </c>
      <c r="Q18" s="104">
        <v>0</v>
      </c>
      <c r="R18" s="104">
        <v>0</v>
      </c>
      <c r="T18" t="s">
        <v>229</v>
      </c>
      <c r="U18" s="104">
        <v>0</v>
      </c>
      <c r="V18" s="104">
        <v>0</v>
      </c>
      <c r="W18" s="104">
        <v>0</v>
      </c>
      <c r="Y18" t="s">
        <v>229</v>
      </c>
      <c r="Z18" s="104">
        <v>1350</v>
      </c>
      <c r="AA18" s="104">
        <v>1350</v>
      </c>
      <c r="AB18" s="104">
        <v>1350</v>
      </c>
    </row>
    <row r="19" spans="1:28">
      <c r="A19" t="s">
        <v>231</v>
      </c>
      <c r="B19" s="104">
        <v>1000</v>
      </c>
      <c r="C19" s="104">
        <v>1000</v>
      </c>
      <c r="E19" t="s">
        <v>230</v>
      </c>
      <c r="F19" s="104">
        <v>0</v>
      </c>
      <c r="G19" s="104">
        <v>0</v>
      </c>
      <c r="H19" s="104">
        <v>0</v>
      </c>
      <c r="J19" t="s">
        <v>230</v>
      </c>
      <c r="K19" s="104">
        <v>0</v>
      </c>
      <c r="L19" s="104">
        <v>0</v>
      </c>
      <c r="M19" s="104">
        <v>0</v>
      </c>
      <c r="O19" t="s">
        <v>230</v>
      </c>
      <c r="P19" s="104">
        <v>0</v>
      </c>
      <c r="Q19" s="104">
        <v>0</v>
      </c>
      <c r="R19" s="104">
        <v>0</v>
      </c>
      <c r="T19" t="s">
        <v>230</v>
      </c>
      <c r="U19" s="104">
        <v>0</v>
      </c>
      <c r="V19" s="104">
        <v>0</v>
      </c>
      <c r="W19" s="104">
        <v>0</v>
      </c>
      <c r="Y19" t="s">
        <v>230</v>
      </c>
      <c r="Z19" s="104">
        <v>900</v>
      </c>
      <c r="AA19" s="104">
        <v>900</v>
      </c>
      <c r="AB19" s="104">
        <v>900</v>
      </c>
    </row>
    <row r="20" spans="1:28">
      <c r="A20" t="s">
        <v>232</v>
      </c>
      <c r="B20" s="104">
        <v>2000</v>
      </c>
      <c r="C20" s="104">
        <v>2000</v>
      </c>
      <c r="E20" t="s">
        <v>231</v>
      </c>
      <c r="F20" s="104">
        <v>0</v>
      </c>
      <c r="G20" s="104">
        <v>0</v>
      </c>
      <c r="H20" s="104">
        <v>0</v>
      </c>
      <c r="J20" t="s">
        <v>231</v>
      </c>
      <c r="K20" s="104">
        <v>0</v>
      </c>
      <c r="L20" s="104">
        <v>0</v>
      </c>
      <c r="M20" s="104">
        <v>0</v>
      </c>
      <c r="O20" t="s">
        <v>231</v>
      </c>
      <c r="P20" s="104">
        <v>0</v>
      </c>
      <c r="Q20" s="104">
        <v>0</v>
      </c>
      <c r="R20" s="104">
        <v>0</v>
      </c>
      <c r="T20" t="s">
        <v>231</v>
      </c>
      <c r="U20" s="104">
        <v>0</v>
      </c>
      <c r="V20" s="104">
        <v>0</v>
      </c>
      <c r="W20" s="104">
        <v>0</v>
      </c>
      <c r="Y20" t="s">
        <v>231</v>
      </c>
      <c r="Z20" s="104">
        <v>450</v>
      </c>
      <c r="AA20" s="104">
        <v>450</v>
      </c>
      <c r="AB20" s="104">
        <v>450</v>
      </c>
    </row>
    <row r="21" spans="1:28">
      <c r="A21" t="s">
        <v>233</v>
      </c>
      <c r="B21" s="104">
        <v>0</v>
      </c>
      <c r="C21" s="104">
        <v>0</v>
      </c>
      <c r="E21" t="s">
        <v>232</v>
      </c>
      <c r="F21" s="104">
        <v>0</v>
      </c>
      <c r="G21" s="104">
        <v>0</v>
      </c>
      <c r="H21" s="104">
        <v>0</v>
      </c>
      <c r="J21" t="s">
        <v>232</v>
      </c>
      <c r="K21" s="104">
        <v>0</v>
      </c>
      <c r="L21" s="104">
        <v>0</v>
      </c>
      <c r="M21" s="104">
        <v>0</v>
      </c>
      <c r="O21" t="s">
        <v>232</v>
      </c>
      <c r="P21" s="104">
        <v>0</v>
      </c>
      <c r="Q21" s="104">
        <v>0</v>
      </c>
      <c r="R21" s="104">
        <v>0</v>
      </c>
      <c r="T21" t="s">
        <v>232</v>
      </c>
      <c r="U21" s="104">
        <v>0</v>
      </c>
      <c r="V21" s="104">
        <v>0</v>
      </c>
      <c r="W21" s="104">
        <v>0</v>
      </c>
      <c r="Y21" t="s">
        <v>232</v>
      </c>
      <c r="Z21" s="104">
        <v>900</v>
      </c>
      <c r="AA21" s="104">
        <v>900</v>
      </c>
      <c r="AB21" s="104">
        <v>900</v>
      </c>
    </row>
    <row r="22" spans="1:28">
      <c r="A22" t="s">
        <v>1</v>
      </c>
      <c r="B22" s="104">
        <v>3.4285714285714284</v>
      </c>
      <c r="C22" s="104">
        <v>3.4285714285714284</v>
      </c>
      <c r="E22" t="s">
        <v>233</v>
      </c>
      <c r="F22" s="104">
        <v>0</v>
      </c>
      <c r="G22" s="104">
        <v>0</v>
      </c>
      <c r="H22" s="104">
        <v>0</v>
      </c>
      <c r="J22" t="s">
        <v>233</v>
      </c>
      <c r="K22" s="104">
        <v>1360</v>
      </c>
      <c r="L22" s="104">
        <v>1360</v>
      </c>
      <c r="M22" s="104">
        <v>1360</v>
      </c>
      <c r="O22" t="s">
        <v>233</v>
      </c>
      <c r="P22" s="104">
        <v>0</v>
      </c>
      <c r="Q22" s="104">
        <v>0</v>
      </c>
      <c r="R22" s="104">
        <v>0</v>
      </c>
      <c r="T22" t="s">
        <v>233</v>
      </c>
      <c r="U22" s="104">
        <v>0</v>
      </c>
      <c r="V22" s="104">
        <v>0</v>
      </c>
      <c r="W22" s="104">
        <v>0</v>
      </c>
      <c r="Y22" t="s">
        <v>233</v>
      </c>
      <c r="Z22" s="104">
        <v>0</v>
      </c>
      <c r="AA22" s="104">
        <v>0</v>
      </c>
      <c r="AB22" s="104">
        <v>0</v>
      </c>
    </row>
    <row r="23" spans="1:28">
      <c r="A23" t="s">
        <v>2</v>
      </c>
      <c r="B23" s="104">
        <v>7</v>
      </c>
      <c r="C23" s="104">
        <v>7</v>
      </c>
      <c r="E23" t="s">
        <v>1</v>
      </c>
      <c r="F23" s="104">
        <v>0</v>
      </c>
      <c r="G23" s="104">
        <v>0</v>
      </c>
      <c r="H23" s="104">
        <v>0</v>
      </c>
      <c r="J23" t="s">
        <v>1</v>
      </c>
      <c r="K23" s="104">
        <v>0.57142857142857162</v>
      </c>
      <c r="L23" s="104">
        <v>0.57142857142857162</v>
      </c>
      <c r="M23" s="104">
        <v>0.57142857142857162</v>
      </c>
      <c r="O23" t="s">
        <v>1</v>
      </c>
      <c r="P23" s="104">
        <v>0.5</v>
      </c>
      <c r="Q23" s="104">
        <v>0.5</v>
      </c>
      <c r="R23" s="104">
        <v>0.5</v>
      </c>
      <c r="T23" t="s">
        <v>1</v>
      </c>
      <c r="U23" s="104">
        <v>0</v>
      </c>
      <c r="V23" s="104">
        <v>0</v>
      </c>
      <c r="W23" s="104">
        <v>0</v>
      </c>
      <c r="Y23" t="s">
        <v>1</v>
      </c>
      <c r="Z23" s="104">
        <v>7.3469387755102034E-2</v>
      </c>
      <c r="AA23" s="104">
        <v>7.3469387755102034E-2</v>
      </c>
      <c r="AB23" s="104">
        <v>7.3469387755102034E-2</v>
      </c>
    </row>
    <row r="24" spans="1:28">
      <c r="A24" t="s">
        <v>234</v>
      </c>
      <c r="B24" s="104">
        <v>0</v>
      </c>
      <c r="C24" s="104">
        <v>0</v>
      </c>
      <c r="E24" t="s">
        <v>2</v>
      </c>
      <c r="F24" s="104">
        <v>0</v>
      </c>
      <c r="G24" s="104">
        <v>0</v>
      </c>
      <c r="H24" s="104">
        <v>0</v>
      </c>
      <c r="J24" t="s">
        <v>2</v>
      </c>
      <c r="K24" s="104">
        <v>0</v>
      </c>
      <c r="L24" s="104">
        <v>0</v>
      </c>
      <c r="M24" s="104">
        <v>0</v>
      </c>
      <c r="O24" t="s">
        <v>2</v>
      </c>
      <c r="P24" s="104">
        <v>0</v>
      </c>
      <c r="Q24" s="104">
        <v>0</v>
      </c>
      <c r="R24" s="104">
        <v>0</v>
      </c>
      <c r="T24" t="s">
        <v>2</v>
      </c>
      <c r="U24" s="104">
        <v>0</v>
      </c>
      <c r="V24" s="104">
        <v>0</v>
      </c>
      <c r="W24" s="104">
        <v>0</v>
      </c>
      <c r="Y24" t="s">
        <v>2</v>
      </c>
      <c r="Z24" s="104">
        <v>0</v>
      </c>
      <c r="AA24" s="104">
        <v>0</v>
      </c>
      <c r="AB24" s="104">
        <v>0</v>
      </c>
    </row>
    <row r="25" spans="1:28">
      <c r="A25" t="s">
        <v>235</v>
      </c>
      <c r="B25" s="104">
        <v>1</v>
      </c>
      <c r="C25" s="104">
        <v>1</v>
      </c>
      <c r="E25" t="s">
        <v>234</v>
      </c>
      <c r="F25" s="104">
        <v>0</v>
      </c>
      <c r="G25" s="104">
        <v>0</v>
      </c>
      <c r="H25" s="104">
        <v>0</v>
      </c>
      <c r="J25" t="s">
        <v>234</v>
      </c>
      <c r="K25" s="104">
        <v>0</v>
      </c>
      <c r="L25" s="104">
        <v>0</v>
      </c>
      <c r="M25" s="104">
        <v>0</v>
      </c>
      <c r="O25" t="s">
        <v>234</v>
      </c>
      <c r="P25" s="104">
        <v>0</v>
      </c>
      <c r="Q25" s="104">
        <v>0</v>
      </c>
      <c r="R25" s="104">
        <v>0</v>
      </c>
      <c r="T25" t="s">
        <v>234</v>
      </c>
      <c r="U25" s="104">
        <v>0</v>
      </c>
      <c r="V25" s="104">
        <v>0</v>
      </c>
      <c r="W25" s="104">
        <v>0</v>
      </c>
      <c r="Y25" t="s">
        <v>234</v>
      </c>
      <c r="Z25" s="104">
        <v>0</v>
      </c>
      <c r="AA25" s="104">
        <v>0</v>
      </c>
      <c r="AB25" s="104">
        <v>0</v>
      </c>
    </row>
    <row r="26" spans="1:28">
      <c r="A26" t="s">
        <v>236</v>
      </c>
      <c r="B26" s="104">
        <v>7</v>
      </c>
      <c r="C26" s="104">
        <v>7</v>
      </c>
      <c r="E26" t="s">
        <v>235</v>
      </c>
      <c r="F26" s="104">
        <v>0</v>
      </c>
      <c r="G26" s="104">
        <v>0</v>
      </c>
      <c r="H26" s="104">
        <v>0</v>
      </c>
      <c r="J26" t="s">
        <v>235</v>
      </c>
      <c r="K26" s="104">
        <v>0</v>
      </c>
      <c r="L26" s="104">
        <v>0</v>
      </c>
      <c r="M26" s="104">
        <v>0</v>
      </c>
      <c r="O26" t="s">
        <v>235</v>
      </c>
      <c r="P26" s="104">
        <v>0</v>
      </c>
      <c r="Q26" s="104">
        <v>0</v>
      </c>
      <c r="R26" s="104">
        <v>0</v>
      </c>
      <c r="T26" t="s">
        <v>235</v>
      </c>
      <c r="U26" s="104">
        <v>0</v>
      </c>
      <c r="V26" s="104">
        <v>0</v>
      </c>
      <c r="W26" s="104">
        <v>0</v>
      </c>
      <c r="Y26" t="s">
        <v>235</v>
      </c>
      <c r="Z26" s="104">
        <v>0</v>
      </c>
      <c r="AA26" s="104">
        <v>0</v>
      </c>
      <c r="AB26" s="104">
        <v>0</v>
      </c>
    </row>
    <row r="27" spans="1:28">
      <c r="A27" t="s">
        <v>237</v>
      </c>
      <c r="B27" s="104">
        <v>4.75</v>
      </c>
      <c r="C27" s="104">
        <v>4.75</v>
      </c>
      <c r="E27" t="s">
        <v>236</v>
      </c>
      <c r="F27" s="104">
        <v>0</v>
      </c>
      <c r="G27" s="104">
        <v>0</v>
      </c>
      <c r="H27" s="104">
        <v>0</v>
      </c>
      <c r="J27" t="s">
        <v>236</v>
      </c>
      <c r="K27" s="104">
        <v>0</v>
      </c>
      <c r="L27" s="104">
        <v>0</v>
      </c>
      <c r="M27" s="104">
        <v>0</v>
      </c>
      <c r="O27" t="s">
        <v>236</v>
      </c>
      <c r="P27" s="104">
        <v>0</v>
      </c>
      <c r="Q27" s="104">
        <v>0</v>
      </c>
      <c r="R27" s="104">
        <v>0</v>
      </c>
      <c r="T27" t="s">
        <v>236</v>
      </c>
      <c r="U27" s="104">
        <v>0</v>
      </c>
      <c r="V27" s="104">
        <v>0</v>
      </c>
      <c r="W27" s="104">
        <v>0</v>
      </c>
      <c r="Y27" t="s">
        <v>236</v>
      </c>
      <c r="Z27" s="104">
        <v>0</v>
      </c>
      <c r="AA27" s="104">
        <v>0</v>
      </c>
      <c r="AB27" s="104">
        <v>0</v>
      </c>
    </row>
    <row r="28" spans="1:28">
      <c r="A28" t="s">
        <v>238</v>
      </c>
      <c r="B28" s="104">
        <v>1</v>
      </c>
      <c r="C28" s="104">
        <v>1</v>
      </c>
      <c r="E28" t="s">
        <v>237</v>
      </c>
      <c r="F28" s="104">
        <v>0</v>
      </c>
      <c r="G28" s="104">
        <v>0</v>
      </c>
      <c r="H28" s="104">
        <v>0</v>
      </c>
      <c r="J28" t="s">
        <v>237</v>
      </c>
      <c r="K28" s="104">
        <v>0</v>
      </c>
      <c r="L28" s="104">
        <v>0</v>
      </c>
      <c r="M28" s="104">
        <v>0</v>
      </c>
      <c r="O28" t="s">
        <v>237</v>
      </c>
      <c r="P28" s="104">
        <v>0</v>
      </c>
      <c r="Q28" s="104">
        <v>0</v>
      </c>
      <c r="R28" s="104">
        <v>0</v>
      </c>
      <c r="T28" t="s">
        <v>237</v>
      </c>
      <c r="U28" s="104">
        <v>0</v>
      </c>
      <c r="V28" s="104">
        <v>0</v>
      </c>
      <c r="W28" s="104">
        <v>0</v>
      </c>
      <c r="Y28" t="s">
        <v>237</v>
      </c>
      <c r="Z28" s="104">
        <v>0</v>
      </c>
      <c r="AA28" s="104">
        <v>0</v>
      </c>
      <c r="AB28" s="104">
        <v>0</v>
      </c>
    </row>
    <row r="29" spans="1:28">
      <c r="A29" t="s">
        <v>239</v>
      </c>
      <c r="B29" s="104">
        <v>0</v>
      </c>
      <c r="C29" s="104">
        <v>0</v>
      </c>
      <c r="E29" t="s">
        <v>238</v>
      </c>
      <c r="F29" s="104">
        <v>0</v>
      </c>
      <c r="G29" s="104">
        <v>0</v>
      </c>
      <c r="H29" s="104">
        <v>0</v>
      </c>
      <c r="J29" t="s">
        <v>238</v>
      </c>
      <c r="K29" s="104">
        <v>0</v>
      </c>
      <c r="L29" s="104">
        <v>0</v>
      </c>
      <c r="M29" s="104">
        <v>0</v>
      </c>
      <c r="O29" t="s">
        <v>238</v>
      </c>
      <c r="P29" s="104">
        <v>0</v>
      </c>
      <c r="Q29" s="104">
        <v>0</v>
      </c>
      <c r="R29" s="104">
        <v>0</v>
      </c>
      <c r="T29" t="s">
        <v>238</v>
      </c>
      <c r="U29" s="104">
        <v>0</v>
      </c>
      <c r="V29" s="104">
        <v>0</v>
      </c>
      <c r="W29" s="104">
        <v>0</v>
      </c>
      <c r="Y29" t="s">
        <v>238</v>
      </c>
      <c r="Z29" s="104">
        <v>0</v>
      </c>
      <c r="AA29" s="104">
        <v>0</v>
      </c>
      <c r="AB29" s="104">
        <v>0</v>
      </c>
    </row>
    <row r="30" spans="1:28">
      <c r="A30" t="s">
        <v>240</v>
      </c>
      <c r="B30" s="104">
        <v>6</v>
      </c>
      <c r="C30" s="104">
        <v>6</v>
      </c>
      <c r="E30" t="s">
        <v>239</v>
      </c>
      <c r="F30" s="104">
        <v>0</v>
      </c>
      <c r="G30" s="104">
        <v>0</v>
      </c>
      <c r="H30" s="104">
        <v>0</v>
      </c>
      <c r="J30" t="s">
        <v>239</v>
      </c>
      <c r="K30" s="104">
        <v>0</v>
      </c>
      <c r="L30" s="104">
        <v>0</v>
      </c>
      <c r="M30" s="104">
        <v>0</v>
      </c>
      <c r="O30" t="s">
        <v>239</v>
      </c>
      <c r="P30" s="104">
        <v>0</v>
      </c>
      <c r="Q30" s="104">
        <v>0</v>
      </c>
      <c r="R30" s="104">
        <v>0</v>
      </c>
      <c r="T30" t="s">
        <v>239</v>
      </c>
      <c r="U30" s="104">
        <v>0</v>
      </c>
      <c r="V30" s="104">
        <v>0</v>
      </c>
      <c r="W30" s="104">
        <v>0</v>
      </c>
      <c r="Y30" t="s">
        <v>239</v>
      </c>
      <c r="Z30" s="104">
        <v>0</v>
      </c>
      <c r="AA30" s="104">
        <v>0</v>
      </c>
      <c r="AB30" s="104">
        <v>0</v>
      </c>
    </row>
    <row r="31" spans="1:28">
      <c r="A31" t="s">
        <v>241</v>
      </c>
      <c r="B31" s="104">
        <v>0</v>
      </c>
      <c r="C31" s="104">
        <v>0</v>
      </c>
      <c r="E31" t="s">
        <v>240</v>
      </c>
      <c r="F31" s="104">
        <v>0</v>
      </c>
      <c r="G31" s="104">
        <v>0</v>
      </c>
      <c r="H31" s="104">
        <v>0</v>
      </c>
      <c r="J31" t="s">
        <v>240</v>
      </c>
      <c r="K31" s="104">
        <v>0</v>
      </c>
      <c r="L31" s="104">
        <v>0</v>
      </c>
      <c r="M31" s="104">
        <v>0</v>
      </c>
      <c r="O31" t="s">
        <v>240</v>
      </c>
      <c r="P31" s="104">
        <v>0</v>
      </c>
      <c r="Q31" s="104">
        <v>0</v>
      </c>
      <c r="R31" s="104">
        <v>0</v>
      </c>
      <c r="T31" t="s">
        <v>240</v>
      </c>
      <c r="U31" s="104">
        <v>0</v>
      </c>
      <c r="V31" s="104">
        <v>0</v>
      </c>
      <c r="W31" s="104">
        <v>0</v>
      </c>
      <c r="Y31" t="s">
        <v>240</v>
      </c>
      <c r="Z31" s="104">
        <v>0</v>
      </c>
      <c r="AA31" s="104">
        <v>0</v>
      </c>
      <c r="AB31" s="104">
        <v>0</v>
      </c>
    </row>
    <row r="32" spans="1:28">
      <c r="A32" t="s">
        <v>242</v>
      </c>
      <c r="B32" s="104">
        <v>0</v>
      </c>
      <c r="C32" s="104">
        <v>0</v>
      </c>
      <c r="E32" t="s">
        <v>241</v>
      </c>
      <c r="F32" s="104">
        <v>0</v>
      </c>
      <c r="G32" s="104">
        <v>0</v>
      </c>
      <c r="H32" s="104">
        <v>0</v>
      </c>
      <c r="J32" t="s">
        <v>241</v>
      </c>
      <c r="K32" s="104">
        <v>0</v>
      </c>
      <c r="L32" s="104">
        <v>0</v>
      </c>
      <c r="M32" s="104">
        <v>0</v>
      </c>
      <c r="O32" t="s">
        <v>241</v>
      </c>
      <c r="P32" s="104">
        <v>0</v>
      </c>
      <c r="Q32" s="104">
        <v>0</v>
      </c>
      <c r="R32" s="104">
        <v>0</v>
      </c>
      <c r="T32" t="s">
        <v>241</v>
      </c>
      <c r="U32" s="104">
        <v>0</v>
      </c>
      <c r="V32" s="104">
        <v>0</v>
      </c>
      <c r="W32" s="104">
        <v>0</v>
      </c>
      <c r="Y32" t="s">
        <v>241</v>
      </c>
      <c r="Z32" s="104">
        <v>0</v>
      </c>
      <c r="AA32" s="104">
        <v>0</v>
      </c>
      <c r="AB32" s="104">
        <v>0</v>
      </c>
    </row>
    <row r="33" spans="1:28">
      <c r="A33" t="s">
        <v>243</v>
      </c>
      <c r="B33" s="104">
        <v>0</v>
      </c>
      <c r="C33" s="104">
        <v>0</v>
      </c>
      <c r="E33" t="s">
        <v>242</v>
      </c>
      <c r="F33" s="104">
        <v>0</v>
      </c>
      <c r="G33" s="104">
        <v>0</v>
      </c>
      <c r="H33" s="104">
        <v>0</v>
      </c>
      <c r="J33" t="s">
        <v>242</v>
      </c>
      <c r="K33" s="104">
        <v>0</v>
      </c>
      <c r="L33" s="104">
        <v>0</v>
      </c>
      <c r="M33" s="104">
        <v>0</v>
      </c>
      <c r="O33" t="s">
        <v>242</v>
      </c>
      <c r="P33" s="104">
        <v>0</v>
      </c>
      <c r="Q33" s="104">
        <v>0</v>
      </c>
      <c r="R33" s="104">
        <v>0</v>
      </c>
      <c r="T33" t="s">
        <v>242</v>
      </c>
      <c r="U33" s="104">
        <v>0</v>
      </c>
      <c r="V33" s="104">
        <v>0</v>
      </c>
      <c r="W33" s="104">
        <v>0</v>
      </c>
      <c r="Y33" t="s">
        <v>242</v>
      </c>
      <c r="Z33" s="104">
        <v>0</v>
      </c>
      <c r="AA33" s="104">
        <v>0</v>
      </c>
      <c r="AB33" s="104">
        <v>0</v>
      </c>
    </row>
    <row r="34" spans="1:28">
      <c r="A34" t="s">
        <v>244</v>
      </c>
      <c r="B34" s="104">
        <v>5</v>
      </c>
      <c r="C34" s="104">
        <v>5</v>
      </c>
      <c r="E34" t="s">
        <v>243</v>
      </c>
      <c r="F34" s="104">
        <v>0</v>
      </c>
      <c r="G34" s="104">
        <v>0</v>
      </c>
      <c r="H34" s="104">
        <v>0</v>
      </c>
      <c r="J34" t="s">
        <v>243</v>
      </c>
      <c r="K34" s="104">
        <v>0</v>
      </c>
      <c r="L34" s="104">
        <v>0</v>
      </c>
      <c r="M34" s="104">
        <v>0</v>
      </c>
      <c r="O34" t="s">
        <v>243</v>
      </c>
      <c r="P34" s="104">
        <v>0</v>
      </c>
      <c r="Q34" s="104">
        <v>0</v>
      </c>
      <c r="R34" s="104">
        <v>0</v>
      </c>
      <c r="T34" t="s">
        <v>243</v>
      </c>
      <c r="U34" s="104">
        <v>0</v>
      </c>
      <c r="V34" s="104">
        <v>0</v>
      </c>
      <c r="W34" s="104">
        <v>0</v>
      </c>
      <c r="Y34" t="s">
        <v>243</v>
      </c>
      <c r="Z34" s="104">
        <v>0</v>
      </c>
      <c r="AA34" s="104">
        <v>0</v>
      </c>
      <c r="AB34" s="104">
        <v>0</v>
      </c>
    </row>
    <row r="35" spans="1:28">
      <c r="A35" t="s">
        <v>245</v>
      </c>
      <c r="B35" s="104">
        <v>0</v>
      </c>
      <c r="C35" s="104">
        <v>0</v>
      </c>
      <c r="E35" t="s">
        <v>244</v>
      </c>
      <c r="F35" s="104">
        <v>0</v>
      </c>
      <c r="G35" s="104">
        <v>0</v>
      </c>
      <c r="H35" s="104">
        <v>0</v>
      </c>
      <c r="J35" t="s">
        <v>244</v>
      </c>
      <c r="K35" s="104">
        <v>0</v>
      </c>
      <c r="L35" s="104">
        <v>0</v>
      </c>
      <c r="M35" s="104">
        <v>0</v>
      </c>
      <c r="O35" t="s">
        <v>244</v>
      </c>
      <c r="P35" s="104">
        <v>0</v>
      </c>
      <c r="Q35" s="104">
        <v>0</v>
      </c>
      <c r="R35" s="104">
        <v>0</v>
      </c>
      <c r="T35" t="s">
        <v>244</v>
      </c>
      <c r="U35" s="104">
        <v>0</v>
      </c>
      <c r="V35" s="104">
        <v>0</v>
      </c>
      <c r="W35" s="104">
        <v>0</v>
      </c>
      <c r="Y35" t="s">
        <v>244</v>
      </c>
      <c r="Z35" s="104">
        <v>0.42857142857142883</v>
      </c>
      <c r="AA35" s="104">
        <v>0.42857142857142883</v>
      </c>
      <c r="AB35" s="104">
        <v>0.42857142857142883</v>
      </c>
    </row>
    <row r="36" spans="1:28">
      <c r="A36" t="s">
        <v>4</v>
      </c>
      <c r="B36" s="104">
        <v>0</v>
      </c>
      <c r="C36" s="104">
        <v>0</v>
      </c>
      <c r="E36" t="s">
        <v>245</v>
      </c>
      <c r="F36" s="104">
        <v>0</v>
      </c>
      <c r="G36" s="104">
        <v>0</v>
      </c>
      <c r="H36" s="104">
        <v>0</v>
      </c>
      <c r="J36" t="s">
        <v>245</v>
      </c>
      <c r="K36" s="104">
        <v>0</v>
      </c>
      <c r="L36" s="104">
        <v>0</v>
      </c>
      <c r="M36" s="104">
        <v>0</v>
      </c>
      <c r="O36" t="s">
        <v>245</v>
      </c>
      <c r="P36" s="104">
        <v>0</v>
      </c>
      <c r="Q36" s="104">
        <v>0</v>
      </c>
      <c r="R36" s="104">
        <v>0</v>
      </c>
      <c r="T36" t="s">
        <v>245</v>
      </c>
      <c r="U36" s="104">
        <v>0</v>
      </c>
      <c r="V36" s="104">
        <v>0</v>
      </c>
      <c r="W36" s="104">
        <v>0</v>
      </c>
      <c r="Y36" t="s">
        <v>245</v>
      </c>
      <c r="Z36" s="104">
        <v>0</v>
      </c>
      <c r="AA36" s="104">
        <v>0</v>
      </c>
      <c r="AB36" s="104">
        <v>0</v>
      </c>
    </row>
    <row r="37" spans="1:28">
      <c r="A37" t="s">
        <v>246</v>
      </c>
      <c r="B37" s="104">
        <v>4</v>
      </c>
      <c r="C37" s="104">
        <v>4</v>
      </c>
      <c r="E37" t="s">
        <v>4</v>
      </c>
      <c r="F37" s="104">
        <v>0</v>
      </c>
      <c r="G37" s="104">
        <v>0</v>
      </c>
      <c r="H37" s="104">
        <v>0</v>
      </c>
      <c r="J37" t="s">
        <v>4</v>
      </c>
      <c r="K37" s="104">
        <v>0</v>
      </c>
      <c r="L37" s="104">
        <v>0</v>
      </c>
      <c r="M37" s="104">
        <v>0</v>
      </c>
      <c r="O37" t="s">
        <v>4</v>
      </c>
      <c r="P37" s="104">
        <v>0</v>
      </c>
      <c r="Q37" s="104">
        <v>0</v>
      </c>
      <c r="R37" s="104">
        <v>0</v>
      </c>
      <c r="T37" t="s">
        <v>4</v>
      </c>
      <c r="U37" s="104">
        <v>0</v>
      </c>
      <c r="V37" s="104">
        <v>0</v>
      </c>
      <c r="W37" s="104">
        <v>0</v>
      </c>
      <c r="Y37" t="s">
        <v>4</v>
      </c>
      <c r="Z37" s="104">
        <v>0</v>
      </c>
      <c r="AA37" s="104">
        <v>0</v>
      </c>
      <c r="AB37" s="104">
        <v>0</v>
      </c>
    </row>
    <row r="38" spans="1:28">
      <c r="A38" t="s">
        <v>247</v>
      </c>
      <c r="B38" s="104">
        <v>1</v>
      </c>
      <c r="C38" s="104">
        <v>1</v>
      </c>
      <c r="E38" t="s">
        <v>246</v>
      </c>
      <c r="F38" s="104">
        <v>0</v>
      </c>
      <c r="G38" s="104">
        <v>0</v>
      </c>
      <c r="H38" s="104">
        <v>0</v>
      </c>
      <c r="J38" t="s">
        <v>246</v>
      </c>
      <c r="K38" s="104">
        <v>0</v>
      </c>
      <c r="L38" s="104">
        <v>0</v>
      </c>
      <c r="M38" s="104">
        <v>0</v>
      </c>
      <c r="O38" t="s">
        <v>246</v>
      </c>
      <c r="P38" s="104">
        <v>0</v>
      </c>
      <c r="Q38" s="104">
        <v>0</v>
      </c>
      <c r="R38" s="104">
        <v>0</v>
      </c>
      <c r="T38" t="s">
        <v>246</v>
      </c>
      <c r="U38" s="104">
        <v>0</v>
      </c>
      <c r="V38" s="104">
        <v>0</v>
      </c>
      <c r="W38" s="104">
        <v>0</v>
      </c>
      <c r="Y38" t="s">
        <v>246</v>
      </c>
      <c r="Z38" s="104">
        <v>0</v>
      </c>
      <c r="AA38" s="104">
        <v>0</v>
      </c>
      <c r="AB38" s="104">
        <v>0</v>
      </c>
    </row>
    <row r="39" spans="1:28">
      <c r="A39" t="s">
        <v>248</v>
      </c>
      <c r="B39" s="104">
        <v>0</v>
      </c>
      <c r="C39" s="104">
        <v>0</v>
      </c>
      <c r="E39" t="s">
        <v>247</v>
      </c>
      <c r="F39" s="104">
        <v>0</v>
      </c>
      <c r="G39" s="104">
        <v>0</v>
      </c>
      <c r="H39" s="104">
        <v>0</v>
      </c>
      <c r="J39" t="s">
        <v>247</v>
      </c>
      <c r="K39" s="104">
        <v>0</v>
      </c>
      <c r="L39" s="104">
        <v>0</v>
      </c>
      <c r="M39" s="104">
        <v>0</v>
      </c>
      <c r="O39" t="s">
        <v>247</v>
      </c>
      <c r="P39" s="104">
        <v>0</v>
      </c>
      <c r="Q39" s="104">
        <v>0</v>
      </c>
      <c r="R39" s="104">
        <v>0</v>
      </c>
      <c r="T39" t="s">
        <v>247</v>
      </c>
      <c r="U39" s="104">
        <v>0</v>
      </c>
      <c r="V39" s="104">
        <v>0</v>
      </c>
      <c r="W39" s="104">
        <v>0</v>
      </c>
      <c r="Y39" t="s">
        <v>247</v>
      </c>
      <c r="Z39" s="104">
        <v>0</v>
      </c>
      <c r="AA39" s="104">
        <v>0</v>
      </c>
      <c r="AB39" s="104">
        <v>0</v>
      </c>
    </row>
    <row r="40" spans="1:28">
      <c r="A40" t="s">
        <v>249</v>
      </c>
      <c r="B40" s="104">
        <v>2</v>
      </c>
      <c r="C40" s="104">
        <v>2</v>
      </c>
      <c r="E40" t="s">
        <v>248</v>
      </c>
      <c r="F40" s="104">
        <v>0</v>
      </c>
      <c r="G40" s="104">
        <v>0</v>
      </c>
      <c r="H40" s="104">
        <v>0</v>
      </c>
      <c r="J40" t="s">
        <v>248</v>
      </c>
      <c r="K40" s="104">
        <v>0</v>
      </c>
      <c r="L40" s="104">
        <v>0</v>
      </c>
      <c r="M40" s="104">
        <v>0</v>
      </c>
      <c r="O40" t="s">
        <v>248</v>
      </c>
      <c r="P40" s="104">
        <v>0</v>
      </c>
      <c r="Q40" s="104">
        <v>0</v>
      </c>
      <c r="R40" s="104">
        <v>0</v>
      </c>
      <c r="T40" t="s">
        <v>248</v>
      </c>
      <c r="U40" s="104">
        <v>0</v>
      </c>
      <c r="V40" s="104">
        <v>0</v>
      </c>
      <c r="W40" s="104">
        <v>0</v>
      </c>
      <c r="Y40" t="s">
        <v>248</v>
      </c>
      <c r="Z40" s="104">
        <v>0</v>
      </c>
      <c r="AA40" s="104">
        <v>0</v>
      </c>
      <c r="AB40" s="104">
        <v>0</v>
      </c>
    </row>
    <row r="41" spans="1:28">
      <c r="A41" t="s">
        <v>250</v>
      </c>
      <c r="B41" s="104">
        <v>6</v>
      </c>
      <c r="C41" s="104">
        <v>6</v>
      </c>
      <c r="E41" t="s">
        <v>249</v>
      </c>
      <c r="F41" s="104">
        <v>0</v>
      </c>
      <c r="G41" s="104">
        <v>0</v>
      </c>
      <c r="H41" s="104">
        <v>0</v>
      </c>
      <c r="J41" t="s">
        <v>249</v>
      </c>
      <c r="K41" s="104">
        <v>0</v>
      </c>
      <c r="L41" s="104">
        <v>0</v>
      </c>
      <c r="M41" s="104">
        <v>0</v>
      </c>
      <c r="O41" t="s">
        <v>249</v>
      </c>
      <c r="P41" s="104">
        <v>0</v>
      </c>
      <c r="Q41" s="104">
        <v>0</v>
      </c>
      <c r="R41" s="104">
        <v>0</v>
      </c>
      <c r="T41" t="s">
        <v>249</v>
      </c>
      <c r="U41" s="104">
        <v>0</v>
      </c>
      <c r="V41" s="104">
        <v>0</v>
      </c>
      <c r="W41" s="104">
        <v>0</v>
      </c>
      <c r="Y41" t="s">
        <v>249</v>
      </c>
      <c r="Z41" s="104">
        <v>0</v>
      </c>
      <c r="AA41" s="104">
        <v>0</v>
      </c>
      <c r="AB41" s="104">
        <v>0</v>
      </c>
    </row>
    <row r="42" spans="1:28">
      <c r="A42" t="s">
        <v>251</v>
      </c>
      <c r="B42" s="104">
        <v>1</v>
      </c>
      <c r="C42" s="104">
        <v>1</v>
      </c>
      <c r="E42" t="s">
        <v>250</v>
      </c>
      <c r="F42" s="104">
        <v>0</v>
      </c>
      <c r="G42" s="104">
        <v>0</v>
      </c>
      <c r="H42" s="104">
        <v>0</v>
      </c>
      <c r="J42" t="s">
        <v>250</v>
      </c>
      <c r="K42" s="104">
        <v>0</v>
      </c>
      <c r="L42" s="104">
        <v>0</v>
      </c>
      <c r="M42" s="104">
        <v>0</v>
      </c>
      <c r="O42" t="s">
        <v>250</v>
      </c>
      <c r="P42" s="104">
        <v>0</v>
      </c>
      <c r="Q42" s="104">
        <v>0</v>
      </c>
      <c r="R42" s="104">
        <v>0</v>
      </c>
      <c r="T42" t="s">
        <v>250</v>
      </c>
      <c r="U42" s="104">
        <v>0</v>
      </c>
      <c r="V42" s="104">
        <v>0</v>
      </c>
      <c r="W42" s="104">
        <v>0</v>
      </c>
      <c r="Y42" t="s">
        <v>250</v>
      </c>
      <c r="Z42" s="104">
        <v>0</v>
      </c>
      <c r="AA42" s="104">
        <v>0</v>
      </c>
      <c r="AB42" s="104">
        <v>0</v>
      </c>
    </row>
    <row r="43" spans="1:28">
      <c r="A43" t="s">
        <v>252</v>
      </c>
      <c r="B43" s="104">
        <v>10</v>
      </c>
      <c r="C43" s="104">
        <v>10</v>
      </c>
      <c r="E43" t="s">
        <v>251</v>
      </c>
      <c r="F43" s="104">
        <v>0</v>
      </c>
      <c r="G43" s="104">
        <v>0</v>
      </c>
      <c r="H43" s="104">
        <v>0</v>
      </c>
      <c r="J43" t="s">
        <v>251</v>
      </c>
      <c r="K43" s="104">
        <v>0</v>
      </c>
      <c r="L43" s="104">
        <v>0</v>
      </c>
      <c r="M43" s="104">
        <v>0</v>
      </c>
      <c r="O43" t="s">
        <v>251</v>
      </c>
      <c r="P43" s="104">
        <v>0</v>
      </c>
      <c r="Q43" s="104">
        <v>0</v>
      </c>
      <c r="R43" s="104">
        <v>0</v>
      </c>
      <c r="T43" t="s">
        <v>251</v>
      </c>
      <c r="U43" s="104">
        <v>0</v>
      </c>
      <c r="V43" s="104">
        <v>0</v>
      </c>
      <c r="W43" s="104">
        <v>0</v>
      </c>
      <c r="Y43" t="s">
        <v>251</v>
      </c>
      <c r="Z43" s="104">
        <v>0</v>
      </c>
      <c r="AA43" s="104">
        <v>0</v>
      </c>
      <c r="AB43" s="104">
        <v>0</v>
      </c>
    </row>
    <row r="44" spans="1:28">
      <c r="A44" t="s">
        <v>253</v>
      </c>
      <c r="B44" s="104">
        <v>5</v>
      </c>
      <c r="C44" s="104">
        <v>5</v>
      </c>
      <c r="E44" t="s">
        <v>252</v>
      </c>
      <c r="F44" s="104">
        <v>0</v>
      </c>
      <c r="G44" s="104">
        <v>0</v>
      </c>
      <c r="H44" s="104">
        <v>0</v>
      </c>
      <c r="J44" t="s">
        <v>252</v>
      </c>
      <c r="K44" s="104">
        <v>0</v>
      </c>
      <c r="L44" s="104">
        <v>0</v>
      </c>
      <c r="M44" s="104">
        <v>0</v>
      </c>
      <c r="O44" t="s">
        <v>252</v>
      </c>
      <c r="P44" s="104">
        <v>0</v>
      </c>
      <c r="Q44" s="104">
        <v>0</v>
      </c>
      <c r="R44" s="104">
        <v>0</v>
      </c>
      <c r="T44" t="s">
        <v>252</v>
      </c>
      <c r="U44" s="104">
        <v>0</v>
      </c>
      <c r="V44" s="104">
        <v>0</v>
      </c>
      <c r="W44" s="104">
        <v>0</v>
      </c>
      <c r="Y44" t="s">
        <v>252</v>
      </c>
      <c r="Z44" s="104">
        <v>0.85714285714285765</v>
      </c>
      <c r="AA44" s="104">
        <v>0.85714285714285765</v>
      </c>
      <c r="AB44" s="104">
        <v>0.85714285714285765</v>
      </c>
    </row>
    <row r="45" spans="1:28">
      <c r="A45" t="s">
        <v>254</v>
      </c>
      <c r="B45" s="104">
        <v>1</v>
      </c>
      <c r="C45" s="104">
        <v>1</v>
      </c>
      <c r="E45" t="s">
        <v>253</v>
      </c>
      <c r="F45" s="104">
        <v>0</v>
      </c>
      <c r="G45" s="104">
        <v>0</v>
      </c>
      <c r="H45" s="104">
        <v>0</v>
      </c>
      <c r="J45" t="s">
        <v>253</v>
      </c>
      <c r="K45" s="104">
        <v>0</v>
      </c>
      <c r="L45" s="104">
        <v>0</v>
      </c>
      <c r="M45" s="104">
        <v>0</v>
      </c>
      <c r="O45" t="s">
        <v>253</v>
      </c>
      <c r="P45" s="104">
        <v>0</v>
      </c>
      <c r="Q45" s="104">
        <v>0</v>
      </c>
      <c r="R45" s="104">
        <v>0</v>
      </c>
      <c r="T45" t="s">
        <v>253</v>
      </c>
      <c r="U45" s="104">
        <v>0</v>
      </c>
      <c r="V45" s="104">
        <v>0</v>
      </c>
      <c r="W45" s="104">
        <v>0</v>
      </c>
      <c r="Y45" t="s">
        <v>253</v>
      </c>
      <c r="Z45" s="104">
        <v>0</v>
      </c>
      <c r="AA45" s="104">
        <v>0</v>
      </c>
      <c r="AB45" s="104">
        <v>0</v>
      </c>
    </row>
    <row r="46" spans="1:28">
      <c r="A46" t="s">
        <v>255</v>
      </c>
      <c r="B46" s="104">
        <v>0</v>
      </c>
      <c r="C46" s="104">
        <v>0</v>
      </c>
      <c r="E46" t="s">
        <v>254</v>
      </c>
      <c r="F46" s="104">
        <v>0</v>
      </c>
      <c r="G46" s="104">
        <v>0</v>
      </c>
      <c r="H46" s="104">
        <v>0</v>
      </c>
      <c r="J46" t="s">
        <v>254</v>
      </c>
      <c r="K46" s="104">
        <v>0</v>
      </c>
      <c r="L46" s="104">
        <v>0</v>
      </c>
      <c r="M46" s="104">
        <v>0</v>
      </c>
      <c r="O46" t="s">
        <v>254</v>
      </c>
      <c r="P46" s="104">
        <v>0</v>
      </c>
      <c r="Q46" s="104">
        <v>0</v>
      </c>
      <c r="R46" s="104">
        <v>0</v>
      </c>
      <c r="T46" t="s">
        <v>254</v>
      </c>
      <c r="U46" s="104">
        <v>0</v>
      </c>
      <c r="V46" s="104">
        <v>0</v>
      </c>
      <c r="W46" s="104">
        <v>0</v>
      </c>
      <c r="Y46" t="s">
        <v>254</v>
      </c>
      <c r="Z46" s="104">
        <v>0</v>
      </c>
      <c r="AA46" s="104">
        <v>0</v>
      </c>
      <c r="AB46" s="104">
        <v>0</v>
      </c>
    </row>
    <row r="47" spans="1:28">
      <c r="A47" t="s">
        <v>256</v>
      </c>
      <c r="B47" s="104">
        <v>0</v>
      </c>
      <c r="C47" s="104">
        <v>0</v>
      </c>
      <c r="E47" t="s">
        <v>257</v>
      </c>
      <c r="F47" s="104">
        <v>0</v>
      </c>
      <c r="G47" s="104">
        <v>0</v>
      </c>
      <c r="H47" s="104">
        <v>0</v>
      </c>
      <c r="J47" t="s">
        <v>258</v>
      </c>
      <c r="K47" s="104">
        <v>0</v>
      </c>
      <c r="L47" s="104">
        <v>0</v>
      </c>
      <c r="M47" s="104">
        <v>0</v>
      </c>
      <c r="O47" t="s">
        <v>257</v>
      </c>
      <c r="P47" s="104">
        <v>0</v>
      </c>
      <c r="Q47" s="104">
        <v>0</v>
      </c>
      <c r="R47" s="104">
        <v>0</v>
      </c>
      <c r="T47" t="s">
        <v>257</v>
      </c>
      <c r="U47" s="104">
        <v>0</v>
      </c>
      <c r="V47" s="104">
        <v>0</v>
      </c>
      <c r="W47" s="104">
        <v>0</v>
      </c>
      <c r="Y47" t="s">
        <v>257</v>
      </c>
      <c r="Z47" s="104">
        <v>0</v>
      </c>
      <c r="AA47" s="104">
        <v>0</v>
      </c>
      <c r="AB47" s="104">
        <v>0</v>
      </c>
    </row>
    <row r="48" spans="1:28">
      <c r="A48" t="s">
        <v>259</v>
      </c>
      <c r="B48" s="104">
        <v>0</v>
      </c>
      <c r="C48" s="104">
        <v>0</v>
      </c>
      <c r="E48" t="s">
        <v>256</v>
      </c>
      <c r="F48" s="104">
        <v>0</v>
      </c>
      <c r="G48" s="104">
        <v>0</v>
      </c>
      <c r="H48" s="104">
        <v>0</v>
      </c>
      <c r="J48" t="s">
        <v>256</v>
      </c>
      <c r="K48" s="104">
        <v>0</v>
      </c>
      <c r="L48" s="104">
        <v>0</v>
      </c>
      <c r="M48" s="104">
        <v>0</v>
      </c>
      <c r="O48" t="s">
        <v>256</v>
      </c>
      <c r="P48" s="104">
        <v>0</v>
      </c>
      <c r="Q48" s="104">
        <v>0</v>
      </c>
      <c r="R48" s="104">
        <v>0</v>
      </c>
      <c r="T48" t="s">
        <v>256</v>
      </c>
      <c r="U48" s="104">
        <v>0</v>
      </c>
      <c r="V48" s="104">
        <v>0</v>
      </c>
      <c r="W48" s="104">
        <v>0</v>
      </c>
      <c r="Y48" t="s">
        <v>256</v>
      </c>
      <c r="Z48" s="104">
        <v>0</v>
      </c>
      <c r="AA48" s="104">
        <v>0</v>
      </c>
      <c r="AB48" s="104">
        <v>0</v>
      </c>
    </row>
    <row r="49" spans="1:28">
      <c r="A49" t="s">
        <v>260</v>
      </c>
      <c r="B49" s="104">
        <v>0</v>
      </c>
      <c r="C49" s="104">
        <v>0</v>
      </c>
      <c r="E49" t="s">
        <v>259</v>
      </c>
      <c r="F49" s="104">
        <v>0</v>
      </c>
      <c r="G49" s="104">
        <v>0</v>
      </c>
      <c r="H49" s="104">
        <v>0</v>
      </c>
      <c r="J49" t="s">
        <v>259</v>
      </c>
      <c r="K49" s="104">
        <v>0</v>
      </c>
      <c r="L49" s="104">
        <v>0</v>
      </c>
      <c r="M49" s="104">
        <v>0</v>
      </c>
      <c r="O49" t="s">
        <v>259</v>
      </c>
      <c r="P49" s="104">
        <v>0</v>
      </c>
      <c r="Q49" s="104">
        <v>0</v>
      </c>
      <c r="R49" s="104">
        <v>0</v>
      </c>
      <c r="T49" t="s">
        <v>259</v>
      </c>
      <c r="U49" s="104">
        <v>0</v>
      </c>
      <c r="V49" s="104">
        <v>0</v>
      </c>
      <c r="W49" s="104">
        <v>0</v>
      </c>
      <c r="Y49" t="s">
        <v>259</v>
      </c>
      <c r="Z49" s="104">
        <v>0</v>
      </c>
      <c r="AA49" s="104">
        <v>0</v>
      </c>
      <c r="AB49" s="104">
        <v>0</v>
      </c>
    </row>
    <row r="50" spans="1:28">
      <c r="A50" t="s">
        <v>261</v>
      </c>
      <c r="B50" s="104">
        <v>0</v>
      </c>
      <c r="C50" s="104">
        <v>0</v>
      </c>
      <c r="E50" t="s">
        <v>260</v>
      </c>
      <c r="F50" s="104">
        <v>0</v>
      </c>
      <c r="G50" s="104">
        <v>0</v>
      </c>
      <c r="H50" s="104">
        <v>0</v>
      </c>
      <c r="J50" t="s">
        <v>260</v>
      </c>
      <c r="K50" s="104">
        <v>0</v>
      </c>
      <c r="L50" s="104">
        <v>0</v>
      </c>
      <c r="M50" s="104">
        <v>0</v>
      </c>
      <c r="O50" t="s">
        <v>260</v>
      </c>
      <c r="P50" s="104">
        <v>0</v>
      </c>
      <c r="Q50" s="104">
        <v>0</v>
      </c>
      <c r="R50" s="104">
        <v>0</v>
      </c>
      <c r="T50" t="s">
        <v>260</v>
      </c>
      <c r="U50" s="104">
        <v>0</v>
      </c>
      <c r="V50" s="104">
        <v>0</v>
      </c>
      <c r="W50" s="104">
        <v>0</v>
      </c>
      <c r="Y50" t="s">
        <v>260</v>
      </c>
      <c r="Z50" s="104">
        <v>0</v>
      </c>
      <c r="AA50" s="104">
        <v>0</v>
      </c>
      <c r="AB50" s="104">
        <v>0</v>
      </c>
    </row>
    <row r="51" spans="1:28">
      <c r="A51" t="s">
        <v>262</v>
      </c>
      <c r="B51" s="104">
        <v>0</v>
      </c>
      <c r="C51" s="104">
        <v>0</v>
      </c>
      <c r="E51" t="s">
        <v>261</v>
      </c>
      <c r="F51" s="104">
        <v>0</v>
      </c>
      <c r="G51" s="104">
        <v>0</v>
      </c>
      <c r="H51" s="104">
        <v>0</v>
      </c>
      <c r="J51" t="s">
        <v>261</v>
      </c>
      <c r="K51" s="104">
        <v>0</v>
      </c>
      <c r="L51" s="104">
        <v>0</v>
      </c>
      <c r="M51" s="104">
        <v>0</v>
      </c>
      <c r="O51" t="s">
        <v>261</v>
      </c>
      <c r="P51" s="104">
        <v>0</v>
      </c>
      <c r="Q51" s="104">
        <v>0</v>
      </c>
      <c r="R51" s="104">
        <v>0</v>
      </c>
      <c r="T51" t="s">
        <v>261</v>
      </c>
      <c r="U51" s="104">
        <v>0</v>
      </c>
      <c r="V51" s="104">
        <v>0</v>
      </c>
      <c r="W51" s="104">
        <v>0</v>
      </c>
      <c r="Y51" t="s">
        <v>261</v>
      </c>
      <c r="Z51" s="104">
        <v>0</v>
      </c>
      <c r="AA51" s="104">
        <v>0</v>
      </c>
      <c r="AB51" s="104">
        <v>0</v>
      </c>
    </row>
    <row r="52" spans="1:28">
      <c r="A52" t="s">
        <v>263</v>
      </c>
      <c r="B52" s="104">
        <v>0</v>
      </c>
      <c r="C52" s="104">
        <v>0</v>
      </c>
      <c r="E52" t="s">
        <v>262</v>
      </c>
      <c r="F52" s="104">
        <v>0</v>
      </c>
      <c r="G52" s="104">
        <v>0</v>
      </c>
      <c r="H52" s="104">
        <v>0</v>
      </c>
      <c r="J52" t="s">
        <v>262</v>
      </c>
      <c r="K52" s="104">
        <v>0</v>
      </c>
      <c r="L52" s="104">
        <v>0</v>
      </c>
      <c r="M52" s="104">
        <v>0</v>
      </c>
      <c r="O52" t="s">
        <v>262</v>
      </c>
      <c r="P52" s="104">
        <v>0</v>
      </c>
      <c r="Q52" s="104">
        <v>0</v>
      </c>
      <c r="R52" s="104">
        <v>0</v>
      </c>
      <c r="T52" t="s">
        <v>262</v>
      </c>
      <c r="U52" s="104">
        <v>0</v>
      </c>
      <c r="V52" s="104">
        <v>0</v>
      </c>
      <c r="W52" s="104">
        <v>0</v>
      </c>
      <c r="Y52" t="s">
        <v>262</v>
      </c>
      <c r="Z52" s="104">
        <v>0</v>
      </c>
      <c r="AA52" s="104">
        <v>0</v>
      </c>
      <c r="AB52" s="104">
        <v>0</v>
      </c>
    </row>
    <row r="53" spans="1:28">
      <c r="A53" t="s">
        <v>264</v>
      </c>
      <c r="B53" s="104">
        <v>0</v>
      </c>
      <c r="C53" s="104">
        <v>0</v>
      </c>
      <c r="E53" t="s">
        <v>263</v>
      </c>
      <c r="F53" s="104">
        <v>0</v>
      </c>
      <c r="G53" s="104">
        <v>0</v>
      </c>
      <c r="H53" s="104">
        <v>0</v>
      </c>
      <c r="J53" t="s">
        <v>263</v>
      </c>
      <c r="K53" s="104">
        <v>0</v>
      </c>
      <c r="L53" s="104">
        <v>0</v>
      </c>
      <c r="M53" s="104">
        <v>0</v>
      </c>
      <c r="O53" t="s">
        <v>263</v>
      </c>
      <c r="P53" s="104">
        <v>0</v>
      </c>
      <c r="Q53" s="104">
        <v>0</v>
      </c>
      <c r="R53" s="104">
        <v>0</v>
      </c>
      <c r="T53" t="s">
        <v>263</v>
      </c>
      <c r="U53" s="104">
        <v>0</v>
      </c>
      <c r="V53" s="104">
        <v>0</v>
      </c>
      <c r="W53" s="104">
        <v>0</v>
      </c>
      <c r="Y53" t="s">
        <v>263</v>
      </c>
      <c r="Z53" s="104">
        <v>0</v>
      </c>
      <c r="AA53" s="104">
        <v>0</v>
      </c>
      <c r="AB53" s="104">
        <v>0</v>
      </c>
    </row>
    <row r="54" spans="1:28">
      <c r="A54" t="s">
        <v>265</v>
      </c>
      <c r="B54" s="104">
        <v>0</v>
      </c>
      <c r="C54" s="104">
        <v>0</v>
      </c>
      <c r="E54" t="s">
        <v>264</v>
      </c>
      <c r="F54" s="104">
        <v>0</v>
      </c>
      <c r="G54" s="104">
        <v>0</v>
      </c>
      <c r="H54" s="104">
        <v>0</v>
      </c>
      <c r="J54" t="s">
        <v>264</v>
      </c>
      <c r="K54" s="104">
        <v>0</v>
      </c>
      <c r="L54" s="104">
        <v>0</v>
      </c>
      <c r="M54" s="104">
        <v>0</v>
      </c>
      <c r="O54" t="s">
        <v>264</v>
      </c>
      <c r="P54" s="104">
        <v>0</v>
      </c>
      <c r="Q54" s="104">
        <v>0</v>
      </c>
      <c r="R54" s="104">
        <v>0</v>
      </c>
      <c r="T54" t="s">
        <v>264</v>
      </c>
      <c r="U54" s="104">
        <v>0</v>
      </c>
      <c r="V54" s="104">
        <v>0</v>
      </c>
      <c r="W54" s="104">
        <v>0</v>
      </c>
      <c r="Y54" t="s">
        <v>264</v>
      </c>
      <c r="Z54" s="104">
        <v>0</v>
      </c>
      <c r="AA54" s="104">
        <v>0</v>
      </c>
      <c r="AB54" s="104">
        <v>0</v>
      </c>
    </row>
    <row r="55" spans="1:28">
      <c r="A55" t="s">
        <v>266</v>
      </c>
      <c r="B55" s="104">
        <v>0</v>
      </c>
      <c r="C55" s="104">
        <v>0</v>
      </c>
      <c r="E55" t="s">
        <v>265</v>
      </c>
      <c r="F55" s="104">
        <v>0</v>
      </c>
      <c r="G55" s="104">
        <v>0</v>
      </c>
      <c r="H55" s="104">
        <v>0</v>
      </c>
      <c r="J55" t="s">
        <v>265</v>
      </c>
      <c r="K55" s="104">
        <v>0</v>
      </c>
      <c r="L55" s="104">
        <v>0</v>
      </c>
      <c r="M55" s="104">
        <v>0</v>
      </c>
      <c r="O55" t="s">
        <v>265</v>
      </c>
      <c r="P55" s="104">
        <v>0</v>
      </c>
      <c r="Q55" s="104">
        <v>0</v>
      </c>
      <c r="R55" s="104">
        <v>0</v>
      </c>
      <c r="T55" t="s">
        <v>265</v>
      </c>
      <c r="U55" s="104">
        <v>0</v>
      </c>
      <c r="V55" s="104">
        <v>0</v>
      </c>
      <c r="W55" s="104">
        <v>0</v>
      </c>
      <c r="Y55" t="s">
        <v>265</v>
      </c>
      <c r="Z55" s="104">
        <v>0</v>
      </c>
      <c r="AA55" s="104">
        <v>0</v>
      </c>
      <c r="AB55" s="104">
        <v>0</v>
      </c>
    </row>
    <row r="56" spans="1:28">
      <c r="A56" t="s">
        <v>267</v>
      </c>
      <c r="B56" s="104">
        <v>0</v>
      </c>
      <c r="C56" s="104">
        <v>0</v>
      </c>
      <c r="E56" t="s">
        <v>266</v>
      </c>
      <c r="F56" s="104">
        <v>0</v>
      </c>
      <c r="G56" s="104">
        <v>0</v>
      </c>
      <c r="H56" s="104">
        <v>0</v>
      </c>
      <c r="J56" t="s">
        <v>266</v>
      </c>
      <c r="K56" s="104">
        <v>0</v>
      </c>
      <c r="L56" s="104">
        <v>0</v>
      </c>
      <c r="M56" s="104">
        <v>0</v>
      </c>
      <c r="O56" t="s">
        <v>266</v>
      </c>
      <c r="P56" s="104">
        <v>0</v>
      </c>
      <c r="Q56" s="104">
        <v>0</v>
      </c>
      <c r="R56" s="104">
        <v>0</v>
      </c>
      <c r="T56" t="s">
        <v>266</v>
      </c>
      <c r="U56" s="104">
        <v>0</v>
      </c>
      <c r="V56" s="104">
        <v>0</v>
      </c>
      <c r="W56" s="104">
        <v>0</v>
      </c>
      <c r="Y56" t="s">
        <v>266</v>
      </c>
      <c r="Z56" s="104">
        <v>0</v>
      </c>
      <c r="AA56" s="104">
        <v>0</v>
      </c>
      <c r="AB56" s="104">
        <v>0</v>
      </c>
    </row>
    <row r="57" spans="1:28">
      <c r="A57" t="s">
        <v>268</v>
      </c>
      <c r="B57" s="104">
        <v>0</v>
      </c>
      <c r="C57" s="104">
        <v>0</v>
      </c>
      <c r="E57" t="s">
        <v>267</v>
      </c>
      <c r="F57" s="104">
        <v>0</v>
      </c>
      <c r="G57" s="104">
        <v>0</v>
      </c>
      <c r="H57" s="104">
        <v>0</v>
      </c>
      <c r="J57" t="s">
        <v>267</v>
      </c>
      <c r="K57" s="104">
        <v>0</v>
      </c>
      <c r="L57" s="104">
        <v>0</v>
      </c>
      <c r="M57" s="104">
        <v>0</v>
      </c>
      <c r="O57" t="s">
        <v>267</v>
      </c>
      <c r="P57" s="104">
        <v>0</v>
      </c>
      <c r="Q57" s="104">
        <v>0</v>
      </c>
      <c r="R57" s="104">
        <v>0</v>
      </c>
      <c r="T57" t="s">
        <v>267</v>
      </c>
      <c r="U57" s="104">
        <v>0</v>
      </c>
      <c r="V57" s="104">
        <v>0</v>
      </c>
      <c r="W57" s="104">
        <v>0</v>
      </c>
      <c r="Y57" t="s">
        <v>267</v>
      </c>
      <c r="Z57" s="104">
        <v>0</v>
      </c>
      <c r="AA57" s="104">
        <v>0</v>
      </c>
      <c r="AB57" s="104">
        <v>0</v>
      </c>
    </row>
    <row r="58" spans="1:28">
      <c r="A58" t="s">
        <v>269</v>
      </c>
      <c r="B58" s="104">
        <v>0</v>
      </c>
      <c r="C58" s="104">
        <v>0</v>
      </c>
      <c r="E58" t="s">
        <v>268</v>
      </c>
      <c r="F58" s="104">
        <v>0</v>
      </c>
      <c r="G58" s="104">
        <v>0</v>
      </c>
      <c r="H58" s="104">
        <v>0</v>
      </c>
      <c r="J58" t="s">
        <v>268</v>
      </c>
      <c r="K58" s="104">
        <v>0</v>
      </c>
      <c r="L58" s="104">
        <v>0</v>
      </c>
      <c r="M58" s="104">
        <v>0</v>
      </c>
      <c r="O58" t="s">
        <v>268</v>
      </c>
      <c r="P58" s="104">
        <v>0</v>
      </c>
      <c r="Q58" s="104">
        <v>0</v>
      </c>
      <c r="R58" s="104">
        <v>0</v>
      </c>
      <c r="T58" t="s">
        <v>268</v>
      </c>
      <c r="U58" s="104">
        <v>0</v>
      </c>
      <c r="V58" s="104">
        <v>0</v>
      </c>
      <c r="W58" s="104">
        <v>0</v>
      </c>
      <c r="Y58" t="s">
        <v>268</v>
      </c>
      <c r="Z58" s="104">
        <v>0</v>
      </c>
      <c r="AA58" s="104">
        <v>0</v>
      </c>
      <c r="AB58" s="104">
        <v>0</v>
      </c>
    </row>
    <row r="59" spans="1:28">
      <c r="A59" t="s">
        <v>270</v>
      </c>
      <c r="B59" s="104">
        <v>0</v>
      </c>
      <c r="C59" s="104">
        <v>0</v>
      </c>
      <c r="E59" t="s">
        <v>269</v>
      </c>
      <c r="F59" s="104">
        <v>0</v>
      </c>
      <c r="G59" s="104">
        <v>0</v>
      </c>
      <c r="H59" s="104">
        <v>0</v>
      </c>
      <c r="J59" t="s">
        <v>269</v>
      </c>
      <c r="K59" s="104">
        <v>0</v>
      </c>
      <c r="L59" s="104">
        <v>0</v>
      </c>
      <c r="M59" s="104">
        <v>0</v>
      </c>
      <c r="O59" t="s">
        <v>269</v>
      </c>
      <c r="P59" s="104">
        <v>0</v>
      </c>
      <c r="Q59" s="104">
        <v>0</v>
      </c>
      <c r="R59" s="104">
        <v>0</v>
      </c>
      <c r="T59" t="s">
        <v>269</v>
      </c>
      <c r="U59" s="104">
        <v>0</v>
      </c>
      <c r="V59" s="104">
        <v>0</v>
      </c>
      <c r="W59" s="104">
        <v>0</v>
      </c>
      <c r="Y59" t="s">
        <v>269</v>
      </c>
      <c r="Z59" s="104">
        <v>0</v>
      </c>
      <c r="AA59" s="104">
        <v>0</v>
      </c>
      <c r="AB59" s="104">
        <v>0</v>
      </c>
    </row>
    <row r="60" spans="1:28">
      <c r="A60" t="s">
        <v>271</v>
      </c>
      <c r="B60" s="104">
        <v>0</v>
      </c>
      <c r="C60" s="104">
        <v>0</v>
      </c>
      <c r="E60" t="s">
        <v>270</v>
      </c>
      <c r="F60" s="104">
        <v>0</v>
      </c>
      <c r="G60" s="104">
        <v>0</v>
      </c>
      <c r="H60" s="104">
        <v>0</v>
      </c>
      <c r="J60" t="s">
        <v>270</v>
      </c>
      <c r="K60" s="104">
        <v>0</v>
      </c>
      <c r="L60" s="104">
        <v>0</v>
      </c>
      <c r="M60" s="104">
        <v>0</v>
      </c>
      <c r="O60" t="s">
        <v>270</v>
      </c>
      <c r="P60" s="104">
        <v>0</v>
      </c>
      <c r="Q60" s="104">
        <v>0</v>
      </c>
      <c r="R60" s="104">
        <v>0</v>
      </c>
      <c r="T60" t="s">
        <v>270</v>
      </c>
      <c r="U60" s="104">
        <v>0</v>
      </c>
      <c r="V60" s="104">
        <v>0</v>
      </c>
      <c r="W60" s="104">
        <v>0</v>
      </c>
      <c r="Y60" t="s">
        <v>270</v>
      </c>
      <c r="Z60" s="104">
        <v>0</v>
      </c>
      <c r="AA60" s="104">
        <v>0</v>
      </c>
      <c r="AB60" s="104">
        <v>0</v>
      </c>
    </row>
    <row r="61" spans="1:28">
      <c r="A61" t="s">
        <v>272</v>
      </c>
      <c r="B61" s="104">
        <v>0</v>
      </c>
      <c r="C61" s="104">
        <v>0</v>
      </c>
      <c r="E61" t="s">
        <v>271</v>
      </c>
      <c r="F61" s="104">
        <v>0</v>
      </c>
      <c r="G61" s="104">
        <v>0</v>
      </c>
      <c r="H61" s="104">
        <v>0</v>
      </c>
      <c r="J61" t="s">
        <v>271</v>
      </c>
      <c r="K61" s="104">
        <v>0</v>
      </c>
      <c r="L61" s="104">
        <v>0</v>
      </c>
      <c r="M61" s="104">
        <v>0</v>
      </c>
      <c r="O61" t="s">
        <v>271</v>
      </c>
      <c r="P61" s="104">
        <v>0</v>
      </c>
      <c r="Q61" s="104">
        <v>0</v>
      </c>
      <c r="R61" s="104">
        <v>0</v>
      </c>
      <c r="T61" t="s">
        <v>271</v>
      </c>
      <c r="U61" s="104">
        <v>0</v>
      </c>
      <c r="V61" s="104">
        <v>0</v>
      </c>
      <c r="W61" s="104">
        <v>0</v>
      </c>
      <c r="Y61" t="s">
        <v>271</v>
      </c>
      <c r="Z61" s="104">
        <v>0</v>
      </c>
      <c r="AA61" s="104">
        <v>0</v>
      </c>
      <c r="AB61" s="104">
        <v>0</v>
      </c>
    </row>
    <row r="62" spans="1:28">
      <c r="A62" t="s">
        <v>273</v>
      </c>
      <c r="B62" s="104">
        <v>0.5</v>
      </c>
      <c r="C62" s="104">
        <v>0.5</v>
      </c>
      <c r="E62" t="s">
        <v>272</v>
      </c>
      <c r="F62" s="104">
        <v>0</v>
      </c>
      <c r="G62" s="104">
        <v>0</v>
      </c>
      <c r="H62" s="104">
        <v>0</v>
      </c>
      <c r="J62" t="s">
        <v>272</v>
      </c>
      <c r="K62" s="104">
        <v>0</v>
      </c>
      <c r="L62" s="104">
        <v>0</v>
      </c>
      <c r="M62" s="104">
        <v>0</v>
      </c>
      <c r="O62" t="s">
        <v>272</v>
      </c>
      <c r="P62" s="104">
        <v>0</v>
      </c>
      <c r="Q62" s="104">
        <v>0</v>
      </c>
      <c r="R62" s="104">
        <v>0</v>
      </c>
      <c r="T62" t="s">
        <v>272</v>
      </c>
      <c r="U62" s="104">
        <v>0</v>
      </c>
      <c r="V62" s="104">
        <v>0</v>
      </c>
      <c r="W62" s="104">
        <v>0</v>
      </c>
      <c r="Y62" t="s">
        <v>272</v>
      </c>
      <c r="Z62" s="104">
        <v>0</v>
      </c>
      <c r="AA62" s="104">
        <v>0</v>
      </c>
      <c r="AB62" s="104">
        <v>0</v>
      </c>
    </row>
    <row r="63" spans="1:28">
      <c r="A63" t="s">
        <v>274</v>
      </c>
      <c r="B63" s="104">
        <v>7</v>
      </c>
      <c r="C63" s="104">
        <v>7</v>
      </c>
      <c r="E63" t="s">
        <v>273</v>
      </c>
      <c r="F63" s="104">
        <v>0</v>
      </c>
      <c r="G63" s="104">
        <v>0</v>
      </c>
      <c r="H63" s="104">
        <v>0</v>
      </c>
      <c r="J63" t="s">
        <v>273</v>
      </c>
      <c r="K63" s="104">
        <v>1</v>
      </c>
      <c r="L63" s="104">
        <v>1</v>
      </c>
      <c r="M63" s="104">
        <v>1</v>
      </c>
      <c r="O63" t="s">
        <v>273</v>
      </c>
      <c r="P63" s="104">
        <v>0</v>
      </c>
      <c r="Q63" s="104">
        <v>0</v>
      </c>
      <c r="R63" s="104">
        <v>0</v>
      </c>
      <c r="T63" t="s">
        <v>273</v>
      </c>
      <c r="U63" s="104">
        <v>0</v>
      </c>
      <c r="V63" s="104">
        <v>0</v>
      </c>
      <c r="W63" s="104">
        <v>0</v>
      </c>
      <c r="Y63" t="s">
        <v>273</v>
      </c>
      <c r="Z63" s="104">
        <v>0</v>
      </c>
      <c r="AA63" s="104">
        <v>0</v>
      </c>
      <c r="AB63" s="104">
        <v>0</v>
      </c>
    </row>
    <row r="64" spans="1:28">
      <c r="A64" t="s">
        <v>275</v>
      </c>
      <c r="E64" t="s">
        <v>274</v>
      </c>
      <c r="F64" s="104">
        <v>0</v>
      </c>
      <c r="G64" s="104">
        <v>0</v>
      </c>
      <c r="H64" s="104">
        <v>0</v>
      </c>
      <c r="J64" t="s">
        <v>274</v>
      </c>
      <c r="K64" s="104">
        <v>0</v>
      </c>
      <c r="L64" s="104">
        <v>0</v>
      </c>
      <c r="M64" s="104">
        <v>0</v>
      </c>
      <c r="O64" t="s">
        <v>274</v>
      </c>
      <c r="P64" s="104">
        <v>0</v>
      </c>
      <c r="Q64" s="104">
        <v>0</v>
      </c>
      <c r="R64" s="104">
        <v>0</v>
      </c>
      <c r="T64" t="s">
        <v>274</v>
      </c>
      <c r="U64" s="104">
        <v>0</v>
      </c>
      <c r="V64" s="104">
        <v>0</v>
      </c>
      <c r="W64" s="104">
        <v>0</v>
      </c>
      <c r="Y64" t="s">
        <v>274</v>
      </c>
      <c r="Z64" s="104">
        <v>0</v>
      </c>
      <c r="AA64" s="104">
        <v>0</v>
      </c>
      <c r="AB64" s="104">
        <v>0</v>
      </c>
    </row>
    <row r="65" spans="1:3">
      <c r="A65" t="s">
        <v>276</v>
      </c>
    </row>
    <row r="66" spans="1:3">
      <c r="A66" t="s">
        <v>277</v>
      </c>
    </row>
    <row r="67" spans="1:3">
      <c r="A67" t="s">
        <v>278</v>
      </c>
    </row>
    <row r="68" spans="1:3">
      <c r="A68" t="s">
        <v>279</v>
      </c>
      <c r="B68" s="104">
        <v>8488</v>
      </c>
      <c r="C68" s="104">
        <v>8488</v>
      </c>
    </row>
    <row r="69" spans="1:3">
      <c r="A69" t="s">
        <v>280</v>
      </c>
      <c r="B69" s="104">
        <v>7488</v>
      </c>
      <c r="C69" s="104">
        <v>7488</v>
      </c>
    </row>
    <row r="70" spans="1:3">
      <c r="A70" t="s">
        <v>281</v>
      </c>
      <c r="B70" s="104">
        <v>6488</v>
      </c>
      <c r="C70" s="104">
        <v>6488</v>
      </c>
    </row>
    <row r="71" spans="1:3">
      <c r="A71" t="s">
        <v>282</v>
      </c>
      <c r="B71" s="104">
        <v>5488</v>
      </c>
      <c r="C71" s="104">
        <v>5488</v>
      </c>
    </row>
    <row r="72" spans="1:3">
      <c r="A72" t="s">
        <v>283</v>
      </c>
      <c r="B72" s="104">
        <v>3118.2222222222222</v>
      </c>
      <c r="C72" s="104">
        <v>3118.2222222222222</v>
      </c>
    </row>
    <row r="73" spans="1:3">
      <c r="A73" t="s">
        <v>284</v>
      </c>
      <c r="B73" s="104">
        <v>4297.0666666666666</v>
      </c>
      <c r="C73" s="104">
        <v>4297.0666666666666</v>
      </c>
    </row>
    <row r="74" spans="1:3">
      <c r="A74" t="s">
        <v>285</v>
      </c>
      <c r="B74" s="104">
        <v>1496</v>
      </c>
      <c r="C74" s="104">
        <v>1496</v>
      </c>
    </row>
    <row r="75" spans="1:3">
      <c r="A75" t="s">
        <v>286</v>
      </c>
      <c r="B75" s="104">
        <v>1090.4444444444446</v>
      </c>
      <c r="C75" s="104">
        <v>1090.4444444444446</v>
      </c>
    </row>
    <row r="76" spans="1:3">
      <c r="A76" t="s">
        <v>287</v>
      </c>
      <c r="B76" s="104">
        <v>2672.7619047619046</v>
      </c>
      <c r="C76" s="104">
        <v>2672.7619047619046</v>
      </c>
    </row>
    <row r="77" spans="1:3">
      <c r="A77" t="s">
        <v>288</v>
      </c>
      <c r="B77" s="104">
        <v>3683.2</v>
      </c>
      <c r="C77" s="104">
        <v>3683.2</v>
      </c>
    </row>
    <row r="78" spans="1:3">
      <c r="A78" t="s">
        <v>289</v>
      </c>
      <c r="B78" s="104">
        <v>1282.2857142857142</v>
      </c>
      <c r="C78" s="104">
        <v>1282.2857142857142</v>
      </c>
    </row>
    <row r="79" spans="1:3">
      <c r="A79" t="s">
        <v>290</v>
      </c>
      <c r="B79" s="104">
        <v>1908.2777777777781</v>
      </c>
      <c r="C79" s="104">
        <v>1908.2777777777781</v>
      </c>
    </row>
    <row r="80" spans="1:3">
      <c r="A80" t="s">
        <v>291</v>
      </c>
      <c r="B80" s="104">
        <v>0</v>
      </c>
      <c r="C80" s="104">
        <v>0</v>
      </c>
    </row>
    <row r="81" spans="1:3">
      <c r="A81" t="s">
        <v>292</v>
      </c>
      <c r="B81" s="104">
        <v>0</v>
      </c>
      <c r="C81" s="104">
        <v>0</v>
      </c>
    </row>
    <row r="82" spans="1:3">
      <c r="A82" t="s">
        <v>293</v>
      </c>
      <c r="B82" s="104">
        <v>0</v>
      </c>
      <c r="C82" s="104">
        <v>0</v>
      </c>
    </row>
    <row r="83" spans="1:3">
      <c r="A83" t="s">
        <v>294</v>
      </c>
      <c r="B83" s="104">
        <v>0</v>
      </c>
      <c r="C83" s="104">
        <v>0</v>
      </c>
    </row>
    <row r="84" spans="1:3">
      <c r="A84" t="s">
        <v>5</v>
      </c>
      <c r="B84" s="104">
        <v>2.8095238095238098</v>
      </c>
      <c r="C84" s="104">
        <v>2.8095238095238098</v>
      </c>
    </row>
    <row r="85" spans="1:3">
      <c r="A85" t="s">
        <v>295</v>
      </c>
      <c r="B85" s="104">
        <v>4.173770158730159</v>
      </c>
      <c r="C85" s="104">
        <v>4.173770158730159</v>
      </c>
    </row>
    <row r="86" spans="1:3">
      <c r="A86" t="s">
        <v>296</v>
      </c>
      <c r="B86" s="104">
        <v>5.0151812610229278</v>
      </c>
      <c r="C86" s="104">
        <v>5.0151812610229278</v>
      </c>
    </row>
    <row r="87" spans="1:3">
      <c r="A87" t="s">
        <v>297</v>
      </c>
      <c r="B87" s="104">
        <v>7.0012133333333342</v>
      </c>
      <c r="C87" s="104">
        <v>7.0012133333333342</v>
      </c>
    </row>
    <row r="88" spans="1:3">
      <c r="A88" t="s">
        <v>298</v>
      </c>
      <c r="B88" s="104">
        <v>3.2</v>
      </c>
      <c r="C88" s="104">
        <v>3.2</v>
      </c>
    </row>
    <row r="89" spans="1:3">
      <c r="A89" t="s">
        <v>299</v>
      </c>
      <c r="B89" s="104">
        <v>6.5</v>
      </c>
      <c r="C89" s="104">
        <v>6.5</v>
      </c>
    </row>
    <row r="90" spans="1:3">
      <c r="A90" t="s">
        <v>300</v>
      </c>
      <c r="B90" s="104">
        <v>1.1111111111111112</v>
      </c>
      <c r="C90" s="104">
        <v>1.1111111111111112</v>
      </c>
    </row>
  </sheetData>
  <conditionalFormatting sqref="B1:C1048576 F1:H1048576 K1:M1048576 P1:R1048576 U1:W1048576 Z1:AB1048576">
    <cfRule type="cellIs" dxfId="48" priority="1" operator="equal">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49094-F956-4635-9506-6786149C0032}">
  <dimension ref="A1:CP39"/>
  <sheetViews>
    <sheetView workbookViewId="0">
      <pane xSplit="3" topLeftCell="AN1" activePane="topRight" state="frozen"/>
      <selection pane="topRight" activeCell="AX19" sqref="AX19"/>
    </sheetView>
  </sheetViews>
  <sheetFormatPr defaultRowHeight="15"/>
  <sheetData>
    <row r="1" spans="1:94">
      <c r="A1" s="57"/>
      <c r="O1" t="s">
        <v>301</v>
      </c>
      <c r="V1" t="s">
        <v>301</v>
      </c>
    </row>
    <row r="2" spans="1:94">
      <c r="B2" s="2" t="s">
        <v>111</v>
      </c>
      <c r="C2" s="7" t="s">
        <v>302</v>
      </c>
      <c r="D2" s="25" t="s">
        <v>303</v>
      </c>
      <c r="E2" s="25" t="s">
        <v>304</v>
      </c>
      <c r="F2" s="53" t="s">
        <v>305</v>
      </c>
      <c r="G2" s="53" t="s">
        <v>306</v>
      </c>
      <c r="H2" s="53" t="s">
        <v>307</v>
      </c>
      <c r="I2" s="53" t="s">
        <v>308</v>
      </c>
      <c r="J2" s="53" t="s">
        <v>309</v>
      </c>
      <c r="K2" s="53" t="s">
        <v>310</v>
      </c>
      <c r="L2" s="53" t="s">
        <v>311</v>
      </c>
      <c r="M2" s="53" t="s">
        <v>312</v>
      </c>
      <c r="N2" s="53" t="s">
        <v>313</v>
      </c>
      <c r="O2" s="53" t="s">
        <v>314</v>
      </c>
      <c r="P2" s="53" t="s">
        <v>315</v>
      </c>
      <c r="Q2" s="53" t="s">
        <v>316</v>
      </c>
      <c r="R2" s="53" t="s">
        <v>317</v>
      </c>
      <c r="S2" s="53" t="s">
        <v>318</v>
      </c>
      <c r="T2" s="53" t="s">
        <v>319</v>
      </c>
      <c r="U2" s="53" t="s">
        <v>320</v>
      </c>
      <c r="V2" s="53" t="s">
        <v>321</v>
      </c>
      <c r="W2" s="53" t="s">
        <v>322</v>
      </c>
      <c r="X2" s="26" t="s">
        <v>323</v>
      </c>
      <c r="Y2" s="26" t="s">
        <v>324</v>
      </c>
      <c r="Z2" s="26" t="s">
        <v>325</v>
      </c>
      <c r="AA2" s="26" t="s">
        <v>326</v>
      </c>
      <c r="AB2" s="26" t="s">
        <v>327</v>
      </c>
      <c r="AC2" s="26" t="s">
        <v>328</v>
      </c>
      <c r="AD2" s="26" t="s">
        <v>329</v>
      </c>
      <c r="AE2" s="26" t="s">
        <v>330</v>
      </c>
      <c r="AF2" s="26" t="s">
        <v>331</v>
      </c>
      <c r="AG2" s="26" t="s">
        <v>332</v>
      </c>
      <c r="AH2" s="26" t="s">
        <v>333</v>
      </c>
      <c r="AI2" s="20" t="s">
        <v>334</v>
      </c>
      <c r="AJ2" s="20" t="s">
        <v>335</v>
      </c>
      <c r="AK2" s="20" t="s">
        <v>336</v>
      </c>
      <c r="AL2" s="26" t="s">
        <v>337</v>
      </c>
      <c r="AM2" s="20" t="s">
        <v>338</v>
      </c>
      <c r="AN2" s="20" t="s">
        <v>339</v>
      </c>
      <c r="AO2" s="20" t="s">
        <v>340</v>
      </c>
      <c r="AP2" s="20" t="s">
        <v>341</v>
      </c>
      <c r="AQ2" s="20" t="s">
        <v>342</v>
      </c>
      <c r="AR2" s="20" t="s">
        <v>343</v>
      </c>
      <c r="AS2" s="20" t="s">
        <v>344</v>
      </c>
      <c r="AT2" s="20" t="s">
        <v>345</v>
      </c>
      <c r="AU2" s="20" t="s">
        <v>346</v>
      </c>
      <c r="AV2" s="20" t="s">
        <v>347</v>
      </c>
      <c r="AW2" s="20" t="s">
        <v>348</v>
      </c>
      <c r="AX2" s="20" t="s">
        <v>349</v>
      </c>
      <c r="AY2" s="43" t="s">
        <v>350</v>
      </c>
      <c r="AZ2" s="43" t="s">
        <v>351</v>
      </c>
      <c r="BA2" s="7" t="s">
        <v>352</v>
      </c>
      <c r="BB2" s="43" t="s">
        <v>353</v>
      </c>
      <c r="BC2" s="43" t="s">
        <v>354</v>
      </c>
      <c r="BD2" s="43" t="s">
        <v>355</v>
      </c>
      <c r="BE2" s="43" t="s">
        <v>356</v>
      </c>
      <c r="BF2" s="43" t="s">
        <v>357</v>
      </c>
      <c r="BG2" s="49" t="s">
        <v>358</v>
      </c>
      <c r="BH2" s="43" t="s">
        <v>359</v>
      </c>
      <c r="BI2" s="43" t="s">
        <v>360</v>
      </c>
      <c r="BJ2" s="7" t="s">
        <v>361</v>
      </c>
      <c r="BK2" s="7" t="s">
        <v>362</v>
      </c>
      <c r="BL2" s="43" t="s">
        <v>363</v>
      </c>
      <c r="BM2" s="43" t="s">
        <v>364</v>
      </c>
      <c r="BN2" s="7" t="s">
        <v>365</v>
      </c>
      <c r="BO2" s="43" t="s">
        <v>366</v>
      </c>
      <c r="BP2" s="45" t="s">
        <v>367</v>
      </c>
      <c r="BQ2" s="45" t="s">
        <v>368</v>
      </c>
      <c r="BR2" s="45" t="s">
        <v>369</v>
      </c>
      <c r="BS2" s="45" t="s">
        <v>370</v>
      </c>
      <c r="BT2" s="25" t="s">
        <v>371</v>
      </c>
      <c r="BU2" s="25" t="s">
        <v>372</v>
      </c>
      <c r="BV2" s="25" t="s">
        <v>373</v>
      </c>
      <c r="BW2" s="25" t="s">
        <v>374</v>
      </c>
      <c r="BX2" s="2" t="s">
        <v>181</v>
      </c>
      <c r="BY2" s="25" t="s">
        <v>375</v>
      </c>
      <c r="BZ2" s="25" t="s">
        <v>376</v>
      </c>
      <c r="CA2" s="25" t="s">
        <v>377</v>
      </c>
      <c r="CB2" s="25" t="s">
        <v>378</v>
      </c>
      <c r="CC2" s="2" t="s">
        <v>181</v>
      </c>
      <c r="CD2" s="25" t="s">
        <v>379</v>
      </c>
      <c r="CE2" s="25" t="s">
        <v>380</v>
      </c>
      <c r="CF2" s="25" t="s">
        <v>381</v>
      </c>
      <c r="CG2" s="25" t="s">
        <v>382</v>
      </c>
      <c r="CH2" s="2" t="s">
        <v>181</v>
      </c>
      <c r="CI2" s="13" t="s">
        <v>383</v>
      </c>
      <c r="CJ2" s="25" t="s">
        <v>384</v>
      </c>
      <c r="CK2" s="8" t="s">
        <v>385</v>
      </c>
      <c r="CL2" s="40" t="s">
        <v>386</v>
      </c>
      <c r="CM2" s="40" t="s">
        <v>387</v>
      </c>
      <c r="CN2" s="8" t="s">
        <v>388</v>
      </c>
      <c r="CO2" s="8" t="s">
        <v>389</v>
      </c>
      <c r="CP2" s="2" t="s">
        <v>390</v>
      </c>
    </row>
    <row r="3" spans="1:94">
      <c r="B3" s="29">
        <v>28</v>
      </c>
      <c r="C3" s="30" t="s">
        <v>78</v>
      </c>
      <c r="D3" s="128" t="s">
        <v>374</v>
      </c>
      <c r="E3" s="128" t="s">
        <v>373</v>
      </c>
      <c r="F3" s="59">
        <v>5</v>
      </c>
      <c r="G3" s="59">
        <f>17/F3</f>
        <v>3.4</v>
      </c>
      <c r="H3" s="59">
        <v>1600</v>
      </c>
      <c r="I3" s="59">
        <f>(2.5-((O3*2.5)/2))</f>
        <v>1.5</v>
      </c>
      <c r="J3" s="59">
        <v>3</v>
      </c>
      <c r="K3" s="59">
        <v>3</v>
      </c>
      <c r="L3" s="59">
        <v>2.5</v>
      </c>
      <c r="M3" s="59">
        <v>1.5</v>
      </c>
      <c r="N3" s="59">
        <v>1</v>
      </c>
      <c r="O3" s="59">
        <f>2.4 / 3</f>
        <v>0.79999999999999993</v>
      </c>
      <c r="P3" s="59">
        <f>1-(1*(V3/2))</f>
        <v>0.95</v>
      </c>
      <c r="Q3" s="59">
        <v>3600</v>
      </c>
      <c r="R3" s="59">
        <v>2700</v>
      </c>
      <c r="S3" s="59">
        <v>1800</v>
      </c>
      <c r="T3" s="59">
        <v>1800</v>
      </c>
      <c r="U3" s="60">
        <v>3600</v>
      </c>
      <c r="V3" s="60">
        <v>0.1</v>
      </c>
      <c r="W3" s="60">
        <v>0</v>
      </c>
      <c r="X3" s="32">
        <f>5000/1400</f>
        <v>3.5714285714285716</v>
      </c>
      <c r="Y3" s="32">
        <v>10</v>
      </c>
      <c r="Z3" s="32">
        <f>(5 + 2 + 3)/3</f>
        <v>3.3333333333333335</v>
      </c>
      <c r="AA3" s="32">
        <v>2</v>
      </c>
      <c r="AB3" s="32">
        <v>1</v>
      </c>
      <c r="AC3" s="32">
        <v>0</v>
      </c>
      <c r="AD3" s="32">
        <v>1</v>
      </c>
      <c r="AE3" s="32">
        <v>0</v>
      </c>
      <c r="AF3" s="32">
        <v>6</v>
      </c>
      <c r="AG3" s="32">
        <v>1</v>
      </c>
      <c r="AH3" s="32">
        <v>1</v>
      </c>
      <c r="AI3" s="61">
        <v>0</v>
      </c>
      <c r="AJ3" s="61">
        <v>5</v>
      </c>
      <c r="AK3" s="61">
        <v>0</v>
      </c>
      <c r="AL3" s="62">
        <f>(BK3/5+1)*AK3</f>
        <v>0</v>
      </c>
      <c r="AM3" s="61">
        <v>0</v>
      </c>
      <c r="AN3" s="61">
        <v>0</v>
      </c>
      <c r="AO3" s="61">
        <v>0</v>
      </c>
      <c r="AP3" s="61">
        <v>0</v>
      </c>
      <c r="AQ3" s="61">
        <v>0</v>
      </c>
      <c r="AR3" s="61">
        <v>0</v>
      </c>
      <c r="AS3" s="61">
        <v>0</v>
      </c>
      <c r="AT3" s="61">
        <v>0</v>
      </c>
      <c r="AU3" s="61">
        <v>0</v>
      </c>
      <c r="AV3" s="61">
        <v>0</v>
      </c>
      <c r="AW3" s="61">
        <v>0</v>
      </c>
      <c r="AX3" s="61" t="s">
        <v>390</v>
      </c>
      <c r="AY3" s="63">
        <v>0</v>
      </c>
      <c r="AZ3" s="63">
        <v>0</v>
      </c>
      <c r="BA3" s="64">
        <v>0</v>
      </c>
      <c r="BB3" s="63">
        <v>0</v>
      </c>
      <c r="BC3" s="63">
        <v>0</v>
      </c>
      <c r="BD3" s="63">
        <v>0</v>
      </c>
      <c r="BE3" s="63">
        <v>0</v>
      </c>
      <c r="BF3" s="63">
        <v>0</v>
      </c>
      <c r="BG3" s="65">
        <v>0</v>
      </c>
      <c r="BH3" s="63">
        <v>0</v>
      </c>
      <c r="BI3" s="64">
        <v>1</v>
      </c>
      <c r="BJ3" s="64">
        <v>0</v>
      </c>
      <c r="BK3" s="64">
        <v>0</v>
      </c>
      <c r="BL3" s="63">
        <v>0</v>
      </c>
      <c r="BM3" s="63">
        <v>1</v>
      </c>
      <c r="BN3" s="64">
        <v>3</v>
      </c>
      <c r="BO3" s="63">
        <v>0</v>
      </c>
      <c r="BP3" s="66">
        <f>(((J3*I3*H3)+Q3+(W3/4))/1500)+((AQ3*(AR3/3))/5)</f>
        <v>7.2</v>
      </c>
      <c r="BQ3" s="58">
        <f>(((J3*I3*H3)+R3+(W3/4))/1500)+((AQ3*(AR3/5))/5)</f>
        <v>6.6</v>
      </c>
      <c r="BR3" s="58">
        <f>((((J3*(Y3/7))*I3*H3)+S3+(W3/4))/1500)+((AQ3*(AR3/7))/5)</f>
        <v>8.0571428571428569</v>
      </c>
      <c r="BS3" s="58">
        <f>((((J3*(Y3/9))*I3*H3)+T3+(W3/4))/1200)+((AQ3*(AR3/9))/5)</f>
        <v>8.1666666666666661</v>
      </c>
      <c r="BT3" s="58">
        <f>(((K3*I3*H3)+(((I3*K3+P3)/F3)*Q3))/(1.25-((K3-J3)/4))+(W3/4))/1300</f>
        <v>6.845538461538462</v>
      </c>
      <c r="BU3" s="58">
        <f>(((L3*I3*H3)+(((I3*L3+P3)/F3)*(R3)))/(1.25-((L3-J3)/4))+(W3/4))/800</f>
        <v>7.7618181818181817</v>
      </c>
      <c r="BV3" s="58">
        <f>(((M3*I3*H3)+(((I3*M3+P3)/F3)*(S3)))/(1.25-((M3-J3)/4))+(W3/4))/400</f>
        <v>7.3107692307692309</v>
      </c>
      <c r="BW3" s="58">
        <f>(((N3*I3*H3)+(((I3*N3+P3)/F3)*(T3)))/(1.25-((N3-J3)/4))+(W3/4))/250</f>
        <v>7.5017142857142849</v>
      </c>
      <c r="BX3" s="67"/>
      <c r="BY3" s="58">
        <f>((BT3/2)*X3)/2.5</f>
        <v>4.8896703296703299</v>
      </c>
      <c r="BZ3" s="58">
        <f>((BU3)*(X3/2))/3.5</f>
        <v>3.9601113172541744</v>
      </c>
      <c r="CA3" s="58">
        <f>((BV3*1.5)*(X3/3))/3</f>
        <v>4.3516483516483513</v>
      </c>
      <c r="CB3" s="58">
        <f>((BW3*2)*(X3/4))/5</f>
        <v>2.6791836734693879</v>
      </c>
      <c r="CC3" s="67"/>
      <c r="CD3" s="58">
        <f>(AL3*BY3)/3</f>
        <v>0</v>
      </c>
      <c r="CE3" s="58">
        <f>(AL3*BZ3)/2.7</f>
        <v>0</v>
      </c>
      <c r="CF3" s="58">
        <f>(AL3*CA3)/2.5</f>
        <v>0</v>
      </c>
      <c r="CG3" s="58">
        <f>(AL3*CB3)/1.9</f>
        <v>0</v>
      </c>
      <c r="CH3" s="67"/>
      <c r="CI3" s="68">
        <f t="shared" ref="CI3:CI19" si="0">SUM(AL3*4, AJ3*2, X3*2, BD3*2)/6</f>
        <v>2.8571428571428572</v>
      </c>
      <c r="CJ3" s="69">
        <f>SUM(AVERAGE(AA3, (AVERAGE(BY3, BZ3))/1.5)*4, X3*4, Y3*2, CI3*2)/9</f>
        <v>5.5444282701425562</v>
      </c>
      <c r="CK3" s="70">
        <f>SUM(AC3*5, (AVERAGE(BY3, BZ3, CA3, CB3)/2)*2, BD3*2)/6</f>
        <v>0.66169223633509355</v>
      </c>
      <c r="CL3" s="71">
        <f t="shared" ref="CL3:CL16" si="1">IF(AB3&lt;6, (AB3/2)*U3/2000, IF(AB3&lt;7, (AB3/2)*(AVERAGE(BT3, BU3, BV3, BW3)/2.5), (AB3/2)*(AVERAGE(BT3, BU3, BV3, BW3)/2.5)+(U3/2000)))</f>
        <v>0.9</v>
      </c>
      <c r="CM3" s="72">
        <f>SUM(AM3*4, AP3*2/(AO3+1), AN3*4)/7.5</f>
        <v>0</v>
      </c>
      <c r="CN3" s="68">
        <f>SUM(AP3*3, AQ3*2, AR3*2, AS3*2, AM3*3)/8</f>
        <v>0</v>
      </c>
      <c r="CO3" s="68">
        <f>(SUM(AA3*2, BK3*1, AU3*3)/4.5)*1.5</f>
        <v>1.3333333333333333</v>
      </c>
      <c r="CP3" s="67"/>
    </row>
    <row r="4" spans="1:94">
      <c r="B4" s="29">
        <v>44</v>
      </c>
      <c r="C4" s="30" t="s">
        <v>10</v>
      </c>
      <c r="D4" s="128" t="s">
        <v>381</v>
      </c>
      <c r="E4" s="128" t="s">
        <v>380</v>
      </c>
      <c r="F4" s="59">
        <v>3</v>
      </c>
      <c r="G4" s="59">
        <f>9/F4</f>
        <v>3</v>
      </c>
      <c r="H4" s="59">
        <v>4000</v>
      </c>
      <c r="I4" s="59">
        <f>1.2</f>
        <v>1.2</v>
      </c>
      <c r="J4" s="59">
        <v>1</v>
      </c>
      <c r="K4" s="59">
        <v>1</v>
      </c>
      <c r="L4" s="59">
        <v>0.7</v>
      </c>
      <c r="M4" s="59">
        <v>0.5</v>
      </c>
      <c r="N4" s="59">
        <v>0.4</v>
      </c>
      <c r="O4" s="59">
        <f>12 / 3</f>
        <v>4</v>
      </c>
      <c r="P4" s="59">
        <f>0-(0*(V4/2))</f>
        <v>0</v>
      </c>
      <c r="Q4" s="59">
        <v>2000</v>
      </c>
      <c r="R4" s="59">
        <v>2000</v>
      </c>
      <c r="S4" s="59">
        <v>2000</v>
      </c>
      <c r="T4" s="59">
        <v>2000</v>
      </c>
      <c r="U4" s="60">
        <v>2000</v>
      </c>
      <c r="V4" s="60">
        <v>0.1</v>
      </c>
      <c r="W4" s="60">
        <v>0</v>
      </c>
      <c r="X4" s="32">
        <f>6200/1400</f>
        <v>4.4285714285714288</v>
      </c>
      <c r="Y4" s="32">
        <v>9</v>
      </c>
      <c r="Z4" s="32">
        <v>0</v>
      </c>
      <c r="AA4" s="32">
        <v>0</v>
      </c>
      <c r="AB4" s="32">
        <v>0</v>
      </c>
      <c r="AC4" s="32">
        <f>(3 + 2 + 8 + 0)/4</f>
        <v>3.25</v>
      </c>
      <c r="AD4" s="32">
        <v>0</v>
      </c>
      <c r="AE4" s="32">
        <v>1</v>
      </c>
      <c r="AF4" s="32">
        <v>7</v>
      </c>
      <c r="AG4" s="32">
        <v>0</v>
      </c>
      <c r="AH4" s="32">
        <v>0</v>
      </c>
      <c r="AI4" s="61">
        <v>0</v>
      </c>
      <c r="AJ4" s="61">
        <v>9</v>
      </c>
      <c r="AK4" s="61">
        <v>0</v>
      </c>
      <c r="AL4" s="62">
        <f>(BK4/5+1)*AK4</f>
        <v>0</v>
      </c>
      <c r="AM4" s="61">
        <v>0</v>
      </c>
      <c r="AN4" s="61">
        <v>0</v>
      </c>
      <c r="AO4" s="61">
        <v>0</v>
      </c>
      <c r="AP4" s="61">
        <v>0</v>
      </c>
      <c r="AQ4" s="61">
        <v>0</v>
      </c>
      <c r="AR4" s="61">
        <v>0</v>
      </c>
      <c r="AS4" s="61">
        <v>0</v>
      </c>
      <c r="AT4" s="61">
        <v>0</v>
      </c>
      <c r="AU4" s="61">
        <v>0</v>
      </c>
      <c r="AV4" s="61">
        <v>0</v>
      </c>
      <c r="AW4" s="61">
        <v>2.5</v>
      </c>
      <c r="AX4" s="61" t="s">
        <v>391</v>
      </c>
      <c r="AY4" s="63">
        <v>0</v>
      </c>
      <c r="AZ4" s="63">
        <v>0</v>
      </c>
      <c r="BA4" s="64">
        <v>0</v>
      </c>
      <c r="BB4" s="63">
        <v>0</v>
      </c>
      <c r="BC4" s="63">
        <v>0</v>
      </c>
      <c r="BD4" s="63">
        <v>0</v>
      </c>
      <c r="BE4" s="63">
        <v>0</v>
      </c>
      <c r="BF4" s="63">
        <v>0</v>
      </c>
      <c r="BG4" s="65">
        <v>4</v>
      </c>
      <c r="BH4" s="63">
        <v>0</v>
      </c>
      <c r="BI4" s="64">
        <v>0</v>
      </c>
      <c r="BJ4" s="64">
        <v>0</v>
      </c>
      <c r="BK4" s="64">
        <v>0</v>
      </c>
      <c r="BL4" s="63">
        <v>0</v>
      </c>
      <c r="BM4" s="63">
        <v>0</v>
      </c>
      <c r="BN4" s="64">
        <v>5</v>
      </c>
      <c r="BO4" s="63">
        <v>0</v>
      </c>
      <c r="BP4" s="66">
        <f t="shared" ref="BP3:BP14" si="2">(((J4*I4*H4)+Q4+(W4/4))/1500)+((AQ4*(AR4/3))/5)</f>
        <v>4.5333333333333332</v>
      </c>
      <c r="BQ4" s="58">
        <f t="shared" ref="BQ4:BQ14" si="3">(((J4*I4*H4)+R4+(W4/4))/1500)+((AQ4*(AR4/5))/5)</f>
        <v>4.5333333333333332</v>
      </c>
      <c r="BR4" s="58">
        <f t="shared" ref="BR4:BR14" si="4">((((J4*(Y4/7))*I4*H4)+S4+(W4/4))/1500)+((AQ4*(AR4/7))/5)</f>
        <v>5.4476190476190478</v>
      </c>
      <c r="BS4" s="58">
        <f t="shared" ref="BS4:BS14" si="5">((((J4*(Y4/9))*I4*H4)+T4+(W4/4))/1200)+((AQ4*(AR4/9))/5)</f>
        <v>5.666666666666667</v>
      </c>
      <c r="BT4" s="58">
        <f t="shared" ref="BT4:BT20" si="6">(((K4*I4*H4)+(((I4*K4+P4)/F4)*Q4))/(1.25-((K4-J4)/4))+(W4/4))/1300</f>
        <v>3.4461538461538463</v>
      </c>
      <c r="BU4" s="58">
        <f t="shared" ref="BU4:BU20" si="7">(((L4*I4*H4)+(((I4*L4+P4)/F4)*(R4)))/(1.25-((L4-J4)/4))+(W4/4))/800</f>
        <v>3.6981132075471699</v>
      </c>
      <c r="BV4" s="58">
        <f t="shared" ref="BV4:BV20" si="8">(((M4*I4*H4)+(((I4*M4+P4)/F4)*(S4)))/(1.25-((M4-J4)/4))+(W4/4))/400</f>
        <v>5.0909090909090908</v>
      </c>
      <c r="BW4" s="58">
        <f t="shared" ref="BW4:BW20" si="9">(((N4*I4*H4)+(((I4*N4+P4)/F4)*(T4)))/(1.25-((N4-J4)/4))+(W4/4))/250</f>
        <v>6.4</v>
      </c>
      <c r="BX4" s="67"/>
      <c r="BY4" s="58">
        <f t="shared" ref="BY4:BY20" si="10">((BT4/2)*X4)/2.5</f>
        <v>3.0523076923076924</v>
      </c>
      <c r="BZ4" s="58">
        <f t="shared" ref="BZ4:BZ20" si="11">((BU4)*(X4/2))/3.5</f>
        <v>2.3396226415094339</v>
      </c>
      <c r="CA4" s="58">
        <f t="shared" ref="CA4:CA20" si="12">((BV4*1.5)*(X4/3))/3</f>
        <v>3.7575757575757578</v>
      </c>
      <c r="CB4" s="58">
        <f t="shared" ref="CB4:CB20" si="13">((BW4*2)*(X4/4))/5</f>
        <v>2.8342857142857145</v>
      </c>
      <c r="CC4" s="67"/>
      <c r="CD4" s="58">
        <f t="shared" ref="CD4:CD20" si="14">(AL4*BY4)/3</f>
        <v>0</v>
      </c>
      <c r="CE4" s="58">
        <f t="shared" ref="CE4:CE20" si="15">(AL4*BZ4)/2.7</f>
        <v>0</v>
      </c>
      <c r="CF4" s="58">
        <f t="shared" ref="CF4:CF20" si="16">(AL4*CA4)/2.5</f>
        <v>0</v>
      </c>
      <c r="CG4" s="58">
        <f t="shared" ref="CG4:CG20" si="17">(AL4*CB4)/1.9</f>
        <v>0</v>
      </c>
      <c r="CH4" s="67"/>
      <c r="CI4" s="68">
        <f t="shared" si="0"/>
        <v>4.4761904761904763</v>
      </c>
      <c r="CJ4" s="69">
        <f t="shared" ref="CJ4:CJ20" si="18">SUM(AVERAGE(AA4, (AVERAGE(BY4, BZ4))/1.5)*4, X4*4, Y4*2, CI4*2)/9</f>
        <v>5.3623652099123795</v>
      </c>
      <c r="CK4" s="70">
        <f t="shared" ref="CK4:CK20" si="19">SUM(AC4*5, (AVERAGE(BY4, BZ4, CA4, CB4)/2)*2, BD4*2)/6</f>
        <v>3.2076579919032748</v>
      </c>
      <c r="CL4" s="71">
        <f t="shared" si="1"/>
        <v>0</v>
      </c>
      <c r="CM4" s="72">
        <f>SUM(AM4*4, AP4*2/(AO4+1), AN4*4)/7.5</f>
        <v>0</v>
      </c>
      <c r="CN4" s="68">
        <f>SUM(AP4*3, AQ4*2, AR4*2, AS4*2, AM4*3)/8</f>
        <v>0</v>
      </c>
      <c r="CO4" s="68">
        <f t="shared" ref="CO4:CO20" si="20">(SUM(AA4*2, BK4*1, AU4*3)/4.5)*1.5</f>
        <v>0</v>
      </c>
      <c r="CP4" s="67"/>
    </row>
    <row r="5" spans="1:94">
      <c r="B5" s="29">
        <v>14</v>
      </c>
      <c r="C5" s="37" t="s">
        <v>88</v>
      </c>
      <c r="D5" s="129" t="s">
        <v>332</v>
      </c>
      <c r="E5" s="129" t="s">
        <v>383</v>
      </c>
      <c r="F5" s="59">
        <v>16</v>
      </c>
      <c r="G5" s="59">
        <f>36/F5</f>
        <v>2.25</v>
      </c>
      <c r="H5" s="59">
        <v>600</v>
      </c>
      <c r="I5" s="59">
        <f>(3.3-((O5*3.3)/2))</f>
        <v>1.8699999999999999</v>
      </c>
      <c r="J5" s="59">
        <v>5</v>
      </c>
      <c r="K5" s="59">
        <v>5</v>
      </c>
      <c r="L5" s="59">
        <v>4</v>
      </c>
      <c r="M5" s="59">
        <v>2</v>
      </c>
      <c r="N5" s="59">
        <v>0.8</v>
      </c>
      <c r="O5" s="59">
        <f>2.6 / 3</f>
        <v>0.8666666666666667</v>
      </c>
      <c r="P5" s="59">
        <f>16-(16*(V5/2))</f>
        <v>8</v>
      </c>
      <c r="Q5" s="59">
        <v>4320</v>
      </c>
      <c r="R5" s="59">
        <v>6480</v>
      </c>
      <c r="S5" s="59">
        <v>4320</v>
      </c>
      <c r="T5" s="59">
        <v>2160</v>
      </c>
      <c r="U5" s="59">
        <v>8640</v>
      </c>
      <c r="V5" s="59">
        <v>1</v>
      </c>
      <c r="W5" s="59">
        <v>0</v>
      </c>
      <c r="X5" s="32">
        <f>6000/1400</f>
        <v>4.2857142857142856</v>
      </c>
      <c r="Y5" s="32">
        <v>8</v>
      </c>
      <c r="Z5" s="32">
        <v>0</v>
      </c>
      <c r="AA5" s="32">
        <v>3</v>
      </c>
      <c r="AB5" s="32">
        <v>0</v>
      </c>
      <c r="AC5" s="32">
        <v>0</v>
      </c>
      <c r="AD5" s="32">
        <v>0</v>
      </c>
      <c r="AE5" s="32">
        <v>0</v>
      </c>
      <c r="AF5" s="32">
        <v>6</v>
      </c>
      <c r="AG5" s="32">
        <v>0</v>
      </c>
      <c r="AH5" s="32">
        <v>0</v>
      </c>
      <c r="AI5" s="61">
        <v>0</v>
      </c>
      <c r="AJ5" s="73">
        <v>5</v>
      </c>
      <c r="AK5" s="73">
        <v>0</v>
      </c>
      <c r="AL5" s="62">
        <f>(BK5/5+1)*AK5</f>
        <v>0</v>
      </c>
      <c r="AM5" s="73">
        <v>0</v>
      </c>
      <c r="AN5" s="73">
        <v>0</v>
      </c>
      <c r="AO5" s="73">
        <v>0</v>
      </c>
      <c r="AP5" s="73">
        <v>0</v>
      </c>
      <c r="AQ5" s="73">
        <v>0</v>
      </c>
      <c r="AR5" s="73">
        <v>0</v>
      </c>
      <c r="AS5" s="73">
        <v>0</v>
      </c>
      <c r="AT5" s="73">
        <v>0</v>
      </c>
      <c r="AU5" s="73">
        <v>3</v>
      </c>
      <c r="AV5" s="73">
        <v>0</v>
      </c>
      <c r="AW5" s="73">
        <v>0</v>
      </c>
      <c r="AX5" s="61" t="s">
        <v>390</v>
      </c>
      <c r="AY5" s="63">
        <v>0</v>
      </c>
      <c r="AZ5" s="63">
        <v>0</v>
      </c>
      <c r="BA5" s="64">
        <v>0</v>
      </c>
      <c r="BB5" s="63">
        <v>0</v>
      </c>
      <c r="BC5" s="63">
        <v>0</v>
      </c>
      <c r="BD5" s="63">
        <v>0</v>
      </c>
      <c r="BE5" s="63">
        <v>0</v>
      </c>
      <c r="BF5" s="63">
        <v>0</v>
      </c>
      <c r="BG5" s="65">
        <v>0</v>
      </c>
      <c r="BH5" s="63">
        <v>0</v>
      </c>
      <c r="BI5" s="74">
        <v>0</v>
      </c>
      <c r="BJ5" s="64">
        <v>0</v>
      </c>
      <c r="BK5" s="74">
        <v>0</v>
      </c>
      <c r="BL5" s="63">
        <v>0</v>
      </c>
      <c r="BM5" s="63">
        <v>0</v>
      </c>
      <c r="BN5" s="64">
        <v>6</v>
      </c>
      <c r="BO5" s="63">
        <v>0</v>
      </c>
      <c r="BP5" s="66">
        <f>(((J5*I5*H5)+Q5+(W5/4))/1500)+((AQ5*(AR5/3))/5)</f>
        <v>6.62</v>
      </c>
      <c r="BQ5" s="58">
        <f>(((J5*I5*H5)+R5+(W5/4))/1500)+((AQ5*(AR5/5))/5)</f>
        <v>8.06</v>
      </c>
      <c r="BR5" s="58">
        <f t="shared" si="4"/>
        <v>7.1542857142857121</v>
      </c>
      <c r="BS5" s="58">
        <f t="shared" si="5"/>
        <v>5.9555555555555557</v>
      </c>
      <c r="BT5" s="58">
        <f t="shared" si="6"/>
        <v>6.3350769230769233</v>
      </c>
      <c r="BU5" s="58">
        <f>(((L5*I5*H5)+(((I5*L5+P5)/F5)*(R5)))/(1.25-((L5-J5)/4))+(W5/4))/800</f>
        <v>8.964500000000001</v>
      </c>
      <c r="BV5" s="58">
        <f t="shared" si="8"/>
        <v>6.7672500000000007</v>
      </c>
      <c r="BW5" s="58">
        <f t="shared" si="9"/>
        <v>3.7905391304347829</v>
      </c>
      <c r="BX5" s="67"/>
      <c r="BY5" s="58">
        <f t="shared" si="10"/>
        <v>5.4300659340659347</v>
      </c>
      <c r="BZ5" s="58">
        <f t="shared" si="11"/>
        <v>5.488469387755103</v>
      </c>
      <c r="CA5" s="58">
        <f t="shared" si="12"/>
        <v>4.8337500000000011</v>
      </c>
      <c r="CB5" s="58">
        <f t="shared" si="13"/>
        <v>1.6245167701863354</v>
      </c>
      <c r="CC5" s="67"/>
      <c r="CD5" s="58">
        <f t="shared" si="14"/>
        <v>0</v>
      </c>
      <c r="CE5" s="58">
        <f t="shared" si="15"/>
        <v>0</v>
      </c>
      <c r="CF5" s="58">
        <f t="shared" si="16"/>
        <v>0</v>
      </c>
      <c r="CG5" s="58">
        <f t="shared" si="17"/>
        <v>0</v>
      </c>
      <c r="CH5" s="67"/>
      <c r="CI5" s="68">
        <f t="shared" si="0"/>
        <v>3.0952380952380949</v>
      </c>
      <c r="CJ5" s="69">
        <f t="shared" si="18"/>
        <v>5.8458174312460027</v>
      </c>
      <c r="CK5" s="70">
        <f t="shared" si="19"/>
        <v>0.72403342050030728</v>
      </c>
      <c r="CL5" s="71">
        <f t="shared" si="1"/>
        <v>0</v>
      </c>
      <c r="CM5" s="72">
        <f>SUM(AM5*4, AP5*2/(AO5+1), AN5*4)/7.5</f>
        <v>0</v>
      </c>
      <c r="CN5" s="68">
        <f>SUM(AP5*3, AQ5*2, AR5*2, AS5*2, AM5*3)/8</f>
        <v>0</v>
      </c>
      <c r="CO5" s="68">
        <f>(SUM(AA5*2, BK5*1, AU5*3)/4.5)*1.5</f>
        <v>5</v>
      </c>
      <c r="CP5" s="67"/>
    </row>
    <row r="6" spans="1:94">
      <c r="B6" s="29">
        <v>86</v>
      </c>
      <c r="C6" s="30" t="s">
        <v>96</v>
      </c>
      <c r="D6" s="128" t="s">
        <v>386</v>
      </c>
      <c r="E6" s="128" t="s">
        <v>378</v>
      </c>
      <c r="F6" s="59">
        <v>8</v>
      </c>
      <c r="G6" s="59">
        <f>26/F6</f>
        <v>3.25</v>
      </c>
      <c r="H6" s="59">
        <v>980</v>
      </c>
      <c r="I6" s="59">
        <f>(2.15-((O6*2.15)/2))</f>
        <v>1.5408333333333333</v>
      </c>
      <c r="J6" s="59">
        <v>3</v>
      </c>
      <c r="K6" s="59">
        <v>4</v>
      </c>
      <c r="L6" s="59">
        <v>2</v>
      </c>
      <c r="M6" s="59">
        <v>1.5</v>
      </c>
      <c r="N6" s="59">
        <v>0.5</v>
      </c>
      <c r="O6" s="59">
        <f>1.7 / 3</f>
        <v>0.56666666666666665</v>
      </c>
      <c r="P6" s="59">
        <f>2.5-(2.5*(V6/2))</f>
        <v>2.125</v>
      </c>
      <c r="Q6" s="59">
        <v>4000</v>
      </c>
      <c r="R6" s="59">
        <v>3200</v>
      </c>
      <c r="S6" s="59">
        <v>1600</v>
      </c>
      <c r="T6" s="59">
        <v>800</v>
      </c>
      <c r="U6" s="60">
        <v>4000</v>
      </c>
      <c r="V6" s="60">
        <v>0.3</v>
      </c>
      <c r="W6" s="60">
        <v>0</v>
      </c>
      <c r="X6" s="32">
        <f>6000/1400</f>
        <v>4.2857142857142856</v>
      </c>
      <c r="Y6" s="32">
        <v>7</v>
      </c>
      <c r="Z6" s="32">
        <v>0</v>
      </c>
      <c r="AA6" s="32">
        <v>4</v>
      </c>
      <c r="AB6" s="32">
        <v>3</v>
      </c>
      <c r="AC6" s="32">
        <f>(9 + 4 + 5 + 7)/4</f>
        <v>6.25</v>
      </c>
      <c r="AD6" s="32">
        <v>0</v>
      </c>
      <c r="AE6" s="32">
        <v>0</v>
      </c>
      <c r="AF6" s="32">
        <v>6</v>
      </c>
      <c r="AG6" s="32">
        <v>0</v>
      </c>
      <c r="AH6" s="32">
        <v>0</v>
      </c>
      <c r="AI6" s="61">
        <v>0</v>
      </c>
      <c r="AJ6" s="61">
        <v>5</v>
      </c>
      <c r="AK6" s="61">
        <v>0</v>
      </c>
      <c r="AL6" s="62">
        <f>(BK6/5+1)*AK6</f>
        <v>0</v>
      </c>
      <c r="AM6" s="61">
        <v>0</v>
      </c>
      <c r="AN6" s="61">
        <v>0</v>
      </c>
      <c r="AO6" s="61">
        <v>0</v>
      </c>
      <c r="AP6" s="61">
        <v>0</v>
      </c>
      <c r="AQ6" s="61">
        <v>0</v>
      </c>
      <c r="AR6" s="61">
        <v>0</v>
      </c>
      <c r="AS6" s="61">
        <v>0</v>
      </c>
      <c r="AT6" s="61">
        <v>0</v>
      </c>
      <c r="AU6" s="61">
        <v>4</v>
      </c>
      <c r="AV6" s="61">
        <v>0</v>
      </c>
      <c r="AW6" s="61">
        <v>0</v>
      </c>
      <c r="AX6" s="61" t="s">
        <v>390</v>
      </c>
      <c r="AY6" s="63">
        <v>0</v>
      </c>
      <c r="AZ6" s="63">
        <v>0</v>
      </c>
      <c r="BA6" s="64">
        <v>0</v>
      </c>
      <c r="BB6" s="63">
        <v>0</v>
      </c>
      <c r="BC6" s="63">
        <v>0</v>
      </c>
      <c r="BD6" s="63">
        <v>0</v>
      </c>
      <c r="BE6" s="63">
        <v>0</v>
      </c>
      <c r="BF6" s="63">
        <v>0</v>
      </c>
      <c r="BG6" s="65">
        <v>0</v>
      </c>
      <c r="BH6" s="63">
        <v>0</v>
      </c>
      <c r="BI6" s="64">
        <v>0</v>
      </c>
      <c r="BJ6" s="63">
        <v>0</v>
      </c>
      <c r="BK6" s="63">
        <f>(5 + 5 + 10)/3</f>
        <v>6.666666666666667</v>
      </c>
      <c r="BL6" s="63">
        <v>0</v>
      </c>
      <c r="BM6" s="63">
        <v>0</v>
      </c>
      <c r="BN6" s="64">
        <v>7</v>
      </c>
      <c r="BO6" s="63">
        <v>0</v>
      </c>
      <c r="BP6" s="66">
        <f t="shared" si="2"/>
        <v>5.6866999999999992</v>
      </c>
      <c r="BQ6" s="58">
        <f t="shared" si="3"/>
        <v>5.153366666666666</v>
      </c>
      <c r="BR6" s="58">
        <f t="shared" si="4"/>
        <v>4.0866999999999996</v>
      </c>
      <c r="BS6" s="58">
        <f t="shared" si="5"/>
        <v>3.6028101851851853</v>
      </c>
      <c r="BT6" s="58">
        <f t="shared" si="6"/>
        <v>7.834025641025641</v>
      </c>
      <c r="BU6" s="58">
        <f t="shared" si="7"/>
        <v>4.252250000000001</v>
      </c>
      <c r="BV6" s="58">
        <f t="shared" si="8"/>
        <v>4.8496538461538456</v>
      </c>
      <c r="BW6" s="58">
        <f t="shared" si="9"/>
        <v>2.2283733333333333</v>
      </c>
      <c r="BX6" s="67"/>
      <c r="BY6" s="58">
        <f t="shared" si="10"/>
        <v>6.7148791208791208</v>
      </c>
      <c r="BZ6" s="58">
        <f t="shared" si="11"/>
        <v>2.6034183673469395</v>
      </c>
      <c r="CA6" s="58">
        <f t="shared" si="12"/>
        <v>3.4640384615384612</v>
      </c>
      <c r="CB6" s="58">
        <f t="shared" si="13"/>
        <v>0.95501714285714279</v>
      </c>
      <c r="CC6" s="67"/>
      <c r="CD6" s="58">
        <f t="shared" si="14"/>
        <v>0</v>
      </c>
      <c r="CE6" s="58">
        <f t="shared" si="15"/>
        <v>0</v>
      </c>
      <c r="CF6" s="58">
        <f t="shared" si="16"/>
        <v>0</v>
      </c>
      <c r="CG6" s="58">
        <f t="shared" si="17"/>
        <v>0</v>
      </c>
      <c r="CH6" s="67"/>
      <c r="CI6" s="68">
        <f t="shared" si="0"/>
        <v>3.0952380952380949</v>
      </c>
      <c r="CJ6" s="69">
        <f t="shared" si="18"/>
        <v>5.7272812954241523</v>
      </c>
      <c r="CK6" s="70">
        <f t="shared" si="19"/>
        <v>5.7807230455259031</v>
      </c>
      <c r="CL6" s="71">
        <f t="shared" si="1"/>
        <v>3</v>
      </c>
      <c r="CM6" s="72">
        <f>SUM(AM6*4, AP6*2/(AO6+1), AN6*4)/7.5</f>
        <v>0</v>
      </c>
      <c r="CN6" s="68">
        <f>SUM(AP6*3, AQ6*2, AR6*2, AS6*2, AM6*3)/8</f>
        <v>0</v>
      </c>
      <c r="CO6" s="68">
        <f t="shared" si="20"/>
        <v>8.8888888888888893</v>
      </c>
      <c r="CP6" s="67"/>
    </row>
    <row r="7" spans="1:94">
      <c r="B7" s="29">
        <v>88</v>
      </c>
      <c r="C7" s="30" t="s">
        <v>62</v>
      </c>
      <c r="D7" s="128" t="s">
        <v>375</v>
      </c>
      <c r="E7" s="128" t="s">
        <v>358</v>
      </c>
      <c r="F7" s="59">
        <v>9</v>
      </c>
      <c r="G7" s="59">
        <f>31/F7</f>
        <v>3.4444444444444446</v>
      </c>
      <c r="H7" s="59">
        <v>960</v>
      </c>
      <c r="I7" s="59">
        <f>(2.5-((O7*2.5)/2))</f>
        <v>1.6666666666666667</v>
      </c>
      <c r="J7" s="59">
        <v>4</v>
      </c>
      <c r="K7" s="59">
        <v>4</v>
      </c>
      <c r="L7" s="59">
        <v>2.5</v>
      </c>
      <c r="M7" s="59">
        <v>1.2</v>
      </c>
      <c r="N7" s="59">
        <v>0.5</v>
      </c>
      <c r="O7" s="59">
        <f>2 / 3</f>
        <v>0.66666666666666663</v>
      </c>
      <c r="P7" s="59">
        <f>0-(0*(V7/2))</f>
        <v>0</v>
      </c>
      <c r="Q7" s="59">
        <v>0</v>
      </c>
      <c r="R7" s="59">
        <v>0</v>
      </c>
      <c r="S7" s="59">
        <v>0</v>
      </c>
      <c r="T7" s="59">
        <v>0</v>
      </c>
      <c r="U7" s="60">
        <v>0</v>
      </c>
      <c r="V7" s="60">
        <v>0.1</v>
      </c>
      <c r="W7" s="60">
        <v>0</v>
      </c>
      <c r="X7" s="32">
        <f>6600/1400</f>
        <v>4.7142857142857144</v>
      </c>
      <c r="Y7" s="32">
        <v>7</v>
      </c>
      <c r="Z7" s="32">
        <f>(5 + 8 + 5)/3</f>
        <v>6</v>
      </c>
      <c r="AA7" s="32">
        <v>3</v>
      </c>
      <c r="AB7" s="32">
        <v>0</v>
      </c>
      <c r="AC7" s="32">
        <v>0</v>
      </c>
      <c r="AD7" s="32">
        <v>0</v>
      </c>
      <c r="AE7" s="32">
        <v>0</v>
      </c>
      <c r="AF7" s="32">
        <v>6</v>
      </c>
      <c r="AG7" s="32">
        <v>0</v>
      </c>
      <c r="AH7" s="32">
        <v>0</v>
      </c>
      <c r="AI7" s="61">
        <v>0</v>
      </c>
      <c r="AJ7" s="61">
        <v>9</v>
      </c>
      <c r="AK7" s="61">
        <v>7</v>
      </c>
      <c r="AL7" s="62">
        <f>(BK7/5+1)*AK7</f>
        <v>7</v>
      </c>
      <c r="AM7" s="61">
        <v>0</v>
      </c>
      <c r="AN7" s="61">
        <v>0</v>
      </c>
      <c r="AO7" s="61">
        <v>0</v>
      </c>
      <c r="AP7" s="61">
        <v>0</v>
      </c>
      <c r="AQ7" s="61">
        <v>0</v>
      </c>
      <c r="AR7" s="61">
        <v>0</v>
      </c>
      <c r="AS7" s="61">
        <v>0</v>
      </c>
      <c r="AT7" s="61">
        <v>0</v>
      </c>
      <c r="AU7" s="61">
        <v>0</v>
      </c>
      <c r="AV7" s="61">
        <v>0</v>
      </c>
      <c r="AW7" s="61">
        <v>0</v>
      </c>
      <c r="AX7" s="61" t="s">
        <v>390</v>
      </c>
      <c r="AY7" s="63">
        <v>0</v>
      </c>
      <c r="AZ7" s="63">
        <v>0</v>
      </c>
      <c r="BA7" s="64">
        <v>0</v>
      </c>
      <c r="BB7" s="63">
        <v>0</v>
      </c>
      <c r="BC7" s="63">
        <v>0</v>
      </c>
      <c r="BD7" s="63">
        <v>0</v>
      </c>
      <c r="BE7" s="63">
        <v>0</v>
      </c>
      <c r="BF7" s="63">
        <v>0</v>
      </c>
      <c r="BG7" s="65">
        <v>0</v>
      </c>
      <c r="BH7" s="63">
        <v>0</v>
      </c>
      <c r="BI7" s="64">
        <v>0</v>
      </c>
      <c r="BJ7" s="64">
        <v>0</v>
      </c>
      <c r="BK7" s="64">
        <v>0</v>
      </c>
      <c r="BL7" s="63">
        <v>0</v>
      </c>
      <c r="BM7" s="63">
        <v>0</v>
      </c>
      <c r="BN7" s="64">
        <v>6</v>
      </c>
      <c r="BO7" s="63">
        <v>0</v>
      </c>
      <c r="BP7" s="66">
        <f t="shared" si="2"/>
        <v>4.2666666666666666</v>
      </c>
      <c r="BQ7" s="58">
        <f t="shared" si="3"/>
        <v>4.2666666666666666</v>
      </c>
      <c r="BR7" s="58">
        <f t="shared" si="4"/>
        <v>4.2666666666666666</v>
      </c>
      <c r="BS7" s="58">
        <f t="shared" si="5"/>
        <v>4.1481481481481479</v>
      </c>
      <c r="BT7" s="58">
        <f t="shared" si="6"/>
        <v>3.9384615384615387</v>
      </c>
      <c r="BU7" s="58">
        <f t="shared" si="7"/>
        <v>3.0769230769230775</v>
      </c>
      <c r="BV7" s="58">
        <f t="shared" si="8"/>
        <v>2.4615384615384617</v>
      </c>
      <c r="BW7" s="58">
        <f t="shared" si="9"/>
        <v>1.5058823529411767</v>
      </c>
      <c r="BX7" s="67"/>
      <c r="BY7" s="58">
        <f t="shared" si="10"/>
        <v>3.7134065934065936</v>
      </c>
      <c r="BZ7" s="58">
        <f t="shared" si="11"/>
        <v>2.0722135007849301</v>
      </c>
      <c r="CA7" s="58">
        <f t="shared" si="12"/>
        <v>1.9340659340659341</v>
      </c>
      <c r="CB7" s="58">
        <f t="shared" si="13"/>
        <v>0.70991596638655474</v>
      </c>
      <c r="CC7" s="67"/>
      <c r="CD7" s="58">
        <f t="shared" si="14"/>
        <v>8.6646153846153862</v>
      </c>
      <c r="CE7" s="58">
        <f t="shared" si="15"/>
        <v>5.3724053724053737</v>
      </c>
      <c r="CF7" s="58">
        <f t="shared" si="16"/>
        <v>5.4153846153846157</v>
      </c>
      <c r="CG7" s="58">
        <f t="shared" si="17"/>
        <v>2.6154798761609914</v>
      </c>
      <c r="CH7" s="67"/>
      <c r="CI7" s="68">
        <f t="shared" si="0"/>
        <v>9.238095238095239</v>
      </c>
      <c r="CJ7" s="69">
        <f t="shared" si="18"/>
        <v>6.7989348217919643</v>
      </c>
      <c r="CK7" s="70">
        <f t="shared" si="19"/>
        <v>0.35123341644350053</v>
      </c>
      <c r="CL7" s="71">
        <f t="shared" si="1"/>
        <v>0</v>
      </c>
      <c r="CM7" s="72">
        <f>SUM(AM7*4, AP7*2/(AO7+1), AN7*4)/7.5</f>
        <v>0</v>
      </c>
      <c r="CN7" s="68">
        <f>SUM(AP7*3, AQ7*2, AR7*2, AS7*2, AM7*3)/8</f>
        <v>0</v>
      </c>
      <c r="CO7" s="68">
        <f t="shared" si="20"/>
        <v>2</v>
      </c>
      <c r="CP7" s="67"/>
    </row>
    <row r="8" spans="1:94">
      <c r="B8" s="29">
        <v>33</v>
      </c>
      <c r="C8" s="30" t="s">
        <v>44</v>
      </c>
      <c r="D8" s="128" t="s">
        <v>373</v>
      </c>
      <c r="E8" s="128" t="s">
        <v>386</v>
      </c>
      <c r="F8" s="59">
        <v>15</v>
      </c>
      <c r="G8" s="59">
        <f>60/F8</f>
        <v>4</v>
      </c>
      <c r="H8" s="59">
        <v>600</v>
      </c>
      <c r="I8" s="59">
        <f>(3.3-((O8*3.3)/2))</f>
        <v>2.42</v>
      </c>
      <c r="J8" s="59">
        <v>4</v>
      </c>
      <c r="K8" s="59">
        <v>4</v>
      </c>
      <c r="L8" s="59">
        <v>4</v>
      </c>
      <c r="M8" s="59">
        <v>2</v>
      </c>
      <c r="N8" s="59">
        <v>0</v>
      </c>
      <c r="O8" s="59">
        <f>1.6 / 3</f>
        <v>0.53333333333333333</v>
      </c>
      <c r="P8" s="59">
        <f>3-(3*(V8/2))</f>
        <v>2.7</v>
      </c>
      <c r="Q8" s="59">
        <v>1200</v>
      </c>
      <c r="R8" s="59">
        <v>1200</v>
      </c>
      <c r="S8" s="59">
        <v>1200</v>
      </c>
      <c r="T8" s="59">
        <v>1200</v>
      </c>
      <c r="U8" s="59">
        <v>1200</v>
      </c>
      <c r="V8" s="59">
        <v>0.2</v>
      </c>
      <c r="W8" s="59">
        <v>0</v>
      </c>
      <c r="X8" s="32">
        <f>8000/1400</f>
        <v>5.7142857142857144</v>
      </c>
      <c r="Y8" s="32">
        <v>7</v>
      </c>
      <c r="Z8" s="32">
        <f>(5 + 7 + 4)/3</f>
        <v>5.333333333333333</v>
      </c>
      <c r="AA8" s="32">
        <f>(4 + 6)/2</f>
        <v>5</v>
      </c>
      <c r="AB8" s="32">
        <v>3</v>
      </c>
      <c r="AC8" s="32">
        <v>0</v>
      </c>
      <c r="AD8" s="32">
        <v>10</v>
      </c>
      <c r="AE8" s="32">
        <v>0</v>
      </c>
      <c r="AF8" s="32">
        <v>6</v>
      </c>
      <c r="AG8" s="32">
        <v>0</v>
      </c>
      <c r="AH8" s="32">
        <v>0</v>
      </c>
      <c r="AI8" s="61">
        <v>0</v>
      </c>
      <c r="AJ8" s="61">
        <v>5</v>
      </c>
      <c r="AK8" s="61">
        <v>0</v>
      </c>
      <c r="AL8" s="62">
        <f>(BK8/5+1)*AK8</f>
        <v>0</v>
      </c>
      <c r="AM8" s="61">
        <v>0</v>
      </c>
      <c r="AN8" s="61">
        <v>0</v>
      </c>
      <c r="AO8" s="61">
        <v>0</v>
      </c>
      <c r="AP8" s="61">
        <v>0</v>
      </c>
      <c r="AQ8" s="61">
        <v>0</v>
      </c>
      <c r="AR8" s="61">
        <v>0</v>
      </c>
      <c r="AS8" s="61">
        <v>0</v>
      </c>
      <c r="AT8" s="61">
        <v>0</v>
      </c>
      <c r="AU8" s="61">
        <v>1</v>
      </c>
      <c r="AV8" s="61">
        <v>0</v>
      </c>
      <c r="AW8" s="61">
        <v>0</v>
      </c>
      <c r="AX8" s="61" t="s">
        <v>390</v>
      </c>
      <c r="AY8" s="63">
        <v>0</v>
      </c>
      <c r="AZ8" s="63">
        <v>0</v>
      </c>
      <c r="BA8" s="64">
        <v>0</v>
      </c>
      <c r="BB8" s="63">
        <v>0</v>
      </c>
      <c r="BC8" s="63">
        <v>0</v>
      </c>
      <c r="BD8" s="63">
        <v>0</v>
      </c>
      <c r="BE8" s="63">
        <v>0</v>
      </c>
      <c r="BF8" s="63">
        <v>0</v>
      </c>
      <c r="BG8" s="65">
        <v>0</v>
      </c>
      <c r="BH8" s="63">
        <v>0</v>
      </c>
      <c r="BI8" s="64">
        <v>1</v>
      </c>
      <c r="BJ8" s="64">
        <v>0</v>
      </c>
      <c r="BK8" s="64">
        <v>0</v>
      </c>
      <c r="BL8" s="63">
        <v>0</v>
      </c>
      <c r="BM8" s="63">
        <v>10</v>
      </c>
      <c r="BN8" s="64">
        <v>7</v>
      </c>
      <c r="BO8" s="63">
        <v>0</v>
      </c>
      <c r="BP8" s="66">
        <f t="shared" si="2"/>
        <v>4.6719999999999997</v>
      </c>
      <c r="BQ8" s="58">
        <f t="shared" si="3"/>
        <v>4.6719999999999997</v>
      </c>
      <c r="BR8" s="58">
        <f t="shared" si="4"/>
        <v>4.6719999999999997</v>
      </c>
      <c r="BS8" s="58">
        <f t="shared" si="5"/>
        <v>4.764444444444444</v>
      </c>
      <c r="BT8" s="58">
        <f t="shared" si="6"/>
        <v>4.1836307692307688</v>
      </c>
      <c r="BU8" s="58">
        <f t="shared" si="7"/>
        <v>6.7983999999999991</v>
      </c>
      <c r="BV8" s="58">
        <f t="shared" si="8"/>
        <v>5.0102857142857138</v>
      </c>
      <c r="BW8" s="58">
        <f t="shared" si="9"/>
        <v>0.38400000000000006</v>
      </c>
      <c r="BX8" s="67"/>
      <c r="BY8" s="58">
        <f t="shared" si="10"/>
        <v>4.7812923076923068</v>
      </c>
      <c r="BZ8" s="58">
        <f t="shared" si="11"/>
        <v>5.5497142857142858</v>
      </c>
      <c r="CA8" s="58">
        <f t="shared" si="12"/>
        <v>4.7717006802721089</v>
      </c>
      <c r="CB8" s="58">
        <f t="shared" si="13"/>
        <v>0.21942857142857147</v>
      </c>
      <c r="CC8" s="67"/>
      <c r="CD8" s="58">
        <f t="shared" si="14"/>
        <v>0</v>
      </c>
      <c r="CE8" s="58">
        <f t="shared" si="15"/>
        <v>0</v>
      </c>
      <c r="CF8" s="58">
        <f t="shared" si="16"/>
        <v>0</v>
      </c>
      <c r="CG8" s="58">
        <f t="shared" si="17"/>
        <v>0</v>
      </c>
      <c r="CH8" s="67"/>
      <c r="CI8" s="68">
        <f t="shared" si="0"/>
        <v>3.5714285714285716</v>
      </c>
      <c r="CJ8" s="69">
        <f t="shared" si="18"/>
        <v>6.7652597476597478</v>
      </c>
      <c r="CK8" s="70">
        <f t="shared" si="19"/>
        <v>0.63842232687946965</v>
      </c>
      <c r="CL8" s="71">
        <f t="shared" si="1"/>
        <v>0.9</v>
      </c>
      <c r="CM8" s="72">
        <f>SUM(AM8*4, AP8*2/(AO8+1), AN8*4)/7.5</f>
        <v>0</v>
      </c>
      <c r="CN8" s="68">
        <f>SUM(AP8*3, AQ8*2, AR8*2, AS8*2, AM8*3)/8</f>
        <v>0</v>
      </c>
      <c r="CO8" s="68">
        <f t="shared" si="20"/>
        <v>4.333333333333333</v>
      </c>
      <c r="CP8" s="67"/>
    </row>
    <row r="9" spans="1:94">
      <c r="B9" s="29">
        <v>1</v>
      </c>
      <c r="C9" s="37" t="s">
        <v>95</v>
      </c>
      <c r="D9" s="129" t="s">
        <v>332</v>
      </c>
      <c r="E9" s="129" t="s">
        <v>374</v>
      </c>
      <c r="F9" s="59">
        <v>10</v>
      </c>
      <c r="G9" s="59">
        <f>34/F9</f>
        <v>3.4</v>
      </c>
      <c r="H9" s="59">
        <v>600</v>
      </c>
      <c r="I9" s="59">
        <f>(2.5-((O9*2.5)/2))</f>
        <v>1.8333333333333335</v>
      </c>
      <c r="J9" s="59">
        <v>5</v>
      </c>
      <c r="K9" s="59">
        <v>5</v>
      </c>
      <c r="L9" s="59">
        <v>3</v>
      </c>
      <c r="M9" s="59">
        <v>1.5</v>
      </c>
      <c r="N9" s="59">
        <v>0</v>
      </c>
      <c r="O9" s="59">
        <f>1.6 / 3</f>
        <v>0.53333333333333333</v>
      </c>
      <c r="P9" s="59">
        <f>2-(2*(V9/2))</f>
        <v>1.8</v>
      </c>
      <c r="Q9" s="59">
        <v>5760</v>
      </c>
      <c r="R9" s="59">
        <v>3200</v>
      </c>
      <c r="S9" s="59">
        <v>1920</v>
      </c>
      <c r="T9" s="59">
        <v>0</v>
      </c>
      <c r="U9" s="59">
        <v>5760</v>
      </c>
      <c r="V9" s="59">
        <v>0.2</v>
      </c>
      <c r="W9" s="59">
        <v>0</v>
      </c>
      <c r="X9" s="32">
        <f>7800/1400</f>
        <v>5.5714285714285712</v>
      </c>
      <c r="Y9" s="32">
        <v>6</v>
      </c>
      <c r="Z9" s="32">
        <f>(6 + 5 + 3)/3</f>
        <v>4.666666666666667</v>
      </c>
      <c r="AA9" s="32">
        <v>4</v>
      </c>
      <c r="AB9" s="32">
        <v>0</v>
      </c>
      <c r="AC9" s="32">
        <v>0</v>
      </c>
      <c r="AD9" s="32">
        <v>3</v>
      </c>
      <c r="AE9" s="32">
        <v>0</v>
      </c>
      <c r="AF9" s="32">
        <v>5</v>
      </c>
      <c r="AG9" s="32">
        <v>5</v>
      </c>
      <c r="AH9" s="32">
        <v>5</v>
      </c>
      <c r="AI9" s="61">
        <v>0</v>
      </c>
      <c r="AJ9" s="73">
        <v>7</v>
      </c>
      <c r="AK9" s="73">
        <v>0</v>
      </c>
      <c r="AL9" s="62">
        <f>(BK9/5+1)*AK9</f>
        <v>0</v>
      </c>
      <c r="AM9" s="73">
        <v>0</v>
      </c>
      <c r="AN9" s="73">
        <v>0</v>
      </c>
      <c r="AO9" s="73">
        <v>0</v>
      </c>
      <c r="AP9" s="73">
        <v>0</v>
      </c>
      <c r="AQ9" s="73">
        <v>0</v>
      </c>
      <c r="AR9" s="73">
        <v>0</v>
      </c>
      <c r="AS9" s="73">
        <v>0</v>
      </c>
      <c r="AT9" s="73">
        <v>0</v>
      </c>
      <c r="AU9" s="73">
        <v>2</v>
      </c>
      <c r="AV9" s="73">
        <v>0</v>
      </c>
      <c r="AW9" s="73">
        <v>0</v>
      </c>
      <c r="AX9" s="61" t="s">
        <v>390</v>
      </c>
      <c r="AY9" s="63">
        <v>0</v>
      </c>
      <c r="AZ9" s="63">
        <v>0</v>
      </c>
      <c r="BA9" s="64">
        <v>0</v>
      </c>
      <c r="BB9" s="63">
        <v>0</v>
      </c>
      <c r="BC9" s="63">
        <v>0</v>
      </c>
      <c r="BD9" s="63">
        <v>0</v>
      </c>
      <c r="BE9" s="63">
        <v>0</v>
      </c>
      <c r="BF9" s="63">
        <v>0</v>
      </c>
      <c r="BG9" s="65">
        <v>0</v>
      </c>
      <c r="BH9" s="63">
        <v>0</v>
      </c>
      <c r="BI9" s="74">
        <v>2</v>
      </c>
      <c r="BJ9" s="64">
        <v>0</v>
      </c>
      <c r="BK9" s="74">
        <v>0</v>
      </c>
      <c r="BL9" s="63">
        <v>0</v>
      </c>
      <c r="BM9" s="63">
        <v>3</v>
      </c>
      <c r="BN9" s="64">
        <v>7</v>
      </c>
      <c r="BO9" s="63">
        <v>0</v>
      </c>
      <c r="BP9" s="66">
        <f t="shared" si="2"/>
        <v>7.5066666666666668</v>
      </c>
      <c r="BQ9" s="58">
        <f t="shared" si="3"/>
        <v>5.8</v>
      </c>
      <c r="BR9" s="58">
        <f t="shared" si="4"/>
        <v>4.4228571428571435</v>
      </c>
      <c r="BS9" s="58">
        <f t="shared" si="5"/>
        <v>3.0555555555555554</v>
      </c>
      <c r="BT9" s="58">
        <f t="shared" si="6"/>
        <v>7.2718769230769249</v>
      </c>
      <c r="BU9" s="58">
        <f t="shared" si="7"/>
        <v>4.0257142857142858</v>
      </c>
      <c r="BV9" s="58">
        <f t="shared" si="8"/>
        <v>2.968941176470588</v>
      </c>
      <c r="BW9" s="58">
        <f t="shared" si="9"/>
        <v>0</v>
      </c>
      <c r="BX9" s="67"/>
      <c r="BY9" s="58">
        <f t="shared" si="10"/>
        <v>8.1029485714285734</v>
      </c>
      <c r="BZ9" s="58">
        <f t="shared" si="11"/>
        <v>3.2041399416909617</v>
      </c>
      <c r="CA9" s="58">
        <f t="shared" si="12"/>
        <v>2.7568739495798309</v>
      </c>
      <c r="CB9" s="58">
        <f t="shared" si="13"/>
        <v>0</v>
      </c>
      <c r="CC9" s="67"/>
      <c r="CD9" s="58">
        <f t="shared" si="14"/>
        <v>0</v>
      </c>
      <c r="CE9" s="58">
        <f t="shared" si="15"/>
        <v>0</v>
      </c>
      <c r="CF9" s="58">
        <f t="shared" si="16"/>
        <v>0</v>
      </c>
      <c r="CG9" s="58">
        <f t="shared" si="17"/>
        <v>0</v>
      </c>
      <c r="CH9" s="67"/>
      <c r="CI9" s="68">
        <f t="shared" si="0"/>
        <v>4.1904761904761907</v>
      </c>
      <c r="CJ9" s="69">
        <f t="shared" si="18"/>
        <v>6.4671917417125577</v>
      </c>
      <c r="CK9" s="70">
        <f t="shared" si="19"/>
        <v>0.58599843594580692</v>
      </c>
      <c r="CL9" s="71">
        <f t="shared" si="1"/>
        <v>0</v>
      </c>
      <c r="CM9" s="72">
        <f>SUM(AM9*4, AP9*2/(AO9+1), AN9*4)/7.5</f>
        <v>0</v>
      </c>
      <c r="CN9" s="68">
        <f>SUM(AP9*3, AQ9*2, AR9*2, AS9*2, AM9*3)/8</f>
        <v>0</v>
      </c>
      <c r="CO9" s="68">
        <f t="shared" si="20"/>
        <v>4.666666666666667</v>
      </c>
      <c r="CP9" s="67"/>
    </row>
    <row r="10" spans="1:94">
      <c r="B10" s="29">
        <v>8</v>
      </c>
      <c r="C10" s="37" t="s">
        <v>87</v>
      </c>
      <c r="D10" s="129" t="s">
        <v>351</v>
      </c>
      <c r="E10" s="129" t="s">
        <v>384</v>
      </c>
      <c r="F10" s="59">
        <v>4</v>
      </c>
      <c r="G10" s="59">
        <f>10/F10</f>
        <v>2.5</v>
      </c>
      <c r="H10" s="59">
        <v>1520</v>
      </c>
      <c r="I10" s="59">
        <f>(2.5-((O10*2.5)/2))</f>
        <v>1.8333333333333335</v>
      </c>
      <c r="J10" s="59">
        <v>1</v>
      </c>
      <c r="K10" s="59">
        <v>1</v>
      </c>
      <c r="L10" s="59">
        <v>1</v>
      </c>
      <c r="M10" s="59">
        <v>0.5</v>
      </c>
      <c r="N10" s="59">
        <v>0</v>
      </c>
      <c r="O10" s="59">
        <f>1.6 / 3</f>
        <v>0.53333333333333333</v>
      </c>
      <c r="P10" s="59">
        <f>0-(0*(V10/2))</f>
        <v>0</v>
      </c>
      <c r="Q10" s="59">
        <v>0</v>
      </c>
      <c r="R10" s="59">
        <v>0</v>
      </c>
      <c r="S10" s="59">
        <v>0</v>
      </c>
      <c r="T10" s="59">
        <v>0</v>
      </c>
      <c r="U10" s="59">
        <v>0</v>
      </c>
      <c r="V10" s="59">
        <v>0.2</v>
      </c>
      <c r="W10" s="59">
        <v>0</v>
      </c>
      <c r="X10" s="32">
        <f>8000/1400+(AY10/3.5)</f>
        <v>8</v>
      </c>
      <c r="Y10" s="32">
        <v>6</v>
      </c>
      <c r="Z10" s="32">
        <v>0</v>
      </c>
      <c r="AA10" s="32">
        <v>7</v>
      </c>
      <c r="AB10" s="32">
        <v>0</v>
      </c>
      <c r="AC10" s="32">
        <v>0</v>
      </c>
      <c r="AD10" s="32">
        <v>0</v>
      </c>
      <c r="AE10" s="32">
        <v>0</v>
      </c>
      <c r="AF10" s="32">
        <v>6</v>
      </c>
      <c r="AG10" s="32">
        <v>0</v>
      </c>
      <c r="AH10" s="32">
        <v>0</v>
      </c>
      <c r="AI10" s="61">
        <v>0</v>
      </c>
      <c r="AJ10" s="73">
        <v>5</v>
      </c>
      <c r="AK10" s="73">
        <v>0</v>
      </c>
      <c r="AL10" s="62">
        <f>(BK10/5+1)*AK10</f>
        <v>0</v>
      </c>
      <c r="AM10" s="73">
        <v>0</v>
      </c>
      <c r="AN10" s="73">
        <v>0</v>
      </c>
      <c r="AO10" s="73">
        <v>0</v>
      </c>
      <c r="AP10" s="73">
        <v>0</v>
      </c>
      <c r="AQ10" s="73">
        <v>0</v>
      </c>
      <c r="AR10" s="73">
        <v>0</v>
      </c>
      <c r="AS10" s="73">
        <v>0</v>
      </c>
      <c r="AT10" s="73">
        <v>0</v>
      </c>
      <c r="AU10" s="73">
        <v>0</v>
      </c>
      <c r="AV10" s="73">
        <v>0</v>
      </c>
      <c r="AW10" s="73">
        <v>0</v>
      </c>
      <c r="AX10" s="61" t="s">
        <v>390</v>
      </c>
      <c r="AY10" s="63">
        <f>(6 + 9 + 9)/3</f>
        <v>8</v>
      </c>
      <c r="AZ10" s="63">
        <v>0</v>
      </c>
      <c r="BA10" s="64">
        <v>0</v>
      </c>
      <c r="BB10" s="63">
        <v>0</v>
      </c>
      <c r="BC10" s="63">
        <v>0</v>
      </c>
      <c r="BD10" s="63">
        <v>0</v>
      </c>
      <c r="BE10" s="63">
        <v>0</v>
      </c>
      <c r="BF10" s="63">
        <v>0</v>
      </c>
      <c r="BG10" s="65">
        <v>0</v>
      </c>
      <c r="BH10" s="63">
        <v>0</v>
      </c>
      <c r="BI10" s="74">
        <v>0</v>
      </c>
      <c r="BJ10" s="64">
        <v>0</v>
      </c>
      <c r="BK10" s="74">
        <v>0</v>
      </c>
      <c r="BL10" s="63">
        <v>0</v>
      </c>
      <c r="BM10" s="63">
        <v>0</v>
      </c>
      <c r="BN10" s="64">
        <v>7</v>
      </c>
      <c r="BO10" s="63">
        <v>0</v>
      </c>
      <c r="BP10" s="66">
        <f t="shared" si="2"/>
        <v>1.857777777777778</v>
      </c>
      <c r="BQ10" s="58">
        <f t="shared" si="3"/>
        <v>1.857777777777778</v>
      </c>
      <c r="BR10" s="58">
        <f t="shared" si="4"/>
        <v>1.5923809523809522</v>
      </c>
      <c r="BS10" s="58">
        <f t="shared" si="5"/>
        <v>1.5481481481481483</v>
      </c>
      <c r="BT10" s="58">
        <f t="shared" si="6"/>
        <v>1.7148717948717951</v>
      </c>
      <c r="BU10" s="58">
        <f t="shared" si="7"/>
        <v>2.7866666666666671</v>
      </c>
      <c r="BV10" s="58">
        <f>(((M10*I10*H10)+(((I10*M10+P10)/F10)*(S10)))/(1.25-((M10-J10)/4))+(W10/4))/400</f>
        <v>2.5333333333333337</v>
      </c>
      <c r="BW10" s="58">
        <f t="shared" si="9"/>
        <v>0</v>
      </c>
      <c r="BX10" s="67"/>
      <c r="BY10" s="58">
        <f t="shared" si="10"/>
        <v>2.7437948717948721</v>
      </c>
      <c r="BZ10" s="58">
        <f t="shared" si="11"/>
        <v>3.1847619047619053</v>
      </c>
      <c r="CA10" s="58">
        <f t="shared" si="12"/>
        <v>3.3777777777777782</v>
      </c>
      <c r="CB10" s="58">
        <f t="shared" si="13"/>
        <v>0</v>
      </c>
      <c r="CC10" s="67"/>
      <c r="CD10" s="58">
        <f t="shared" si="14"/>
        <v>0</v>
      </c>
      <c r="CE10" s="58">
        <f t="shared" si="15"/>
        <v>0</v>
      </c>
      <c r="CF10" s="58">
        <f t="shared" si="16"/>
        <v>0</v>
      </c>
      <c r="CG10" s="58">
        <f t="shared" si="17"/>
        <v>0</v>
      </c>
      <c r="CH10" s="67"/>
      <c r="CI10" s="68">
        <f t="shared" si="0"/>
        <v>4.333333333333333</v>
      </c>
      <c r="CJ10" s="69">
        <f t="shared" si="18"/>
        <v>7.8465597612264286</v>
      </c>
      <c r="CK10" s="70">
        <f t="shared" si="19"/>
        <v>0.3877639397639398</v>
      </c>
      <c r="CL10" s="71">
        <f t="shared" si="1"/>
        <v>0</v>
      </c>
      <c r="CM10" s="72">
        <f>SUM(AM10*4, AP10*2/(AO10+1), AN10*4)/7.5</f>
        <v>0</v>
      </c>
      <c r="CN10" s="68">
        <f>SUM(AP10*3, AQ10*2, AR10*2, AS10*2, AM10*3)/8</f>
        <v>0</v>
      </c>
      <c r="CO10" s="68">
        <f t="shared" si="20"/>
        <v>4.666666666666667</v>
      </c>
      <c r="CP10" s="67"/>
    </row>
    <row r="11" spans="1:94">
      <c r="B11" s="29">
        <v>45</v>
      </c>
      <c r="C11" s="30" t="s">
        <v>15</v>
      </c>
      <c r="D11" s="129" t="s">
        <v>351</v>
      </c>
      <c r="E11" s="129" t="s">
        <v>380</v>
      </c>
      <c r="F11" s="59">
        <v>9</v>
      </c>
      <c r="G11" s="59">
        <f>21/F11</f>
        <v>2.3333333333333335</v>
      </c>
      <c r="H11" s="59">
        <v>1320</v>
      </c>
      <c r="I11" s="59">
        <f>(1.65-((O11*1.65)/2))</f>
        <v>1.2649999999999999</v>
      </c>
      <c r="J11" s="59">
        <v>6</v>
      </c>
      <c r="K11" s="59">
        <v>2</v>
      </c>
      <c r="L11" s="59">
        <v>1.5</v>
      </c>
      <c r="M11" s="59">
        <v>0.8</v>
      </c>
      <c r="N11" s="59">
        <v>0</v>
      </c>
      <c r="O11" s="59">
        <f>1.4 / 3</f>
        <v>0.46666666666666662</v>
      </c>
      <c r="P11" s="59">
        <f>2.5-(2.5*(V11/2))</f>
        <v>2.375</v>
      </c>
      <c r="Q11" s="59">
        <v>4360</v>
      </c>
      <c r="R11" s="59">
        <v>4360</v>
      </c>
      <c r="S11" s="59">
        <v>2180</v>
      </c>
      <c r="T11" s="59">
        <v>0</v>
      </c>
      <c r="U11" s="59">
        <v>4360</v>
      </c>
      <c r="V11" s="59">
        <v>0.1</v>
      </c>
      <c r="W11" s="59">
        <v>0</v>
      </c>
      <c r="X11" s="32">
        <f>5200/1400+(AY11/3.5)</f>
        <v>5.7142857142857144</v>
      </c>
      <c r="Y11" s="32">
        <v>5</v>
      </c>
      <c r="Z11" s="32">
        <f>(6 + 7 + 6)/3</f>
        <v>6.333333333333333</v>
      </c>
      <c r="AA11" s="32">
        <v>1</v>
      </c>
      <c r="AB11" s="32">
        <v>6</v>
      </c>
      <c r="AC11" s="32">
        <f>(6 + 1 + 6 + 5)/4</f>
        <v>4.5</v>
      </c>
      <c r="AD11" s="32">
        <v>0</v>
      </c>
      <c r="AE11" s="32">
        <v>0</v>
      </c>
      <c r="AF11" s="32">
        <v>6</v>
      </c>
      <c r="AG11" s="32">
        <v>0</v>
      </c>
      <c r="AH11" s="32">
        <v>0</v>
      </c>
      <c r="AI11" s="61">
        <v>0</v>
      </c>
      <c r="AJ11" s="61">
        <v>5</v>
      </c>
      <c r="AK11" s="61">
        <v>5</v>
      </c>
      <c r="AL11" s="62">
        <f>(BK11/5+1)*AK11</f>
        <v>5</v>
      </c>
      <c r="AM11" s="61">
        <v>0</v>
      </c>
      <c r="AN11" s="61">
        <v>0</v>
      </c>
      <c r="AO11" s="61">
        <v>0</v>
      </c>
      <c r="AP11" s="61">
        <v>0</v>
      </c>
      <c r="AQ11" s="61">
        <v>0</v>
      </c>
      <c r="AR11" s="61">
        <v>0</v>
      </c>
      <c r="AS11" s="61">
        <v>0</v>
      </c>
      <c r="AT11" s="61">
        <v>0</v>
      </c>
      <c r="AU11" s="61">
        <v>1</v>
      </c>
      <c r="AV11" s="61">
        <v>0</v>
      </c>
      <c r="AW11" s="61">
        <v>0</v>
      </c>
      <c r="AX11" s="61" t="s">
        <v>390</v>
      </c>
      <c r="AY11" s="63">
        <f>(10 + 8 + 3)/3</f>
        <v>7</v>
      </c>
      <c r="AZ11" s="63">
        <v>0</v>
      </c>
      <c r="BA11" s="64">
        <v>0</v>
      </c>
      <c r="BB11" s="63">
        <v>0</v>
      </c>
      <c r="BC11" s="63">
        <v>0</v>
      </c>
      <c r="BD11" s="63">
        <v>0</v>
      </c>
      <c r="BE11" s="63">
        <v>0</v>
      </c>
      <c r="BF11" s="63">
        <v>0</v>
      </c>
      <c r="BG11" s="65">
        <v>0</v>
      </c>
      <c r="BH11" s="63">
        <v>0</v>
      </c>
      <c r="BI11" s="64">
        <v>0</v>
      </c>
      <c r="BJ11" s="64">
        <v>0</v>
      </c>
      <c r="BK11" s="64">
        <v>0</v>
      </c>
      <c r="BL11" s="63">
        <v>0</v>
      </c>
      <c r="BM11" s="63">
        <v>0</v>
      </c>
      <c r="BN11" s="64">
        <v>7</v>
      </c>
      <c r="BO11" s="63">
        <v>0</v>
      </c>
      <c r="BP11" s="66">
        <f t="shared" si="2"/>
        <v>9.5858666666666661</v>
      </c>
      <c r="BQ11" s="58">
        <f t="shared" si="3"/>
        <v>9.5858666666666661</v>
      </c>
      <c r="BR11" s="58">
        <f t="shared" si="4"/>
        <v>6.2241904761904756</v>
      </c>
      <c r="BS11" s="58">
        <f t="shared" si="5"/>
        <v>4.6383333333333336</v>
      </c>
      <c r="BT11" s="58">
        <f t="shared" si="6"/>
        <v>1.954119658119658</v>
      </c>
      <c r="BU11" s="58">
        <f t="shared" si="7"/>
        <v>2.4076257309941522</v>
      </c>
      <c r="BV11" s="58">
        <f t="shared" si="8"/>
        <v>2.1139673202614384</v>
      </c>
      <c r="BW11" s="58">
        <f t="shared" si="9"/>
        <v>0</v>
      </c>
      <c r="BX11" s="67"/>
      <c r="BY11" s="58">
        <f t="shared" si="10"/>
        <v>2.233279609279609</v>
      </c>
      <c r="BZ11" s="58">
        <f t="shared" si="11"/>
        <v>1.9654087599952264</v>
      </c>
      <c r="CA11" s="58">
        <f t="shared" si="12"/>
        <v>2.0133022097727986</v>
      </c>
      <c r="CB11" s="58">
        <f t="shared" si="13"/>
        <v>0</v>
      </c>
      <c r="CC11" s="67"/>
      <c r="CD11" s="58">
        <f t="shared" si="14"/>
        <v>3.7221326821326817</v>
      </c>
      <c r="CE11" s="58">
        <f t="shared" si="15"/>
        <v>3.6396458518430115</v>
      </c>
      <c r="CF11" s="58">
        <f t="shared" si="16"/>
        <v>4.0266044195455972</v>
      </c>
      <c r="CG11" s="58">
        <f t="shared" si="17"/>
        <v>0</v>
      </c>
      <c r="CH11" s="67"/>
      <c r="CI11" s="68">
        <f t="shared" si="0"/>
        <v>6.9047619047619051</v>
      </c>
      <c r="CJ11" s="69">
        <f t="shared" si="18"/>
        <v>5.7184213606870253</v>
      </c>
      <c r="CK11" s="70">
        <f t="shared" si="19"/>
        <v>4.0088329407936518</v>
      </c>
      <c r="CL11" s="71">
        <f t="shared" si="1"/>
        <v>1.9427138128125745</v>
      </c>
      <c r="CM11" s="72">
        <f>SUM(AM11*4, AP11*2/(AO11+1), AN11*4)/7.5</f>
        <v>0</v>
      </c>
      <c r="CN11" s="68">
        <f>SUM(AP11*3, AQ11*2, AR11*2, AS11*2, AM11*3)/8</f>
        <v>0</v>
      </c>
      <c r="CO11" s="68">
        <f t="shared" si="20"/>
        <v>1.6666666666666667</v>
      </c>
      <c r="CP11" s="67"/>
    </row>
    <row r="12" spans="1:94">
      <c r="B12" s="29">
        <v>25</v>
      </c>
      <c r="C12" s="37" t="s">
        <v>43</v>
      </c>
      <c r="D12" s="129" t="s">
        <v>373</v>
      </c>
      <c r="E12" s="129" t="s">
        <v>364</v>
      </c>
      <c r="F12" s="59">
        <v>3</v>
      </c>
      <c r="G12" s="59">
        <f>10/F12</f>
        <v>3.3333333333333335</v>
      </c>
      <c r="H12" s="59">
        <v>2320</v>
      </c>
      <c r="I12" s="59">
        <f>(3.3-((O12*3.3)/2))</f>
        <v>2.0074999999999998</v>
      </c>
      <c r="J12" s="59">
        <v>1</v>
      </c>
      <c r="K12" s="59">
        <v>1</v>
      </c>
      <c r="L12" s="59">
        <v>1</v>
      </c>
      <c r="M12" s="59">
        <v>0</v>
      </c>
      <c r="N12" s="59">
        <v>0</v>
      </c>
      <c r="O12" s="59">
        <f>AVERAGE(3, 1.7) / 3</f>
        <v>0.78333333333333333</v>
      </c>
      <c r="P12" s="59">
        <f>1-(1*(V12/2))</f>
        <v>0.25</v>
      </c>
      <c r="Q12" s="59">
        <v>2480</v>
      </c>
      <c r="R12" s="59">
        <v>2480</v>
      </c>
      <c r="S12" s="59">
        <v>1240</v>
      </c>
      <c r="T12" s="59">
        <v>0</v>
      </c>
      <c r="U12" s="59">
        <v>2480</v>
      </c>
      <c r="V12" s="59">
        <v>1.5</v>
      </c>
      <c r="W12" s="59">
        <v>0</v>
      </c>
      <c r="X12" s="32">
        <f>13600/1400</f>
        <v>9.7142857142857135</v>
      </c>
      <c r="Y12" s="32">
        <v>5</v>
      </c>
      <c r="Z12" s="32">
        <v>0</v>
      </c>
      <c r="AA12" s="32">
        <v>7</v>
      </c>
      <c r="AB12" s="32">
        <v>0</v>
      </c>
      <c r="AC12" s="32">
        <v>0</v>
      </c>
      <c r="AD12" s="32">
        <v>0</v>
      </c>
      <c r="AE12" s="32">
        <v>0</v>
      </c>
      <c r="AF12" s="32">
        <v>6</v>
      </c>
      <c r="AG12" s="32">
        <v>9</v>
      </c>
      <c r="AH12" s="32">
        <v>8</v>
      </c>
      <c r="AI12" s="61">
        <v>0</v>
      </c>
      <c r="AJ12" s="73">
        <v>6</v>
      </c>
      <c r="AK12" s="73">
        <v>0</v>
      </c>
      <c r="AL12" s="62">
        <f>(BK12/5+1)*AK12</f>
        <v>0</v>
      </c>
      <c r="AM12" s="73">
        <v>0</v>
      </c>
      <c r="AN12" s="73">
        <v>0</v>
      </c>
      <c r="AO12" s="73">
        <v>0</v>
      </c>
      <c r="AP12" s="73">
        <v>0</v>
      </c>
      <c r="AQ12" s="73">
        <v>0</v>
      </c>
      <c r="AR12" s="73">
        <v>0</v>
      </c>
      <c r="AS12" s="73">
        <v>0</v>
      </c>
      <c r="AT12" s="73">
        <v>0</v>
      </c>
      <c r="AU12" s="73">
        <v>2</v>
      </c>
      <c r="AV12" s="73">
        <v>0</v>
      </c>
      <c r="AW12" s="73">
        <v>0</v>
      </c>
      <c r="AX12" s="61" t="s">
        <v>390</v>
      </c>
      <c r="AY12" s="63">
        <v>0</v>
      </c>
      <c r="AZ12" s="63">
        <v>0</v>
      </c>
      <c r="BA12" s="64">
        <v>0</v>
      </c>
      <c r="BB12" s="63">
        <v>0</v>
      </c>
      <c r="BC12" s="63">
        <v>0</v>
      </c>
      <c r="BD12" s="63">
        <v>0</v>
      </c>
      <c r="BE12" s="63">
        <v>0</v>
      </c>
      <c r="BF12" s="63">
        <v>0</v>
      </c>
      <c r="BG12" s="65">
        <v>0</v>
      </c>
      <c r="BH12" s="63">
        <v>0</v>
      </c>
      <c r="BI12" s="74">
        <v>5</v>
      </c>
      <c r="BJ12" s="64">
        <v>0</v>
      </c>
      <c r="BK12" s="74">
        <v>0</v>
      </c>
      <c r="BL12" s="63">
        <v>0</v>
      </c>
      <c r="BM12" s="63">
        <v>0</v>
      </c>
      <c r="BN12" s="64">
        <v>1</v>
      </c>
      <c r="BO12" s="63">
        <v>0</v>
      </c>
      <c r="BP12" s="66">
        <f t="shared" si="2"/>
        <v>4.7582666666666666</v>
      </c>
      <c r="BQ12" s="58">
        <f t="shared" si="3"/>
        <v>4.7582666666666666</v>
      </c>
      <c r="BR12" s="58">
        <f t="shared" si="4"/>
        <v>3.0444761904761908</v>
      </c>
      <c r="BS12" s="58">
        <f t="shared" si="5"/>
        <v>2.1562037037037034</v>
      </c>
      <c r="BT12" s="58">
        <f t="shared" si="6"/>
        <v>4.0145230769230764</v>
      </c>
      <c r="BU12" s="58">
        <f t="shared" si="7"/>
        <v>6.5235999999999992</v>
      </c>
      <c r="BV12" s="58">
        <f t="shared" si="8"/>
        <v>0.17222222222222222</v>
      </c>
      <c r="BW12" s="58">
        <f t="shared" si="9"/>
        <v>0</v>
      </c>
      <c r="BX12" s="67"/>
      <c r="BY12" s="58">
        <f t="shared" si="10"/>
        <v>7.799644835164834</v>
      </c>
      <c r="BZ12" s="58">
        <f t="shared" si="11"/>
        <v>9.0531591836734684</v>
      </c>
      <c r="CA12" s="58">
        <f t="shared" si="12"/>
        <v>0.27883597883597877</v>
      </c>
      <c r="CB12" s="58">
        <f t="shared" si="13"/>
        <v>0</v>
      </c>
      <c r="CC12" s="67"/>
      <c r="CD12" s="58">
        <f t="shared" si="14"/>
        <v>0</v>
      </c>
      <c r="CE12" s="58">
        <f t="shared" si="15"/>
        <v>0</v>
      </c>
      <c r="CF12" s="58">
        <f t="shared" si="16"/>
        <v>0</v>
      </c>
      <c r="CG12" s="58">
        <f t="shared" si="17"/>
        <v>0</v>
      </c>
      <c r="CH12" s="67"/>
      <c r="CI12" s="68">
        <f t="shared" si="0"/>
        <v>5.2380952380952381</v>
      </c>
      <c r="CJ12" s="69">
        <f t="shared" si="18"/>
        <v>9.3965040013954297</v>
      </c>
      <c r="CK12" s="70">
        <f t="shared" si="19"/>
        <v>0.7138183332364284</v>
      </c>
      <c r="CL12" s="71">
        <f t="shared" si="1"/>
        <v>0</v>
      </c>
      <c r="CM12" s="72">
        <f>SUM(AM12*4, AP12*2/(AO12+1), AN12*4)/7.5</f>
        <v>0</v>
      </c>
      <c r="CN12" s="68">
        <f>SUM(AP12*3, AQ12*2, AR12*2, AS12*2, AM12*3)/8</f>
        <v>0</v>
      </c>
      <c r="CO12" s="68">
        <f t="shared" si="20"/>
        <v>6.666666666666667</v>
      </c>
      <c r="CP12" s="67"/>
    </row>
    <row r="13" spans="1:94">
      <c r="B13" s="29">
        <v>89</v>
      </c>
      <c r="C13" s="30" t="s">
        <v>93</v>
      </c>
      <c r="D13" s="128" t="s">
        <v>384</v>
      </c>
      <c r="E13" s="128" t="s">
        <v>358</v>
      </c>
      <c r="F13" s="59">
        <v>6</v>
      </c>
      <c r="G13" s="59">
        <f>15/F13</f>
        <v>2.5</v>
      </c>
      <c r="H13" s="59">
        <v>1800</v>
      </c>
      <c r="I13" s="59">
        <f>(2.5-((O13*2.5)/2))</f>
        <v>1.8333333333333335</v>
      </c>
      <c r="J13" s="59">
        <v>1</v>
      </c>
      <c r="K13" s="59">
        <v>1</v>
      </c>
      <c r="L13" s="59">
        <v>1</v>
      </c>
      <c r="M13" s="59">
        <v>0</v>
      </c>
      <c r="N13" s="59">
        <v>0</v>
      </c>
      <c r="O13" s="59">
        <f>1.6 / 3</f>
        <v>0.53333333333333333</v>
      </c>
      <c r="P13" s="59">
        <f>0-(0*(V13/2))</f>
        <v>0</v>
      </c>
      <c r="Q13" s="59">
        <v>0</v>
      </c>
      <c r="R13" s="59">
        <v>0</v>
      </c>
      <c r="S13" s="59">
        <v>0</v>
      </c>
      <c r="T13" s="59">
        <v>0</v>
      </c>
      <c r="U13" s="60">
        <v>0</v>
      </c>
      <c r="V13" s="60">
        <v>0.1</v>
      </c>
      <c r="W13" s="60">
        <v>0</v>
      </c>
      <c r="X13" s="32">
        <f>8200/1400</f>
        <v>5.8571428571428568</v>
      </c>
      <c r="Y13" s="32">
        <v>4</v>
      </c>
      <c r="Z13" s="32">
        <v>2</v>
      </c>
      <c r="AA13" s="32">
        <v>5</v>
      </c>
      <c r="AB13" s="32">
        <v>0</v>
      </c>
      <c r="AC13" s="32">
        <f>(9 + 10 + 9 + 5)/4</f>
        <v>8.25</v>
      </c>
      <c r="AD13" s="32">
        <v>0</v>
      </c>
      <c r="AE13" s="32">
        <v>0</v>
      </c>
      <c r="AF13" s="32">
        <v>6</v>
      </c>
      <c r="AG13" s="32">
        <v>0</v>
      </c>
      <c r="AH13" s="32">
        <v>0</v>
      </c>
      <c r="AI13" s="61">
        <v>0</v>
      </c>
      <c r="AJ13" s="61">
        <v>6</v>
      </c>
      <c r="AK13" s="61">
        <v>0</v>
      </c>
      <c r="AL13" s="62">
        <f>(BK13/5+1)*AK13</f>
        <v>0</v>
      </c>
      <c r="AM13" s="61">
        <v>0</v>
      </c>
      <c r="AN13" s="61">
        <v>0</v>
      </c>
      <c r="AO13" s="61">
        <v>0</v>
      </c>
      <c r="AP13" s="61">
        <v>0</v>
      </c>
      <c r="AQ13" s="61">
        <v>0</v>
      </c>
      <c r="AR13" s="61">
        <v>0</v>
      </c>
      <c r="AS13" s="61">
        <v>0</v>
      </c>
      <c r="AT13" s="61">
        <v>0</v>
      </c>
      <c r="AU13" s="61">
        <v>0</v>
      </c>
      <c r="AV13" s="61">
        <v>0</v>
      </c>
      <c r="AW13" s="61">
        <v>0</v>
      </c>
      <c r="AX13" s="61" t="s">
        <v>390</v>
      </c>
      <c r="AY13" s="63">
        <v>0</v>
      </c>
      <c r="AZ13" s="63">
        <v>0</v>
      </c>
      <c r="BA13" s="64">
        <v>0</v>
      </c>
      <c r="BB13" s="63">
        <v>0</v>
      </c>
      <c r="BC13" s="63">
        <v>0</v>
      </c>
      <c r="BD13" s="63">
        <v>0</v>
      </c>
      <c r="BE13" s="63">
        <f>(5 + 9 + 10)/3</f>
        <v>8</v>
      </c>
      <c r="BF13" s="63">
        <v>0</v>
      </c>
      <c r="BG13" s="65">
        <v>0</v>
      </c>
      <c r="BH13" s="63">
        <v>0</v>
      </c>
      <c r="BI13" s="64">
        <v>0</v>
      </c>
      <c r="BJ13" s="64">
        <v>0</v>
      </c>
      <c r="BK13" s="64">
        <v>0</v>
      </c>
      <c r="BL13" s="63">
        <v>0</v>
      </c>
      <c r="BM13" s="63">
        <v>0</v>
      </c>
      <c r="BN13" s="64">
        <v>7</v>
      </c>
      <c r="BO13" s="63">
        <v>0</v>
      </c>
      <c r="BP13" s="66">
        <f t="shared" si="2"/>
        <v>2.2000000000000002</v>
      </c>
      <c r="BQ13" s="58">
        <f t="shared" si="3"/>
        <v>2.2000000000000002</v>
      </c>
      <c r="BR13" s="58">
        <f t="shared" si="4"/>
        <v>1.2571428571428571</v>
      </c>
      <c r="BS13" s="58">
        <f t="shared" si="5"/>
        <v>1.2222222222222223</v>
      </c>
      <c r="BT13" s="58">
        <f t="shared" si="6"/>
        <v>2.0307692307692311</v>
      </c>
      <c r="BU13" s="58">
        <f t="shared" si="7"/>
        <v>3.3000000000000007</v>
      </c>
      <c r="BV13" s="58">
        <f t="shared" si="8"/>
        <v>0</v>
      </c>
      <c r="BW13" s="58">
        <f t="shared" si="9"/>
        <v>0</v>
      </c>
      <c r="BX13" s="67"/>
      <c r="BY13" s="58">
        <f t="shared" si="10"/>
        <v>2.3789010989010988</v>
      </c>
      <c r="BZ13" s="58">
        <f t="shared" si="11"/>
        <v>2.7612244897959188</v>
      </c>
      <c r="CA13" s="58">
        <f t="shared" si="12"/>
        <v>0</v>
      </c>
      <c r="CB13" s="58">
        <f t="shared" si="13"/>
        <v>0</v>
      </c>
      <c r="CC13" s="67"/>
      <c r="CD13" s="58">
        <f t="shared" si="14"/>
        <v>0</v>
      </c>
      <c r="CE13" s="58">
        <f t="shared" si="15"/>
        <v>0</v>
      </c>
      <c r="CF13" s="58">
        <f t="shared" si="16"/>
        <v>0</v>
      </c>
      <c r="CG13" s="58">
        <f t="shared" si="17"/>
        <v>0</v>
      </c>
      <c r="CH13" s="67"/>
      <c r="CI13" s="68">
        <f t="shared" si="0"/>
        <v>3.9523809523809526</v>
      </c>
      <c r="CJ13" s="69">
        <f t="shared" si="18"/>
        <v>5.8622315250886681</v>
      </c>
      <c r="CK13" s="70">
        <f>SUM(AC13*5, (AVERAGE(BY13, BZ13, CA13, CB13)/2)*2, BD13*2)/6</f>
        <v>7.0891718995290418</v>
      </c>
      <c r="CL13" s="71">
        <f t="shared" si="1"/>
        <v>0</v>
      </c>
      <c r="CM13" s="72">
        <f>SUM(AM13*4, AP13*2/(AO13+1), AN13*4)/7.5</f>
        <v>0</v>
      </c>
      <c r="CN13" s="68">
        <f>SUM(AP13*3, AQ13*2, AR13*2, AS13*2, AM13*3)/8</f>
        <v>0</v>
      </c>
      <c r="CO13" s="68">
        <f t="shared" si="20"/>
        <v>3.3333333333333335</v>
      </c>
      <c r="CP13" s="67"/>
    </row>
    <row r="14" spans="1:94">
      <c r="B14" s="29">
        <v>18</v>
      </c>
      <c r="C14" s="37" t="s">
        <v>53</v>
      </c>
      <c r="D14" s="129" t="s">
        <v>373</v>
      </c>
      <c r="E14" s="129" t="s">
        <v>325</v>
      </c>
      <c r="F14" s="59">
        <v>4</v>
      </c>
      <c r="G14" s="59">
        <f>10/F14</f>
        <v>2.5</v>
      </c>
      <c r="H14" s="59">
        <v>2480</v>
      </c>
      <c r="I14" s="59">
        <f>(2.5-((O14*2.5)/2))</f>
        <v>1.8333333333333335</v>
      </c>
      <c r="J14" s="59">
        <v>1</v>
      </c>
      <c r="K14" s="59">
        <v>1</v>
      </c>
      <c r="L14" s="59">
        <v>0.5</v>
      </c>
      <c r="M14" s="59">
        <v>0</v>
      </c>
      <c r="N14" s="59">
        <v>0</v>
      </c>
      <c r="O14" s="59">
        <f>1.6 / 3</f>
        <v>0.53333333333333333</v>
      </c>
      <c r="P14" s="59">
        <f>0-(0*(V14/2))</f>
        <v>0</v>
      </c>
      <c r="Q14" s="59">
        <v>0</v>
      </c>
      <c r="R14" s="59">
        <v>0</v>
      </c>
      <c r="S14" s="59">
        <v>0</v>
      </c>
      <c r="T14" s="59">
        <v>0</v>
      </c>
      <c r="U14" s="75">
        <v>0</v>
      </c>
      <c r="V14" s="75">
        <v>0.1</v>
      </c>
      <c r="W14" s="75">
        <v>0</v>
      </c>
      <c r="X14" s="32">
        <f>10000/1400</f>
        <v>7.1428571428571432</v>
      </c>
      <c r="Y14" s="32">
        <v>3</v>
      </c>
      <c r="Z14" s="32">
        <v>0</v>
      </c>
      <c r="AA14" s="32">
        <v>9</v>
      </c>
      <c r="AB14" s="32">
        <v>6</v>
      </c>
      <c r="AC14" s="32">
        <v>0</v>
      </c>
      <c r="AD14" s="32">
        <v>4</v>
      </c>
      <c r="AE14" s="32">
        <v>0</v>
      </c>
      <c r="AF14" s="32">
        <v>3</v>
      </c>
      <c r="AG14" s="32">
        <v>0</v>
      </c>
      <c r="AH14" s="32">
        <v>0</v>
      </c>
      <c r="AI14" s="61">
        <v>0</v>
      </c>
      <c r="AJ14" s="73">
        <v>6</v>
      </c>
      <c r="AK14" s="73">
        <v>0</v>
      </c>
      <c r="AL14" s="62">
        <f>(BK14/5+1)*AK14</f>
        <v>0</v>
      </c>
      <c r="AM14" s="73">
        <v>0</v>
      </c>
      <c r="AN14" s="73">
        <v>0</v>
      </c>
      <c r="AO14" s="73">
        <v>0</v>
      </c>
      <c r="AP14" s="73">
        <v>0</v>
      </c>
      <c r="AQ14" s="73">
        <v>0</v>
      </c>
      <c r="AR14" s="73">
        <v>0</v>
      </c>
      <c r="AS14" s="73">
        <v>0</v>
      </c>
      <c r="AT14" s="73">
        <v>0</v>
      </c>
      <c r="AU14" s="73">
        <v>2</v>
      </c>
      <c r="AV14" s="73">
        <v>0</v>
      </c>
      <c r="AW14" s="73">
        <v>0</v>
      </c>
      <c r="AX14" s="61" t="s">
        <v>390</v>
      </c>
      <c r="AY14" s="63">
        <v>0</v>
      </c>
      <c r="AZ14" s="63">
        <v>0</v>
      </c>
      <c r="BA14" s="64">
        <v>0</v>
      </c>
      <c r="BB14" s="63">
        <v>0</v>
      </c>
      <c r="BC14" s="63">
        <v>0</v>
      </c>
      <c r="BD14" s="63">
        <v>0</v>
      </c>
      <c r="BE14" s="63">
        <v>0</v>
      </c>
      <c r="BF14" s="63">
        <v>0</v>
      </c>
      <c r="BG14" s="65">
        <v>0</v>
      </c>
      <c r="BH14" s="63">
        <v>0</v>
      </c>
      <c r="BI14" s="74">
        <v>1</v>
      </c>
      <c r="BJ14" s="64">
        <v>0</v>
      </c>
      <c r="BK14" s="74">
        <v>0</v>
      </c>
      <c r="BL14" s="63">
        <v>0</v>
      </c>
      <c r="BM14" s="63">
        <v>3</v>
      </c>
      <c r="BN14" s="64">
        <v>7</v>
      </c>
      <c r="BO14" s="63">
        <v>0</v>
      </c>
      <c r="BP14" s="66">
        <f t="shared" si="2"/>
        <v>3.0311111111111115</v>
      </c>
      <c r="BQ14" s="58">
        <f t="shared" si="3"/>
        <v>3.0311111111111115</v>
      </c>
      <c r="BR14" s="58">
        <f t="shared" si="4"/>
        <v>1.299047619047619</v>
      </c>
      <c r="BS14" s="58">
        <f t="shared" si="5"/>
        <v>1.2629629629629631</v>
      </c>
      <c r="BT14" s="58">
        <f t="shared" si="6"/>
        <v>2.7979487179487181</v>
      </c>
      <c r="BU14" s="58">
        <f t="shared" si="7"/>
        <v>2.0666666666666669</v>
      </c>
      <c r="BV14" s="58">
        <f t="shared" si="8"/>
        <v>0</v>
      </c>
      <c r="BW14" s="58">
        <f t="shared" si="9"/>
        <v>0</v>
      </c>
      <c r="BX14" s="67"/>
      <c r="BY14" s="58">
        <f t="shared" si="10"/>
        <v>3.997069597069598</v>
      </c>
      <c r="BZ14" s="58">
        <f t="shared" si="11"/>
        <v>2.1088435374149666</v>
      </c>
      <c r="CA14" s="58">
        <f t="shared" si="12"/>
        <v>0</v>
      </c>
      <c r="CB14" s="58">
        <f t="shared" si="13"/>
        <v>0</v>
      </c>
      <c r="CC14" s="67"/>
      <c r="CD14" s="58">
        <f t="shared" si="14"/>
        <v>0</v>
      </c>
      <c r="CE14" s="58">
        <f t="shared" si="15"/>
        <v>0</v>
      </c>
      <c r="CF14" s="58">
        <f t="shared" si="16"/>
        <v>0</v>
      </c>
      <c r="CG14" s="58">
        <f t="shared" si="17"/>
        <v>0</v>
      </c>
      <c r="CH14" s="67"/>
      <c r="CI14" s="68">
        <f t="shared" si="0"/>
        <v>4.3809523809523805</v>
      </c>
      <c r="CJ14" s="69">
        <f t="shared" si="18"/>
        <v>7.2671046766284872</v>
      </c>
      <c r="CK14" s="70">
        <f t="shared" si="19"/>
        <v>0.25441304727019021</v>
      </c>
      <c r="CL14" s="71">
        <f t="shared" si="1"/>
        <v>1.4593846153846157</v>
      </c>
      <c r="CM14" s="72">
        <f>SUM(AM14*4, AP14*2/(AO14+1), AN14*4)/7.5</f>
        <v>0</v>
      </c>
      <c r="CN14" s="68">
        <f>SUM(AP14*3, AQ14*2, AR14*2, AS14*2, AM14*3)/8</f>
        <v>0</v>
      </c>
      <c r="CO14" s="68">
        <f t="shared" si="20"/>
        <v>8</v>
      </c>
      <c r="CP14" s="67"/>
    </row>
    <row r="15" spans="1:94">
      <c r="B15" s="29">
        <v>16</v>
      </c>
      <c r="C15" s="37" t="s">
        <v>84</v>
      </c>
      <c r="D15" s="129" t="s">
        <v>386</v>
      </c>
      <c r="E15" s="129" t="s">
        <v>383</v>
      </c>
      <c r="F15" s="59">
        <v>5</v>
      </c>
      <c r="G15" s="59">
        <f>16/F15</f>
        <v>3.2</v>
      </c>
      <c r="H15" s="59">
        <v>1960</v>
      </c>
      <c r="I15" s="59">
        <f>(2.15-((O15*2.15)/2))</f>
        <v>1.5408333333333333</v>
      </c>
      <c r="J15" s="59">
        <v>1</v>
      </c>
      <c r="K15" s="59">
        <v>1</v>
      </c>
      <c r="L15" s="59">
        <v>1</v>
      </c>
      <c r="M15" s="59">
        <v>0.5</v>
      </c>
      <c r="N15" s="59">
        <v>0</v>
      </c>
      <c r="O15" s="59">
        <f>1.7 / 3</f>
        <v>0.56666666666666665</v>
      </c>
      <c r="P15" s="59">
        <f>2.5-(2.5*(V15/2))</f>
        <v>2.25</v>
      </c>
      <c r="Q15" s="59">
        <v>1200</v>
      </c>
      <c r="R15" s="59">
        <v>1200</v>
      </c>
      <c r="S15" s="59">
        <v>2400</v>
      </c>
      <c r="T15" s="59">
        <v>2400</v>
      </c>
      <c r="U15" s="59">
        <v>7200</v>
      </c>
      <c r="V15" s="59">
        <v>0.2</v>
      </c>
      <c r="W15" s="59">
        <v>0</v>
      </c>
      <c r="X15" s="32">
        <f>7000/1400</f>
        <v>5</v>
      </c>
      <c r="Y15" s="32">
        <v>6</v>
      </c>
      <c r="Z15" s="32">
        <v>0</v>
      </c>
      <c r="AA15" s="32">
        <v>1</v>
      </c>
      <c r="AB15" s="32">
        <v>2</v>
      </c>
      <c r="AC15" s="32">
        <f>(3 + 2 + 3 + 9)/4</f>
        <v>4.25</v>
      </c>
      <c r="AD15" s="32">
        <v>0</v>
      </c>
      <c r="AE15" s="32">
        <v>0</v>
      </c>
      <c r="AF15" s="32">
        <v>6</v>
      </c>
      <c r="AG15" s="32">
        <v>0</v>
      </c>
      <c r="AH15" s="32">
        <v>0</v>
      </c>
      <c r="AI15" s="61">
        <v>0</v>
      </c>
      <c r="AJ15" s="73">
        <v>5</v>
      </c>
      <c r="AK15" s="73">
        <v>0</v>
      </c>
      <c r="AL15" s="62">
        <f>(BK15/5+1)*AK15</f>
        <v>0</v>
      </c>
      <c r="AM15" s="73">
        <v>4</v>
      </c>
      <c r="AN15" s="73">
        <v>1</v>
      </c>
      <c r="AO15" s="73">
        <v>0</v>
      </c>
      <c r="AP15" s="73">
        <v>6</v>
      </c>
      <c r="AQ15" s="73">
        <v>7</v>
      </c>
      <c r="AR15" s="73">
        <v>10</v>
      </c>
      <c r="AS15" s="73">
        <v>0</v>
      </c>
      <c r="AT15" s="73">
        <v>0</v>
      </c>
      <c r="AU15" s="73">
        <v>9</v>
      </c>
      <c r="AV15" s="73">
        <v>0</v>
      </c>
      <c r="AW15" s="73">
        <v>0</v>
      </c>
      <c r="AX15" s="61" t="s">
        <v>390</v>
      </c>
      <c r="AY15" s="63">
        <v>0</v>
      </c>
      <c r="AZ15" s="63">
        <v>0</v>
      </c>
      <c r="BA15" s="64">
        <v>0</v>
      </c>
      <c r="BB15" s="63">
        <v>0</v>
      </c>
      <c r="BC15" s="63">
        <v>0</v>
      </c>
      <c r="BD15" s="63">
        <v>0</v>
      </c>
      <c r="BE15" s="63">
        <v>0</v>
      </c>
      <c r="BF15" s="63">
        <v>0</v>
      </c>
      <c r="BG15" s="65">
        <v>0</v>
      </c>
      <c r="BH15" s="63">
        <v>0</v>
      </c>
      <c r="BI15" s="74">
        <v>0</v>
      </c>
      <c r="BJ15" s="64">
        <v>0</v>
      </c>
      <c r="BK15" s="74">
        <v>0</v>
      </c>
      <c r="BL15" s="63">
        <v>0</v>
      </c>
      <c r="BM15" s="63">
        <v>0</v>
      </c>
      <c r="BN15" s="64">
        <v>7</v>
      </c>
      <c r="BO15" s="63">
        <v>0</v>
      </c>
      <c r="BP15" s="66">
        <f>(((J15*I15*H15)+Q15+(W15/4))/1500)+((AQ15*(AR15/3))/5)</f>
        <v>7.4800222222222228</v>
      </c>
      <c r="BQ15" s="58">
        <f t="shared" ref="BQ15" si="21">(((J15*I15*H15)+R15+(W15/4))/1500)+((AQ15*(AR15/5))/5)</f>
        <v>5.6133555555555557</v>
      </c>
      <c r="BR15" s="58">
        <f t="shared" ref="BR15" si="22">((((J15*(Y15/7))*I15*H15)+S15+(W15/4))/1500)+((AQ15*(AR15/7))/5)</f>
        <v>5.325733333333333</v>
      </c>
      <c r="BS15" s="58">
        <f t="shared" ref="BS15" si="23">((((J15*(Y15/9))*I15*H15)+T15+(W15/4))/1200)+((AQ15*(AR15/9))/5)</f>
        <v>5.233351851851852</v>
      </c>
      <c r="BT15" s="58">
        <f t="shared" si="6"/>
        <v>2.418358974358974</v>
      </c>
      <c r="BU15" s="58">
        <f t="shared" si="7"/>
        <v>3.9298333333333328</v>
      </c>
      <c r="BV15" s="58">
        <f t="shared" si="8"/>
        <v>5.3814848484848481</v>
      </c>
      <c r="BW15" s="58">
        <f t="shared" si="9"/>
        <v>2.88</v>
      </c>
      <c r="BX15" s="67"/>
      <c r="BY15" s="58">
        <f t="shared" si="10"/>
        <v>2.418358974358974</v>
      </c>
      <c r="BZ15" s="58">
        <f t="shared" si="11"/>
        <v>2.8070238095238094</v>
      </c>
      <c r="CA15" s="58">
        <f t="shared" si="12"/>
        <v>4.4845707070707066</v>
      </c>
      <c r="CB15" s="58">
        <f t="shared" si="13"/>
        <v>1.44</v>
      </c>
      <c r="CC15" s="67"/>
      <c r="CD15" s="58">
        <f t="shared" si="14"/>
        <v>0</v>
      </c>
      <c r="CE15" s="58">
        <f t="shared" si="15"/>
        <v>0</v>
      </c>
      <c r="CF15" s="58">
        <f t="shared" si="16"/>
        <v>0</v>
      </c>
      <c r="CG15" s="58">
        <f t="shared" si="17"/>
        <v>0</v>
      </c>
      <c r="CH15" s="67"/>
      <c r="CI15" s="68">
        <f t="shared" si="0"/>
        <v>3.3333333333333335</v>
      </c>
      <c r="CJ15" s="69">
        <f t="shared" si="18"/>
        <v>4.9055839099172429</v>
      </c>
      <c r="CK15" s="70">
        <f t="shared" si="19"/>
        <v>4.0062480621230625</v>
      </c>
      <c r="CL15" s="71">
        <f t="shared" si="1"/>
        <v>3.6</v>
      </c>
      <c r="CM15" s="72">
        <f>SUM(AM15*4, AP15*2/(AO15+1), AN15*4)/7.5</f>
        <v>4.2666666666666666</v>
      </c>
      <c r="CN15" s="68">
        <f>SUM(AP15*3, AQ15*2, AR15*2, AS15*2, AM15*3)/8</f>
        <v>8</v>
      </c>
      <c r="CO15" s="68">
        <f t="shared" si="20"/>
        <v>9.6666666666666679</v>
      </c>
      <c r="CP15" s="67"/>
    </row>
    <row r="16" spans="1:94">
      <c r="B16" s="29">
        <v>49</v>
      </c>
      <c r="C16" s="30" t="s">
        <v>77</v>
      </c>
      <c r="D16" s="128" t="s">
        <v>375</v>
      </c>
      <c r="E16" s="128" t="s">
        <v>325</v>
      </c>
      <c r="F16" s="59">
        <v>5</v>
      </c>
      <c r="G16" s="59">
        <f>16/F16</f>
        <v>3.2</v>
      </c>
      <c r="H16" s="59">
        <v>2000</v>
      </c>
      <c r="I16" s="59">
        <f>(1.65-((O16*1.65)/2))</f>
        <v>1.1000000000000001</v>
      </c>
      <c r="J16" s="59">
        <v>1</v>
      </c>
      <c r="K16" s="59">
        <v>1</v>
      </c>
      <c r="L16" s="59">
        <v>0</v>
      </c>
      <c r="M16" s="59">
        <v>0</v>
      </c>
      <c r="N16" s="59">
        <v>0</v>
      </c>
      <c r="O16" s="59">
        <f>2 / 3</f>
        <v>0.66666666666666663</v>
      </c>
      <c r="P16" s="59">
        <f>1-(1*(V16/2))</f>
        <v>0.95</v>
      </c>
      <c r="Q16" s="59">
        <v>1800</v>
      </c>
      <c r="R16" s="59">
        <v>1800</v>
      </c>
      <c r="S16" s="59">
        <v>1800</v>
      </c>
      <c r="T16" s="59">
        <v>1800</v>
      </c>
      <c r="U16" s="59">
        <v>1800</v>
      </c>
      <c r="V16" s="59">
        <v>0.1</v>
      </c>
      <c r="W16" s="59">
        <v>0</v>
      </c>
      <c r="X16" s="32">
        <f>8000/1400 + (5 + 6 + 6)/3/3.5</f>
        <v>7.3333333333333339</v>
      </c>
      <c r="Y16" s="32">
        <v>1</v>
      </c>
      <c r="Z16" s="32">
        <f>(8.5 + 3 + 6)/3</f>
        <v>5.833333333333333</v>
      </c>
      <c r="AA16" s="32">
        <v>1</v>
      </c>
      <c r="AB16" s="32">
        <v>3</v>
      </c>
      <c r="AC16" s="32">
        <v>0</v>
      </c>
      <c r="AD16" s="32">
        <v>0</v>
      </c>
      <c r="AE16" s="32">
        <v>0</v>
      </c>
      <c r="AF16" s="32">
        <v>1</v>
      </c>
      <c r="AG16" s="32">
        <v>0</v>
      </c>
      <c r="AH16" s="32">
        <v>0</v>
      </c>
      <c r="AI16" s="61">
        <v>0</v>
      </c>
      <c r="AJ16" s="61">
        <v>9</v>
      </c>
      <c r="AK16" s="61">
        <v>6</v>
      </c>
      <c r="AL16" s="62">
        <f>(BK16/5+1)*AK16</f>
        <v>6</v>
      </c>
      <c r="AM16" s="61">
        <v>0</v>
      </c>
      <c r="AN16" s="61">
        <v>0</v>
      </c>
      <c r="AO16" s="61">
        <v>0</v>
      </c>
      <c r="AP16" s="61">
        <v>0</v>
      </c>
      <c r="AQ16" s="61">
        <v>0</v>
      </c>
      <c r="AR16" s="61">
        <v>0</v>
      </c>
      <c r="AS16" s="61">
        <v>0</v>
      </c>
      <c r="AT16" s="61">
        <v>0</v>
      </c>
      <c r="AU16" s="61">
        <v>7</v>
      </c>
      <c r="AV16" s="61">
        <v>0</v>
      </c>
      <c r="AW16" s="61">
        <v>0</v>
      </c>
      <c r="AX16" s="61" t="s">
        <v>390</v>
      </c>
      <c r="AY16" s="63">
        <v>0</v>
      </c>
      <c r="AZ16" s="63">
        <v>0</v>
      </c>
      <c r="BA16" s="64">
        <v>0</v>
      </c>
      <c r="BB16" s="63">
        <v>0</v>
      </c>
      <c r="BC16" s="63">
        <v>0</v>
      </c>
      <c r="BD16" s="63">
        <v>0</v>
      </c>
      <c r="BE16" s="63">
        <v>0</v>
      </c>
      <c r="BF16" s="63">
        <v>0</v>
      </c>
      <c r="BG16" s="65">
        <v>0</v>
      </c>
      <c r="BH16" s="63">
        <v>0</v>
      </c>
      <c r="BI16" s="64">
        <v>0</v>
      </c>
      <c r="BJ16" s="64">
        <v>0</v>
      </c>
      <c r="BK16" s="64">
        <v>0</v>
      </c>
      <c r="BL16" s="63">
        <v>0</v>
      </c>
      <c r="BM16" s="63">
        <v>0</v>
      </c>
      <c r="BN16" s="64">
        <v>6</v>
      </c>
      <c r="BO16" s="63">
        <v>0</v>
      </c>
      <c r="BP16" s="66">
        <f t="shared" ref="BP16:BP20" si="24">(((J16*I16*H16)+Q16+(W16/4))/1500)+((AQ16*(AR16/3))/5)</f>
        <v>2.6666666666666665</v>
      </c>
      <c r="BQ16" s="58">
        <f t="shared" ref="BQ16:BQ20" si="25">(((J16*I16*H16)+R16+(W16/4))/1500)+((AQ16*(AR16/5))/5)</f>
        <v>2.6666666666666665</v>
      </c>
      <c r="BR16" s="58">
        <f t="shared" ref="BR16:BR20" si="26">((((J16*(Y16/7))*I16*H16)+S16+(W16/4))/1500)+((AQ16*(AR16/7))/5)</f>
        <v>1.4095238095238094</v>
      </c>
      <c r="BS16" s="58">
        <f t="shared" ref="BS16:BS20" si="27">((((J16*(Y16/9))*I16*H16)+T16+(W16/4))/1200)+((AQ16*(AR16/9))/5)</f>
        <v>1.7037037037037037</v>
      </c>
      <c r="BT16" s="58">
        <f t="shared" si="6"/>
        <v>1.8080000000000001</v>
      </c>
      <c r="BU16" s="58">
        <f t="shared" si="7"/>
        <v>0.28499999999999998</v>
      </c>
      <c r="BV16" s="58">
        <f t="shared" si="8"/>
        <v>0.56999999999999995</v>
      </c>
      <c r="BW16" s="58">
        <f t="shared" si="9"/>
        <v>0.91200000000000003</v>
      </c>
      <c r="BX16" s="67"/>
      <c r="BY16" s="58">
        <f t="shared" si="10"/>
        <v>2.6517333333333335</v>
      </c>
      <c r="BZ16" s="58">
        <f t="shared" si="11"/>
        <v>0.29857142857142854</v>
      </c>
      <c r="CA16" s="58">
        <f t="shared" si="12"/>
        <v>0.69666666666666677</v>
      </c>
      <c r="CB16" s="58">
        <f t="shared" si="13"/>
        <v>0.66880000000000006</v>
      </c>
      <c r="CC16" s="67"/>
      <c r="CD16" s="58">
        <f t="shared" si="14"/>
        <v>5.303466666666667</v>
      </c>
      <c r="CE16" s="58">
        <f t="shared" si="15"/>
        <v>0.66349206349206347</v>
      </c>
      <c r="CF16" s="58">
        <f t="shared" si="16"/>
        <v>1.6720000000000002</v>
      </c>
      <c r="CG16" s="58">
        <f t="shared" si="17"/>
        <v>2.1120000000000001</v>
      </c>
      <c r="CH16" s="67"/>
      <c r="CI16" s="68">
        <f t="shared" si="0"/>
        <v>9.4444444444444446</v>
      </c>
      <c r="CJ16" s="69">
        <f t="shared" si="18"/>
        <v>6.0210102292768966</v>
      </c>
      <c r="CK16" s="70">
        <f t="shared" si="19"/>
        <v>0.17982380952380952</v>
      </c>
      <c r="CL16" s="71">
        <f t="shared" si="1"/>
        <v>1.35</v>
      </c>
      <c r="CM16" s="72">
        <f>SUM(AM16*4, AP16*2/(AO16+1), AN16*4)/7.5</f>
        <v>0</v>
      </c>
      <c r="CN16" s="68">
        <f>SUM(AP16*3, AQ16*2, AR16*2, AS16*2, AM16*3)/8</f>
        <v>0</v>
      </c>
      <c r="CO16" s="68">
        <f t="shared" si="20"/>
        <v>7.6666666666666661</v>
      </c>
      <c r="CP16" s="67"/>
    </row>
    <row r="17" spans="2:94">
      <c r="B17" s="29">
        <v>12</v>
      </c>
      <c r="C17" s="37" t="s">
        <v>101</v>
      </c>
      <c r="D17" s="129" t="s">
        <v>383</v>
      </c>
      <c r="E17" s="129" t="s">
        <v>387</v>
      </c>
      <c r="F17" s="59">
        <v>6</v>
      </c>
      <c r="G17" s="59">
        <f>14/F17</f>
        <v>2.3333333333333335</v>
      </c>
      <c r="H17" s="59">
        <v>1360</v>
      </c>
      <c r="I17" s="59">
        <f>(1.65-((O17*1.65)/2))</f>
        <v>0.96249999999999991</v>
      </c>
      <c r="J17" s="59">
        <v>1.5</v>
      </c>
      <c r="K17" s="59">
        <v>0.6</v>
      </c>
      <c r="L17" s="59">
        <v>1.2</v>
      </c>
      <c r="M17" s="59">
        <v>1.8</v>
      </c>
      <c r="N17" s="59">
        <v>0.6</v>
      </c>
      <c r="O17" s="59">
        <f>2.5 / 3</f>
        <v>0.83333333333333337</v>
      </c>
      <c r="P17" s="59">
        <f>2-(2*(V17/2))</f>
        <v>1.9</v>
      </c>
      <c r="Q17" s="59">
        <v>4000</v>
      </c>
      <c r="R17" s="59">
        <v>3000</v>
      </c>
      <c r="S17" s="59">
        <v>2000</v>
      </c>
      <c r="T17" s="59">
        <v>1000</v>
      </c>
      <c r="U17" s="75">
        <v>4000</v>
      </c>
      <c r="V17" s="75">
        <v>0.1</v>
      </c>
      <c r="W17" s="75">
        <v>0</v>
      </c>
      <c r="X17" s="32">
        <f>4800/1400</f>
        <v>3.4285714285714284</v>
      </c>
      <c r="Y17" s="32">
        <v>7</v>
      </c>
      <c r="Z17" s="32">
        <v>0</v>
      </c>
      <c r="AA17" s="32">
        <v>1</v>
      </c>
      <c r="AB17" s="32">
        <v>7</v>
      </c>
      <c r="AC17" s="32">
        <f>(6 + 2 + 3 + 8)/4</f>
        <v>4.75</v>
      </c>
      <c r="AD17" s="32">
        <v>1</v>
      </c>
      <c r="AE17" s="32">
        <v>0</v>
      </c>
      <c r="AF17" s="32">
        <v>6</v>
      </c>
      <c r="AG17" s="32">
        <v>0</v>
      </c>
      <c r="AH17" s="32">
        <v>0</v>
      </c>
      <c r="AI17" s="61">
        <v>0</v>
      </c>
      <c r="AJ17" s="73">
        <v>5</v>
      </c>
      <c r="AK17" s="73">
        <v>0</v>
      </c>
      <c r="AL17" s="62">
        <f>(BK17/5+1)*AK17</f>
        <v>0</v>
      </c>
      <c r="AM17" s="73">
        <v>4</v>
      </c>
      <c r="AN17" s="73">
        <v>1</v>
      </c>
      <c r="AO17" s="73">
        <v>0</v>
      </c>
      <c r="AP17" s="73">
        <v>2</v>
      </c>
      <c r="AQ17" s="73">
        <v>6</v>
      </c>
      <c r="AR17" s="73">
        <v>1</v>
      </c>
      <c r="AS17" s="73">
        <v>10</v>
      </c>
      <c r="AT17" s="73">
        <v>5</v>
      </c>
      <c r="AU17" s="73">
        <v>1</v>
      </c>
      <c r="AV17" s="73">
        <f>(3 + 5 + 5 + 5)/4</f>
        <v>4.5</v>
      </c>
      <c r="AW17" s="73">
        <v>0</v>
      </c>
      <c r="AX17" s="61" t="s">
        <v>390</v>
      </c>
      <c r="AY17" s="63">
        <v>0</v>
      </c>
      <c r="AZ17" s="63">
        <v>0</v>
      </c>
      <c r="BA17" s="64">
        <v>0</v>
      </c>
      <c r="BB17" s="63">
        <v>0</v>
      </c>
      <c r="BC17" s="63">
        <v>0</v>
      </c>
      <c r="BD17" s="63">
        <v>0</v>
      </c>
      <c r="BE17" s="63">
        <v>0</v>
      </c>
      <c r="BF17" s="63">
        <v>0</v>
      </c>
      <c r="BG17" s="65">
        <v>0</v>
      </c>
      <c r="BH17" s="63">
        <v>0</v>
      </c>
      <c r="BI17" s="74">
        <v>0</v>
      </c>
      <c r="BJ17" s="64">
        <v>0</v>
      </c>
      <c r="BK17" s="74">
        <v>0</v>
      </c>
      <c r="BL17" s="63">
        <v>0</v>
      </c>
      <c r="BM17" s="63">
        <v>0.5</v>
      </c>
      <c r="BN17" s="64">
        <v>7</v>
      </c>
      <c r="BO17" s="63">
        <v>0</v>
      </c>
      <c r="BP17" s="66">
        <f t="shared" si="24"/>
        <v>4.3756666666666666</v>
      </c>
      <c r="BQ17" s="58">
        <f t="shared" si="25"/>
        <v>3.5490000000000004</v>
      </c>
      <c r="BR17" s="58">
        <f t="shared" si="26"/>
        <v>2.8137619047619045</v>
      </c>
      <c r="BS17" s="58">
        <f t="shared" si="27"/>
        <v>2.2393055555555552</v>
      </c>
      <c r="BT17" s="58">
        <f t="shared" si="6"/>
        <v>1.2709604519774009</v>
      </c>
      <c r="BU17" s="58">
        <f t="shared" si="7"/>
        <v>2.9229245283018868</v>
      </c>
      <c r="BV17" s="58">
        <f t="shared" si="8"/>
        <v>7.5894326241134742</v>
      </c>
      <c r="BW17" s="58">
        <f t="shared" si="9"/>
        <v>3.2496723163841801</v>
      </c>
      <c r="BX17" s="67"/>
      <c r="BY17" s="58">
        <f t="shared" si="10"/>
        <v>0.87151573849878916</v>
      </c>
      <c r="BZ17" s="58">
        <f t="shared" si="11"/>
        <v>1.4316365036580669</v>
      </c>
      <c r="CA17" s="58">
        <f t="shared" si="12"/>
        <v>4.3368186423505568</v>
      </c>
      <c r="CB17" s="58">
        <f t="shared" si="13"/>
        <v>1.1141733656174331</v>
      </c>
      <c r="CC17" s="67"/>
      <c r="CD17" s="58">
        <f t="shared" si="14"/>
        <v>0</v>
      </c>
      <c r="CE17" s="58">
        <f t="shared" si="15"/>
        <v>0</v>
      </c>
      <c r="CF17" s="58">
        <f t="shared" si="16"/>
        <v>0</v>
      </c>
      <c r="CG17" s="58">
        <f t="shared" si="17"/>
        <v>0</v>
      </c>
      <c r="CH17" s="67"/>
      <c r="CI17" s="68">
        <f t="shared" si="0"/>
        <v>2.8095238095238098</v>
      </c>
      <c r="CJ17" s="69">
        <f t="shared" si="18"/>
        <v>4.0965297957153233</v>
      </c>
      <c r="CK17" s="70">
        <f t="shared" si="19"/>
        <v>4.2814226770885355</v>
      </c>
      <c r="CL17" s="71">
        <f>IF(AB17&lt;6, (AB17/2)*U17/2000, IF(AB17&lt;7, (AB17/2)*(AVERAGE(BT17, BU17, BV17, BW17)/2.5), (AB17/2)*(AVERAGE(BT17, BU17, BV17, BW17)/2.5)+(U17/2000)))</f>
        <v>7.2615464722719301</v>
      </c>
      <c r="CM17" s="72">
        <f>SUM(AM17*4, AP17*2/(AO17+1), AN17*4)/7.5</f>
        <v>3.2</v>
      </c>
      <c r="CN17" s="68">
        <f>SUM(AP17*3, AQ17*2, AR17*2, AS17*2, AM17*3)/8</f>
        <v>6.5</v>
      </c>
      <c r="CO17" s="68">
        <f t="shared" si="20"/>
        <v>1.6666666666666667</v>
      </c>
      <c r="CP17" s="67"/>
    </row>
    <row r="18" spans="2:94">
      <c r="B18" s="29">
        <v>76</v>
      </c>
      <c r="C18" s="30" t="s">
        <v>57</v>
      </c>
      <c r="D18" s="128" t="s">
        <v>383</v>
      </c>
      <c r="E18" s="128" t="s">
        <v>332</v>
      </c>
      <c r="F18" s="59">
        <v>7</v>
      </c>
      <c r="G18" s="59">
        <f>16/F18</f>
        <v>2.2857142857142856</v>
      </c>
      <c r="H18" s="59">
        <v>1800</v>
      </c>
      <c r="I18" s="59">
        <f>(2.5-((O18*2.5)/2))</f>
        <v>1.9166666666666667</v>
      </c>
      <c r="J18" s="59">
        <v>1</v>
      </c>
      <c r="K18" s="59">
        <v>1</v>
      </c>
      <c r="L18" s="59">
        <v>0.8</v>
      </c>
      <c r="M18" s="59">
        <v>0.4</v>
      </c>
      <c r="N18" s="59">
        <v>0.2</v>
      </c>
      <c r="O18" s="59">
        <f>1.4 / 3</f>
        <v>0.46666666666666662</v>
      </c>
      <c r="P18" s="59">
        <f>2.5-(2.5*(V18/2))</f>
        <v>2.25</v>
      </c>
      <c r="Q18" s="59">
        <v>1600</v>
      </c>
      <c r="R18" s="59">
        <v>3200</v>
      </c>
      <c r="S18" s="59">
        <v>2400</v>
      </c>
      <c r="T18" s="59">
        <v>0</v>
      </c>
      <c r="U18" s="60">
        <v>6400</v>
      </c>
      <c r="V18" s="60">
        <v>0.2</v>
      </c>
      <c r="W18" s="60">
        <v>0</v>
      </c>
      <c r="X18" s="32">
        <f>6200/1400</f>
        <v>4.4285714285714288</v>
      </c>
      <c r="Y18" s="32">
        <v>7</v>
      </c>
      <c r="Z18" s="32">
        <v>0</v>
      </c>
      <c r="AA18" s="32">
        <v>1</v>
      </c>
      <c r="AB18" s="32">
        <v>6</v>
      </c>
      <c r="AC18" s="32">
        <v>0</v>
      </c>
      <c r="AD18" s="32">
        <v>0</v>
      </c>
      <c r="AE18" s="32">
        <v>1</v>
      </c>
      <c r="AF18" s="32">
        <v>7</v>
      </c>
      <c r="AG18" s="32">
        <v>0</v>
      </c>
      <c r="AH18" s="32">
        <v>0</v>
      </c>
      <c r="AI18" s="61">
        <v>0</v>
      </c>
      <c r="AJ18" s="61">
        <v>5</v>
      </c>
      <c r="AK18" s="61">
        <v>0</v>
      </c>
      <c r="AL18" s="62">
        <f>(BK18/5+1)*AK18</f>
        <v>0</v>
      </c>
      <c r="AM18" s="61">
        <v>4</v>
      </c>
      <c r="AN18" s="61">
        <v>1</v>
      </c>
      <c r="AO18" s="61">
        <v>0</v>
      </c>
      <c r="AP18" s="61">
        <v>7</v>
      </c>
      <c r="AQ18" s="61">
        <v>4</v>
      </c>
      <c r="AR18" s="61">
        <v>4</v>
      </c>
      <c r="AS18" s="61">
        <v>4</v>
      </c>
      <c r="AT18" s="61">
        <v>7.5</v>
      </c>
      <c r="AU18" s="61">
        <v>0</v>
      </c>
      <c r="AV18" s="61">
        <f>(3 + 5 + 5 + 5)/4</f>
        <v>4.5</v>
      </c>
      <c r="AW18" s="61">
        <v>5</v>
      </c>
      <c r="AX18" s="61" t="s">
        <v>392</v>
      </c>
      <c r="AY18" s="63">
        <v>0</v>
      </c>
      <c r="AZ18" s="63">
        <v>0</v>
      </c>
      <c r="BA18" s="64">
        <v>0</v>
      </c>
      <c r="BB18" s="63">
        <v>0</v>
      </c>
      <c r="BC18" s="63">
        <v>0</v>
      </c>
      <c r="BD18" s="63">
        <v>0</v>
      </c>
      <c r="BE18" s="63">
        <v>0</v>
      </c>
      <c r="BF18" s="63">
        <v>0</v>
      </c>
      <c r="BG18" s="65">
        <v>0</v>
      </c>
      <c r="BH18" s="63">
        <v>0</v>
      </c>
      <c r="BI18" s="64">
        <v>0</v>
      </c>
      <c r="BJ18" s="63">
        <v>0</v>
      </c>
      <c r="BK18" s="63">
        <f>(5 + 5 + 10)/3</f>
        <v>6.666666666666667</v>
      </c>
      <c r="BL18" s="63">
        <v>0</v>
      </c>
      <c r="BM18" s="63">
        <v>0</v>
      </c>
      <c r="BN18" s="64">
        <v>7</v>
      </c>
      <c r="BO18" s="63">
        <v>0</v>
      </c>
      <c r="BP18" s="66">
        <f t="shared" si="24"/>
        <v>4.4333333333333336</v>
      </c>
      <c r="BQ18" s="58">
        <f t="shared" si="25"/>
        <v>5.0733333333333333</v>
      </c>
      <c r="BR18" s="58">
        <f t="shared" si="26"/>
        <v>4.3571428571428568</v>
      </c>
      <c r="BS18" s="58">
        <f t="shared" si="27"/>
        <v>2.5916666666666668</v>
      </c>
      <c r="BT18" s="58">
        <f t="shared" si="6"/>
        <v>2.7091575091575093</v>
      </c>
      <c r="BU18" s="58">
        <f t="shared" si="7"/>
        <v>4.3168498168498166</v>
      </c>
      <c r="BV18" s="58">
        <f t="shared" si="8"/>
        <v>4.3112244897959187</v>
      </c>
      <c r="BW18" s="58">
        <f t="shared" si="9"/>
        <v>1.903448275862069</v>
      </c>
      <c r="BX18" s="67"/>
      <c r="BY18" s="58">
        <f t="shared" si="10"/>
        <v>2.3995395081109367</v>
      </c>
      <c r="BZ18" s="58">
        <f t="shared" si="11"/>
        <v>2.7310682514764149</v>
      </c>
      <c r="CA18" s="58">
        <f t="shared" si="12"/>
        <v>3.1820942662779399</v>
      </c>
      <c r="CB18" s="58">
        <f t="shared" si="13"/>
        <v>0.8429556650246306</v>
      </c>
      <c r="CC18" s="67"/>
      <c r="CD18" s="58">
        <f t="shared" si="14"/>
        <v>0</v>
      </c>
      <c r="CE18" s="58">
        <f t="shared" si="15"/>
        <v>0</v>
      </c>
      <c r="CF18" s="58">
        <f t="shared" si="16"/>
        <v>0</v>
      </c>
      <c r="CG18" s="58">
        <f t="shared" si="17"/>
        <v>0</v>
      </c>
      <c r="CH18" s="67"/>
      <c r="CI18" s="68">
        <f t="shared" si="0"/>
        <v>3.1428571428571428</v>
      </c>
      <c r="CJ18" s="69">
        <f t="shared" si="18"/>
        <v>4.824489463673137</v>
      </c>
      <c r="CK18" s="70">
        <f t="shared" si="19"/>
        <v>0.38148573712041345</v>
      </c>
      <c r="CL18" s="71">
        <f t="shared" ref="CL18:CL20" si="28">IF(AB18&lt;6, (AB18/2)*U18/2000, IF(AB18&lt;7, (AB18/2)*(AVERAGE(BT18, BU18, BV18, BW18)/2.5), (AB18/2)*(AVERAGE(BT18, BU18, BV18, BW18)/2.5)+(U18/2000)))</f>
        <v>3.9722040274995942</v>
      </c>
      <c r="CM18" s="72">
        <f>SUM(AM18*4, AP18*2/(AO18+1), AN18*4)/7.5</f>
        <v>4.5333333333333332</v>
      </c>
      <c r="CN18" s="68">
        <f>SUM(AP18*3, AQ18*2, AR18*2, AS18*2, AM18*3)/8</f>
        <v>7.125</v>
      </c>
      <c r="CO18" s="68">
        <f t="shared" si="20"/>
        <v>2.8888888888888893</v>
      </c>
      <c r="CP18" s="67"/>
    </row>
    <row r="19" spans="2:94">
      <c r="B19" s="29">
        <v>61</v>
      </c>
      <c r="C19" s="30" t="s">
        <v>40</v>
      </c>
      <c r="D19" s="128" t="s">
        <v>326</v>
      </c>
      <c r="E19" s="128" t="s">
        <v>389</v>
      </c>
      <c r="F19" s="59">
        <v>9</v>
      </c>
      <c r="G19" s="59">
        <f>21/F19</f>
        <v>2.3333333333333335</v>
      </c>
      <c r="H19" s="59">
        <v>1040</v>
      </c>
      <c r="I19" s="59">
        <f>(2.5-((O19*2.5)/2))</f>
        <v>1.25</v>
      </c>
      <c r="J19" s="59">
        <v>3</v>
      </c>
      <c r="K19" s="59">
        <v>3</v>
      </c>
      <c r="L19" s="59">
        <v>2.5</v>
      </c>
      <c r="M19" s="59">
        <v>1.5</v>
      </c>
      <c r="N19" s="59">
        <v>1</v>
      </c>
      <c r="O19" s="59">
        <f>3 / 3</f>
        <v>1</v>
      </c>
      <c r="P19" s="59">
        <f>1.5-(1.5*(V19/2))</f>
        <v>1.35</v>
      </c>
      <c r="Q19" s="59">
        <v>0</v>
      </c>
      <c r="R19" s="59">
        <v>400</v>
      </c>
      <c r="S19" s="59">
        <v>1200</v>
      </c>
      <c r="T19" s="59">
        <v>800</v>
      </c>
      <c r="U19" s="60">
        <v>400</v>
      </c>
      <c r="V19" s="60">
        <v>0.2</v>
      </c>
      <c r="W19" s="60">
        <v>0</v>
      </c>
      <c r="X19" s="32">
        <f>6200/1400</f>
        <v>4.4285714285714288</v>
      </c>
      <c r="Y19" s="32">
        <v>8</v>
      </c>
      <c r="Z19" s="32">
        <v>0</v>
      </c>
      <c r="AA19" s="32">
        <v>2</v>
      </c>
      <c r="AB19" s="32">
        <v>1</v>
      </c>
      <c r="AC19" s="32">
        <v>0</v>
      </c>
      <c r="AD19" s="32">
        <v>0</v>
      </c>
      <c r="AE19" s="32">
        <v>1</v>
      </c>
      <c r="AF19" s="32">
        <v>7</v>
      </c>
      <c r="AG19" s="32">
        <v>0</v>
      </c>
      <c r="AH19" s="32">
        <v>0</v>
      </c>
      <c r="AI19" s="61">
        <v>0</v>
      </c>
      <c r="AJ19" s="61">
        <v>5</v>
      </c>
      <c r="AK19" s="61">
        <v>0</v>
      </c>
      <c r="AL19" s="62">
        <f>(BK19/5+1)*AK19</f>
        <v>0</v>
      </c>
      <c r="AM19" s="61">
        <v>8</v>
      </c>
      <c r="AN19" s="61">
        <v>7</v>
      </c>
      <c r="AO19" s="61">
        <v>1</v>
      </c>
      <c r="AP19" s="61">
        <v>2</v>
      </c>
      <c r="AQ19" s="61">
        <v>2</v>
      </c>
      <c r="AR19" s="61">
        <v>1</v>
      </c>
      <c r="AS19" s="61">
        <v>8</v>
      </c>
      <c r="AT19" s="61">
        <v>7.5</v>
      </c>
      <c r="AU19" s="61">
        <v>0</v>
      </c>
      <c r="AV19" s="61">
        <f>(3 + 5 + 5 + 7)/4</f>
        <v>5</v>
      </c>
      <c r="AW19" s="61">
        <v>2.5</v>
      </c>
      <c r="AX19" s="61" t="s">
        <v>391</v>
      </c>
      <c r="AY19" s="63">
        <v>0</v>
      </c>
      <c r="AZ19" s="63">
        <v>0</v>
      </c>
      <c r="BA19" s="64">
        <v>0</v>
      </c>
      <c r="BB19" s="63">
        <v>0</v>
      </c>
      <c r="BC19" s="63">
        <v>0</v>
      </c>
      <c r="BD19" s="63">
        <v>0</v>
      </c>
      <c r="BE19" s="63">
        <v>0</v>
      </c>
      <c r="BF19" s="63">
        <v>0</v>
      </c>
      <c r="BG19" s="65">
        <v>4</v>
      </c>
      <c r="BH19" s="63">
        <v>0</v>
      </c>
      <c r="BI19" s="64">
        <v>0</v>
      </c>
      <c r="BJ19" s="64">
        <v>0</v>
      </c>
      <c r="BK19" s="64">
        <v>0</v>
      </c>
      <c r="BL19" s="63">
        <v>0</v>
      </c>
      <c r="BM19" s="63">
        <v>0</v>
      </c>
      <c r="BN19" s="64">
        <v>6</v>
      </c>
      <c r="BO19" s="63">
        <v>0</v>
      </c>
      <c r="BP19" s="66">
        <f t="shared" si="24"/>
        <v>2.7333333333333334</v>
      </c>
      <c r="BQ19" s="58">
        <f t="shared" si="25"/>
        <v>2.9466666666666668</v>
      </c>
      <c r="BR19" s="58">
        <f t="shared" si="26"/>
        <v>3.8285714285714283</v>
      </c>
      <c r="BS19" s="58">
        <f t="shared" si="27"/>
        <v>3.5999999999999992</v>
      </c>
      <c r="BT19" s="58">
        <f t="shared" si="6"/>
        <v>2.4</v>
      </c>
      <c r="BU19" s="58">
        <f t="shared" si="7"/>
        <v>3.1353535353535351</v>
      </c>
      <c r="BV19" s="58">
        <f t="shared" si="8"/>
        <v>3.6615384615384614</v>
      </c>
      <c r="BW19" s="58">
        <f t="shared" si="9"/>
        <v>3.49968253968254</v>
      </c>
      <c r="BX19" s="67"/>
      <c r="BY19" s="58">
        <f t="shared" si="10"/>
        <v>2.1257142857142854</v>
      </c>
      <c r="BZ19" s="58">
        <f t="shared" si="11"/>
        <v>1.9835910121624407</v>
      </c>
      <c r="CA19" s="58">
        <f t="shared" si="12"/>
        <v>2.7025641025641023</v>
      </c>
      <c r="CB19" s="58">
        <f t="shared" si="13"/>
        <v>1.5498594104308392</v>
      </c>
      <c r="CC19" s="67"/>
      <c r="CD19" s="58">
        <f t="shared" si="14"/>
        <v>0</v>
      </c>
      <c r="CE19" s="58">
        <f t="shared" si="15"/>
        <v>0</v>
      </c>
      <c r="CF19" s="58">
        <f t="shared" si="16"/>
        <v>0</v>
      </c>
      <c r="CG19" s="58">
        <f t="shared" si="17"/>
        <v>0</v>
      </c>
      <c r="CH19" s="67"/>
      <c r="CI19" s="68">
        <f t="shared" si="0"/>
        <v>3.1428571428571428</v>
      </c>
      <c r="CJ19" s="69">
        <f t="shared" si="18"/>
        <v>5.1932818739167939</v>
      </c>
      <c r="CK19" s="70">
        <f t="shared" si="19"/>
        <v>0.34840536711965281</v>
      </c>
      <c r="CL19" s="71">
        <f t="shared" si="28"/>
        <v>0.1</v>
      </c>
      <c r="CM19" s="72">
        <f>SUM(AM19*4, AP19*2/(AO19+1), AN19*4)/7.5</f>
        <v>8.2666666666666675</v>
      </c>
      <c r="CN19" s="68">
        <f>SUM(AP19*3, AQ19*2, AR19*2, AS19*2, AM19*3)/8</f>
        <v>6.5</v>
      </c>
      <c r="CO19" s="68">
        <f t="shared" si="20"/>
        <v>1.3333333333333333</v>
      </c>
      <c r="CP19" s="67"/>
    </row>
    <row r="20" spans="2:94">
      <c r="B20" s="4">
        <v>52</v>
      </c>
      <c r="C20" s="11" t="s">
        <v>69</v>
      </c>
      <c r="D20" s="130" t="s">
        <v>362</v>
      </c>
      <c r="E20" s="130" t="s">
        <v>326</v>
      </c>
      <c r="F20" s="59">
        <v>14</v>
      </c>
      <c r="G20" s="59">
        <f>31/F20</f>
        <v>2.2142857142857144</v>
      </c>
      <c r="H20" s="59">
        <v>640</v>
      </c>
      <c r="I20" s="59">
        <f>(3.3-((O20*3.3)/2))</f>
        <v>2.09</v>
      </c>
      <c r="J20" s="59">
        <v>4</v>
      </c>
      <c r="K20" s="59">
        <v>4</v>
      </c>
      <c r="L20" s="59">
        <v>3</v>
      </c>
      <c r="M20" s="59">
        <v>1.5</v>
      </c>
      <c r="N20" s="59">
        <v>0</v>
      </c>
      <c r="O20" s="59">
        <f>2.2 / 3</f>
        <v>0.73333333333333339</v>
      </c>
      <c r="P20" s="59">
        <f>0-(0*(V20/2))</f>
        <v>0</v>
      </c>
      <c r="Q20" s="59">
        <v>0</v>
      </c>
      <c r="R20" s="59">
        <v>0</v>
      </c>
      <c r="S20" s="59">
        <v>0</v>
      </c>
      <c r="T20" s="59">
        <v>0</v>
      </c>
      <c r="U20" s="60">
        <v>0</v>
      </c>
      <c r="V20" s="60">
        <v>0.1</v>
      </c>
      <c r="W20" s="60">
        <v>0</v>
      </c>
      <c r="X20" s="32">
        <f>7000/1400</f>
        <v>5</v>
      </c>
      <c r="Y20" s="32">
        <v>7</v>
      </c>
      <c r="Z20" s="32">
        <f>(6 + 4 + 7)/3</f>
        <v>5.666666666666667</v>
      </c>
      <c r="AA20" s="32">
        <v>3</v>
      </c>
      <c r="AB20" s="32">
        <v>0</v>
      </c>
      <c r="AC20" s="32">
        <v>0</v>
      </c>
      <c r="AD20" s="32">
        <v>0</v>
      </c>
      <c r="AE20" s="32">
        <v>0</v>
      </c>
      <c r="AF20" s="32">
        <v>6</v>
      </c>
      <c r="AG20" s="32">
        <v>0</v>
      </c>
      <c r="AH20" s="32">
        <v>0</v>
      </c>
      <c r="AI20" s="61">
        <v>0</v>
      </c>
      <c r="AJ20" s="61">
        <v>10</v>
      </c>
      <c r="AK20" s="61">
        <v>0</v>
      </c>
      <c r="AL20" s="62">
        <f>(BK20/5+1)*AK20</f>
        <v>0</v>
      </c>
      <c r="AM20" s="61">
        <v>0</v>
      </c>
      <c r="AN20" s="61">
        <v>0</v>
      </c>
      <c r="AO20" s="61">
        <v>0</v>
      </c>
      <c r="AP20" s="61">
        <v>0</v>
      </c>
      <c r="AQ20" s="61">
        <v>0</v>
      </c>
      <c r="AR20" s="61">
        <v>0</v>
      </c>
      <c r="AS20" s="61">
        <v>0</v>
      </c>
      <c r="AT20" s="61">
        <v>0</v>
      </c>
      <c r="AU20" s="61">
        <v>0</v>
      </c>
      <c r="AV20" s="61">
        <v>0</v>
      </c>
      <c r="AW20" s="61">
        <v>0</v>
      </c>
      <c r="AX20" s="61" t="s">
        <v>390</v>
      </c>
      <c r="AY20" s="63">
        <v>0</v>
      </c>
      <c r="AZ20" s="63">
        <v>0</v>
      </c>
      <c r="BA20" s="64">
        <v>0</v>
      </c>
      <c r="BB20" s="63">
        <v>0</v>
      </c>
      <c r="BC20" s="63">
        <v>0</v>
      </c>
      <c r="BD20" s="63">
        <f>(5 + 4)/2</f>
        <v>4.5</v>
      </c>
      <c r="BE20" s="63">
        <v>0</v>
      </c>
      <c r="BF20" s="63">
        <v>0</v>
      </c>
      <c r="BG20" s="65">
        <v>0</v>
      </c>
      <c r="BH20" s="63">
        <v>0</v>
      </c>
      <c r="BI20" s="64">
        <v>0</v>
      </c>
      <c r="BJ20" s="64">
        <v>0</v>
      </c>
      <c r="BK20" s="64">
        <v>0</v>
      </c>
      <c r="BL20" s="63">
        <v>0</v>
      </c>
      <c r="BM20" s="63">
        <v>0</v>
      </c>
      <c r="BN20" s="64">
        <v>6</v>
      </c>
      <c r="BO20" s="63">
        <v>0</v>
      </c>
      <c r="BP20" s="66">
        <f t="shared" si="24"/>
        <v>3.5669333333333331</v>
      </c>
      <c r="BQ20" s="58">
        <f t="shared" si="25"/>
        <v>3.5669333333333331</v>
      </c>
      <c r="BR20" s="58">
        <f t="shared" si="26"/>
        <v>3.5669333333333331</v>
      </c>
      <c r="BS20" s="58">
        <f t="shared" si="27"/>
        <v>3.4678518518518513</v>
      </c>
      <c r="BT20" s="58">
        <f t="shared" si="6"/>
        <v>3.2925538461538459</v>
      </c>
      <c r="BU20" s="58">
        <f t="shared" si="7"/>
        <v>3.3439999999999999</v>
      </c>
      <c r="BV20" s="58">
        <f t="shared" si="8"/>
        <v>2.6751999999999998</v>
      </c>
      <c r="BW20" s="58">
        <f t="shared" si="9"/>
        <v>0</v>
      </c>
      <c r="BX20" s="67"/>
      <c r="BY20" s="58">
        <f t="shared" si="10"/>
        <v>3.2925538461538459</v>
      </c>
      <c r="BZ20" s="58">
        <f t="shared" si="11"/>
        <v>2.3885714285714283</v>
      </c>
      <c r="CA20" s="58">
        <f t="shared" si="12"/>
        <v>2.2293333333333334</v>
      </c>
      <c r="CB20" s="58">
        <f t="shared" si="13"/>
        <v>0</v>
      </c>
      <c r="CC20" s="67"/>
      <c r="CD20" s="58">
        <f t="shared" si="14"/>
        <v>0</v>
      </c>
      <c r="CE20" s="58">
        <f t="shared" si="15"/>
        <v>0</v>
      </c>
      <c r="CF20" s="58">
        <f t="shared" si="16"/>
        <v>0</v>
      </c>
      <c r="CG20" s="58">
        <f t="shared" si="17"/>
        <v>0</v>
      </c>
      <c r="CH20" s="67"/>
      <c r="CI20" s="68">
        <f>SUM(AL20*4, AJ20*2, X20*2, BD20*2)/6</f>
        <v>6.5</v>
      </c>
      <c r="CJ20" s="69">
        <f t="shared" si="18"/>
        <v>6.3097129833129832</v>
      </c>
      <c r="CK20" s="70">
        <f t="shared" si="19"/>
        <v>1.8296024420024419</v>
      </c>
      <c r="CL20" s="71">
        <f t="shared" si="28"/>
        <v>0</v>
      </c>
      <c r="CM20" s="72">
        <f>SUM(AM20*4, AP20*2/(AO20+1), AN20*4)/7.5</f>
        <v>0</v>
      </c>
      <c r="CN20" s="68">
        <f>SUM(AP20*3, AQ20*2, AR20*2, AS20*2, AM20*3)/8</f>
        <v>0</v>
      </c>
      <c r="CO20" s="68">
        <f t="shared" si="20"/>
        <v>2</v>
      </c>
      <c r="CP20" s="67"/>
    </row>
    <row r="21" spans="2:94">
      <c r="C21" t="s">
        <v>393</v>
      </c>
    </row>
    <row r="22" spans="2:94">
      <c r="W22" s="138" t="s">
        <v>394</v>
      </c>
      <c r="X22" s="112" t="s">
        <v>393</v>
      </c>
      <c r="Y22" s="113" t="s">
        <v>393</v>
      </c>
      <c r="Z22" s="107" t="str">
        <f>BI2</f>
        <v>stun_debuffing</v>
      </c>
      <c r="AA22" s="107" t="str">
        <f>BY2</f>
        <v>balance_between_damage_and_durability_in_short_range</v>
      </c>
      <c r="AB22" s="113" t="s">
        <v>393</v>
      </c>
      <c r="AC22" s="107" t="str">
        <f>BV2</f>
        <v>usual_burst_damage_in_long_range</v>
      </c>
      <c r="AD22" s="107" t="str">
        <f>Z2</f>
        <v>retreat_button</v>
      </c>
      <c r="AE22" s="107" t="str">
        <f>AF2</f>
        <v>counter_water_walking</v>
      </c>
      <c r="AF22" s="108" t="str">
        <f xml:space="preserve"> CONCATENATE("! ", AE2)</f>
        <v>! water_walking</v>
      </c>
      <c r="AG22" s="108" t="str">
        <f>AI2</f>
        <v>cover_creation_efficiency</v>
      </c>
      <c r="AH22" s="108" t="str">
        <f>AI2</f>
        <v>cover_creation_efficiency</v>
      </c>
      <c r="AI22" s="107" t="str">
        <f>AG2</f>
        <v>wall_break_efficiency</v>
      </c>
      <c r="AJ22" s="112" t="s">
        <v>393</v>
      </c>
      <c r="AK22" s="112" t="s">
        <v>393</v>
      </c>
      <c r="AL22" s="112" t="s">
        <v>393</v>
      </c>
      <c r="AM22" s="112" t="s">
        <v>393</v>
      </c>
      <c r="AN22" s="113" t="s">
        <v>393</v>
      </c>
      <c r="AO22" s="113" t="s">
        <v>393</v>
      </c>
      <c r="AP22" s="112" t="s">
        <v>393</v>
      </c>
      <c r="AQ22" s="112" t="s">
        <v>393</v>
      </c>
      <c r="AR22" s="112" t="s">
        <v>393</v>
      </c>
      <c r="AS22" s="113" t="s">
        <v>393</v>
      </c>
      <c r="AT22" s="113" t="s">
        <v>393</v>
      </c>
      <c r="AU22" s="113" t="s">
        <v>393</v>
      </c>
      <c r="AV22" s="107" t="s">
        <v>393</v>
      </c>
      <c r="AW22" s="107" t="s">
        <v>393</v>
      </c>
      <c r="AX22" s="107"/>
      <c r="AY22" s="107" t="str">
        <f>AZ2</f>
        <v>counter_heal_buffing</v>
      </c>
      <c r="AZ22" s="108" t="str">
        <f xml:space="preserve"> CONCATENATE("! ", AY2)</f>
        <v>! heal_buffing</v>
      </c>
      <c r="BA22" s="107" t="str">
        <f>BB2</f>
        <v>damage_buffing</v>
      </c>
      <c r="BB22" s="108" t="str">
        <f>BA2</f>
        <v>shield_buffing</v>
      </c>
      <c r="BC22" s="107" t="str">
        <f>AA2</f>
        <v>wide_attack</v>
      </c>
      <c r="BD22" s="107" t="str">
        <f>AA2</f>
        <v>wide_attack</v>
      </c>
      <c r="BE22" s="107" t="str">
        <f>Z2</f>
        <v>retreat_button</v>
      </c>
      <c r="BF22" s="107" t="str">
        <f>BP2</f>
        <v>object_burst_damage_in_short_range</v>
      </c>
      <c r="BG22" s="107" t="str">
        <f>BH2</f>
        <v>counter_poison_debuffing</v>
      </c>
      <c r="BH22" s="108" t="str">
        <f xml:space="preserve"> CONCATENATE("! ", BG2)</f>
        <v>! poison_debuffing</v>
      </c>
      <c r="BI22" s="107" t="str">
        <f>BJ2</f>
        <v>counter_stun_debuffing</v>
      </c>
      <c r="BJ22" s="108" t="str">
        <f xml:space="preserve"> CONCATENATE("! ", BI2)</f>
        <v>! stun_debuffing</v>
      </c>
      <c r="BK22" s="107" t="str">
        <f>BL2</f>
        <v>counter_slowness_debuffing</v>
      </c>
      <c r="BL22" s="108" t="str">
        <f xml:space="preserve"> CONCATENATE("! ", BK2)</f>
        <v>! slowness_debuffing</v>
      </c>
      <c r="BM22" s="107" t="str">
        <f>BN2</f>
        <v>counter_attacks_canceling</v>
      </c>
      <c r="BN22" s="108" t="str">
        <f xml:space="preserve"> CONCATENATE("! ", BM2)</f>
        <v>! attacks_canceling</v>
      </c>
      <c r="BO22" s="107" t="str">
        <f>Z2</f>
        <v>retreat_button</v>
      </c>
      <c r="BP22" s="107" t="str">
        <f>BU2</f>
        <v>usual_burst_damage_in_medium_range</v>
      </c>
      <c r="BQ22" s="107" t="str">
        <f>$CF2</f>
        <v>surprise_attack_power_in_long_range</v>
      </c>
      <c r="BR22" s="107" t="str">
        <f>$CF2</f>
        <v>surprise_attack_power_in_long_range</v>
      </c>
      <c r="BS22" s="107" t="str">
        <f>$CF2</f>
        <v>surprise_attack_power_in_long_range</v>
      </c>
      <c r="BT22" s="107" t="str">
        <f>BU2</f>
        <v>usual_burst_damage_in_medium_range</v>
      </c>
      <c r="BU22" s="107" t="str">
        <f>$CF2</f>
        <v>surprise_attack_power_in_long_range</v>
      </c>
      <c r="BV22" s="107" t="str">
        <f>$CF2</f>
        <v>surprise_attack_power_in_long_range</v>
      </c>
      <c r="BW22" s="107" t="str">
        <f>$CF2</f>
        <v>surprise_attack_power_in_long_range</v>
      </c>
      <c r="BX22" s="107" t="s">
        <v>393</v>
      </c>
      <c r="BY22" s="107" t="str">
        <f>BU2</f>
        <v>usual_burst_damage_in_medium_range</v>
      </c>
      <c r="BZ22" s="107" t="str">
        <f>BV2</f>
        <v>usual_burst_damage_in_long_range</v>
      </c>
      <c r="CA22" s="107" t="str">
        <f>BW2</f>
        <v>usual_burst_damage_in_very_long_range</v>
      </c>
      <c r="CB22" s="108" t="str">
        <f>CI2</f>
        <v>easy_approach</v>
      </c>
      <c r="CC22" s="107" t="s">
        <v>393</v>
      </c>
      <c r="CD22" s="107" t="str">
        <f>$BY2</f>
        <v>balance_between_damage_and_durability_in_short_range</v>
      </c>
      <c r="CE22" s="107" t="str">
        <f t="shared" ref="CE22:CG22" si="29">$BY2</f>
        <v>balance_between_damage_and_durability_in_short_range</v>
      </c>
      <c r="CF22" s="107" t="str">
        <f t="shared" si="29"/>
        <v>balance_between_damage_and_durability_in_short_range</v>
      </c>
      <c r="CG22" s="107" t="str">
        <f t="shared" si="29"/>
        <v>balance_between_damage_and_durability_in_short_range</v>
      </c>
      <c r="CH22" s="107" t="s">
        <v>393</v>
      </c>
      <c r="CI22" s="107" t="str">
        <f>Z2</f>
        <v>retreat_button</v>
      </c>
      <c r="CJ22" s="107" t="str">
        <f>BV2</f>
        <v>usual_burst_damage_in_long_range</v>
      </c>
      <c r="CK22" s="107" t="str">
        <f>BV2</f>
        <v>usual_burst_damage_in_long_range</v>
      </c>
      <c r="CL22" s="107" t="str">
        <f>CD2</f>
        <v>surprise_attack_power_in_short_range</v>
      </c>
      <c r="CM22" s="107" t="str">
        <f>AA2</f>
        <v>wide_attack</v>
      </c>
      <c r="CN22" s="107" t="str">
        <f>CO2</f>
        <v>groupment_punishment</v>
      </c>
      <c r="CO22" s="108" t="str">
        <f xml:space="preserve"> CONCATENATE("! ", CN2)</f>
        <v>! durable_pets_generation</v>
      </c>
      <c r="CP22" s="107" t="s">
        <v>393</v>
      </c>
    </row>
    <row r="23" spans="2:94">
      <c r="W23" s="138"/>
      <c r="X23" s="112" t="s">
        <v>393</v>
      </c>
      <c r="Y23" s="112" t="s">
        <v>393</v>
      </c>
      <c r="Z23" s="108" t="str">
        <f>CONCATENATE("! ", CI2)</f>
        <v>! easy_approach</v>
      </c>
      <c r="AA23" s="107" t="str">
        <f>BZ2</f>
        <v>balance_between_damage_and_durability_in_medium_range</v>
      </c>
      <c r="AB23" s="112" t="s">
        <v>393</v>
      </c>
      <c r="AC23" s="107" t="str">
        <f>BW2</f>
        <v>usual_burst_damage_in_very_long_range</v>
      </c>
      <c r="AD23" s="108" t="s">
        <v>393</v>
      </c>
      <c r="AE23" s="107" t="s">
        <v>393</v>
      </c>
      <c r="AF23" s="107" t="s">
        <v>393</v>
      </c>
      <c r="AG23" s="108" t="str">
        <f xml:space="preserve"> CONCATENATE("! ", CL2)</f>
        <v>! indirect_damage</v>
      </c>
      <c r="AH23" s="107" t="s">
        <v>393</v>
      </c>
      <c r="AI23" s="107" t="str">
        <f>AH2</f>
        <v>grass_break_efficiency</v>
      </c>
      <c r="AJ23" s="112" t="s">
        <v>393</v>
      </c>
      <c r="AK23" s="112" t="s">
        <v>393</v>
      </c>
      <c r="AL23" s="112" t="s">
        <v>393</v>
      </c>
      <c r="AM23" s="112" t="s">
        <v>393</v>
      </c>
      <c r="AN23" s="112" t="s">
        <v>393</v>
      </c>
      <c r="AO23" s="112" t="s">
        <v>393</v>
      </c>
      <c r="AP23" s="112" t="s">
        <v>393</v>
      </c>
      <c r="AQ23" s="112" t="s">
        <v>393</v>
      </c>
      <c r="AR23" s="112" t="s">
        <v>393</v>
      </c>
      <c r="AS23" s="112" t="s">
        <v>393</v>
      </c>
      <c r="AT23" s="112" t="s">
        <v>393</v>
      </c>
      <c r="AU23" s="113" t="s">
        <v>393</v>
      </c>
      <c r="AV23" s="107" t="s">
        <v>393</v>
      </c>
      <c r="AW23" s="107" t="s">
        <v>393</v>
      </c>
      <c r="AX23" s="107"/>
      <c r="AY23" s="107" t="s">
        <v>393</v>
      </c>
      <c r="AZ23" s="107" t="s">
        <v>393</v>
      </c>
      <c r="BA23" s="107" t="s">
        <v>393</v>
      </c>
      <c r="BB23" s="107" t="str">
        <f>BC2</f>
        <v>counter_damage_buffing</v>
      </c>
      <c r="BC23" s="107" t="str">
        <f>Z2</f>
        <v>retreat_button</v>
      </c>
      <c r="BD23" s="107" t="str">
        <f>BY2</f>
        <v>balance_between_damage_and_durability_in_short_range</v>
      </c>
      <c r="BE23" s="107" t="str">
        <f>BY2</f>
        <v>balance_between_damage_and_durability_in_short_range</v>
      </c>
      <c r="BF23" s="107" t="str">
        <f>BQ2</f>
        <v>object_burst_damage_in_medium_range</v>
      </c>
      <c r="BG23" s="107" t="s">
        <v>393</v>
      </c>
      <c r="BH23" s="107" t="s">
        <v>393</v>
      </c>
      <c r="BI23" s="107" t="s">
        <v>393</v>
      </c>
      <c r="BJ23" s="107" t="s">
        <v>393</v>
      </c>
      <c r="BK23" s="107" t="s">
        <v>393</v>
      </c>
      <c r="BL23" s="107" t="s">
        <v>393</v>
      </c>
      <c r="BM23" s="107" t="s">
        <v>393</v>
      </c>
      <c r="BN23" s="107" t="s">
        <v>393</v>
      </c>
      <c r="BO23" s="107" t="s">
        <v>393</v>
      </c>
      <c r="BP23" s="107" t="str">
        <f>BV2</f>
        <v>usual_burst_damage_in_long_range</v>
      </c>
      <c r="BQ23" s="107" t="str">
        <f>$CG2</f>
        <v>surprise_attack_power_in_very_long_range</v>
      </c>
      <c r="BR23" s="107" t="str">
        <f>$CG2</f>
        <v>surprise_attack_power_in_very_long_range</v>
      </c>
      <c r="BS23" s="107" t="str">
        <f>$CG2</f>
        <v>surprise_attack_power_in_very_long_range</v>
      </c>
      <c r="BT23" s="108" t="str">
        <f>BV2</f>
        <v>usual_burst_damage_in_long_range</v>
      </c>
      <c r="BU23" s="107" t="str">
        <f>$CG2</f>
        <v>surprise_attack_power_in_very_long_range</v>
      </c>
      <c r="BV23" s="107" t="str">
        <f>$CG2</f>
        <v>surprise_attack_power_in_very_long_range</v>
      </c>
      <c r="BW23" s="107" t="str">
        <f>$CG2</f>
        <v>surprise_attack_power_in_very_long_range</v>
      </c>
      <c r="BX23" s="107" t="s">
        <v>393</v>
      </c>
      <c r="BY23" s="108" t="str">
        <f>BV2</f>
        <v>usual_burst_damage_in_long_range</v>
      </c>
      <c r="BZ23" s="107" t="str">
        <f>BW2</f>
        <v>usual_burst_damage_in_very_long_range</v>
      </c>
      <c r="CA23" s="107" t="str">
        <f>CF2</f>
        <v>surprise_attack_power_in_long_range</v>
      </c>
      <c r="CB23" s="107" t="str">
        <f>CG2</f>
        <v>surprise_attack_power_in_very_long_range</v>
      </c>
      <c r="CC23" s="107" t="s">
        <v>393</v>
      </c>
      <c r="CD23" s="107" t="str">
        <f>$BU2</f>
        <v>usual_burst_damage_in_medium_range</v>
      </c>
      <c r="CE23" s="107" t="str">
        <f t="shared" ref="CE23:CG23" si="30">$BU2</f>
        <v>usual_burst_damage_in_medium_range</v>
      </c>
      <c r="CF23" s="107" t="str">
        <f t="shared" si="30"/>
        <v>usual_burst_damage_in_medium_range</v>
      </c>
      <c r="CG23" s="107" t="str">
        <f t="shared" si="30"/>
        <v>usual_burst_damage_in_medium_range</v>
      </c>
      <c r="CH23" s="107" t="s">
        <v>393</v>
      </c>
      <c r="CI23" s="107" t="str">
        <f>AA2</f>
        <v>wide_attack</v>
      </c>
      <c r="CJ23" s="107" t="str">
        <f>BW2</f>
        <v>usual_burst_damage_in_very_long_range</v>
      </c>
      <c r="CK23" s="107" t="str">
        <f>BW2</f>
        <v>usual_burst_damage_in_very_long_range</v>
      </c>
      <c r="CL23" s="107" t="str">
        <f>CE2</f>
        <v>surprise_attack_power_in_medium_range</v>
      </c>
      <c r="CM23" s="107" t="str">
        <f>CO2</f>
        <v>groupment_punishment</v>
      </c>
      <c r="CN23" s="107" t="str">
        <f>AA2</f>
        <v>wide_attack</v>
      </c>
      <c r="CO23" s="108" t="str">
        <f xml:space="preserve"> CONCATENATE("! ", CM2)</f>
        <v>! multiple_pets_generation</v>
      </c>
      <c r="CP23" s="107" t="s">
        <v>393</v>
      </c>
    </row>
    <row r="24" spans="2:94">
      <c r="W24" s="138"/>
      <c r="X24" s="112" t="s">
        <v>393</v>
      </c>
      <c r="Y24" s="112" t="s">
        <v>393</v>
      </c>
      <c r="Z24" s="108" t="s">
        <v>393</v>
      </c>
      <c r="AA24" s="107" t="str">
        <f>CA2</f>
        <v>balance_between_damage_and_durability_in_long_range</v>
      </c>
      <c r="AB24" s="112" t="s">
        <v>393</v>
      </c>
      <c r="AC24" s="108" t="str">
        <f>CI2</f>
        <v>easy_approach</v>
      </c>
      <c r="AD24" s="107" t="s">
        <v>393</v>
      </c>
      <c r="AE24" s="107" t="s">
        <v>393</v>
      </c>
      <c r="AF24" s="107" t="s">
        <v>393</v>
      </c>
      <c r="AG24" s="107" t="s">
        <v>393</v>
      </c>
      <c r="AH24" s="107" t="s">
        <v>393</v>
      </c>
      <c r="AI24" s="107" t="s">
        <v>393</v>
      </c>
      <c r="AJ24" s="112" t="s">
        <v>393</v>
      </c>
      <c r="AK24" s="112" t="s">
        <v>393</v>
      </c>
      <c r="AL24" s="112" t="s">
        <v>393</v>
      </c>
      <c r="AM24" s="112" t="s">
        <v>393</v>
      </c>
      <c r="AN24" s="112" t="s">
        <v>393</v>
      </c>
      <c r="AO24" s="112" t="s">
        <v>393</v>
      </c>
      <c r="AP24" s="112" t="s">
        <v>393</v>
      </c>
      <c r="AQ24" s="112" t="s">
        <v>393</v>
      </c>
      <c r="AR24" s="112" t="s">
        <v>393</v>
      </c>
      <c r="AS24" s="112" t="s">
        <v>393</v>
      </c>
      <c r="AT24" s="112" t="s">
        <v>393</v>
      </c>
      <c r="AU24" s="113" t="s">
        <v>393</v>
      </c>
      <c r="AV24" s="107" t="s">
        <v>393</v>
      </c>
      <c r="AW24" s="107" t="s">
        <v>393</v>
      </c>
      <c r="AX24" s="107"/>
      <c r="AY24" s="107" t="s">
        <v>393</v>
      </c>
      <c r="AZ24" s="107" t="s">
        <v>393</v>
      </c>
      <c r="BA24" s="107" t="s">
        <v>393</v>
      </c>
      <c r="BB24" s="107" t="s">
        <v>393</v>
      </c>
      <c r="BC24" s="107" t="str">
        <f>AC2</f>
        <v>area_denial</v>
      </c>
      <c r="BD24" s="107" t="s">
        <v>393</v>
      </c>
      <c r="BE24" s="107" t="s">
        <v>393</v>
      </c>
      <c r="BF24" s="107" t="str">
        <f>BR2</f>
        <v>object_burst_damage_in_long_range</v>
      </c>
      <c r="BG24" s="107" t="s">
        <v>393</v>
      </c>
      <c r="BH24" s="107" t="s">
        <v>393</v>
      </c>
      <c r="BI24" s="107" t="s">
        <v>393</v>
      </c>
      <c r="BJ24" s="107" t="s">
        <v>393</v>
      </c>
      <c r="BK24" s="107" t="s">
        <v>393</v>
      </c>
      <c r="BL24" s="107" t="s">
        <v>393</v>
      </c>
      <c r="BM24" s="107" t="s">
        <v>393</v>
      </c>
      <c r="BN24" s="107" t="s">
        <v>393</v>
      </c>
      <c r="BO24" s="107" t="s">
        <v>393</v>
      </c>
      <c r="BP24" s="107" t="str">
        <f>BW2</f>
        <v>usual_burst_damage_in_very_long_range</v>
      </c>
      <c r="BQ24" s="108" t="str">
        <f>$BV2</f>
        <v>usual_burst_damage_in_long_range</v>
      </c>
      <c r="BR24" s="107" t="str">
        <f>$BW2</f>
        <v>usual_burst_damage_in_very_long_range</v>
      </c>
      <c r="BS24" s="107" t="str">
        <f>$BW2</f>
        <v>usual_burst_damage_in_very_long_range</v>
      </c>
      <c r="BT24" s="107" t="str">
        <f>BW2</f>
        <v>usual_burst_damage_in_very_long_range</v>
      </c>
      <c r="BU24" s="108" t="str">
        <f>$BV2</f>
        <v>usual_burst_damage_in_long_range</v>
      </c>
      <c r="BV24" s="107" t="str">
        <f>$BW2</f>
        <v>usual_burst_damage_in_very_long_range</v>
      </c>
      <c r="BW24" s="107" t="str">
        <f>$BW2</f>
        <v>usual_burst_damage_in_very_long_range</v>
      </c>
      <c r="BX24" s="107" t="s">
        <v>393</v>
      </c>
      <c r="BY24" s="107" t="str">
        <f>BW2</f>
        <v>usual_burst_damage_in_very_long_range</v>
      </c>
      <c r="BZ24" s="107" t="str">
        <f xml:space="preserve"> CONCATENATE("! ", CF2)</f>
        <v>! surprise_attack_power_in_long_range</v>
      </c>
      <c r="CA24" s="108" t="str">
        <f>CG2</f>
        <v>surprise_attack_power_in_very_long_range</v>
      </c>
      <c r="CB24" s="107" t="str">
        <f>CF2</f>
        <v>surprise_attack_power_in_long_range</v>
      </c>
      <c r="CC24" s="107" t="s">
        <v>393</v>
      </c>
      <c r="CD24" s="107" t="str">
        <f>$AD2</f>
        <v>enemy_position_manipulation</v>
      </c>
      <c r="CE24" s="107" t="str">
        <f t="shared" ref="CE24:CG24" si="31">$AD2</f>
        <v>enemy_position_manipulation</v>
      </c>
      <c r="CF24" s="107" t="str">
        <f t="shared" si="31"/>
        <v>enemy_position_manipulation</v>
      </c>
      <c r="CG24" s="107" t="str">
        <f t="shared" si="31"/>
        <v>enemy_position_manipulation</v>
      </c>
      <c r="CH24" s="107" t="s">
        <v>393</v>
      </c>
      <c r="CI24" s="107" t="s">
        <v>393</v>
      </c>
      <c r="CJ24" s="107" t="str">
        <f>BG2</f>
        <v>poison_debuffing</v>
      </c>
      <c r="CK24" s="107" t="str">
        <f>CD2</f>
        <v>surprise_attack_power_in_short_range</v>
      </c>
      <c r="CL24" s="108" t="str">
        <f>CF2</f>
        <v>surprise_attack_power_in_long_range</v>
      </c>
      <c r="CM24" s="107" t="s">
        <v>393</v>
      </c>
      <c r="CN24" s="107"/>
      <c r="CO24" s="107" t="s">
        <v>393</v>
      </c>
      <c r="CP24" s="107" t="s">
        <v>393</v>
      </c>
    </row>
    <row r="25" spans="2:94">
      <c r="W25" s="138"/>
      <c r="X25" s="112" t="s">
        <v>393</v>
      </c>
      <c r="Y25" s="112" t="s">
        <v>393</v>
      </c>
      <c r="Z25" s="107" t="s">
        <v>393</v>
      </c>
      <c r="AA25" s="108" t="str">
        <f>CONCATENATE("! ", CM2)</f>
        <v>! multiple_pets_generation</v>
      </c>
      <c r="AB25" s="112" t="s">
        <v>393</v>
      </c>
      <c r="AC25" s="107" t="s">
        <v>393</v>
      </c>
      <c r="AD25" s="107" t="s">
        <v>393</v>
      </c>
      <c r="AE25" s="107" t="s">
        <v>393</v>
      </c>
      <c r="AF25" s="107" t="s">
        <v>393</v>
      </c>
      <c r="AG25" s="107" t="s">
        <v>393</v>
      </c>
      <c r="AH25" s="107" t="s">
        <v>393</v>
      </c>
      <c r="AI25" s="107" t="s">
        <v>393</v>
      </c>
      <c r="AJ25" s="112" t="s">
        <v>393</v>
      </c>
      <c r="AK25" s="112" t="s">
        <v>393</v>
      </c>
      <c r="AL25" s="112" t="s">
        <v>393</v>
      </c>
      <c r="AM25" s="112" t="s">
        <v>393</v>
      </c>
      <c r="AN25" s="112" t="s">
        <v>393</v>
      </c>
      <c r="AO25" s="112" t="s">
        <v>393</v>
      </c>
      <c r="AP25" s="112" t="s">
        <v>393</v>
      </c>
      <c r="AQ25" s="112" t="s">
        <v>393</v>
      </c>
      <c r="AR25" s="112" t="s">
        <v>393</v>
      </c>
      <c r="AS25" s="112" t="s">
        <v>393</v>
      </c>
      <c r="AT25" s="112" t="s">
        <v>393</v>
      </c>
      <c r="AU25" s="112" t="s">
        <v>393</v>
      </c>
      <c r="AV25" s="107" t="s">
        <v>393</v>
      </c>
      <c r="AW25" s="107" t="s">
        <v>393</v>
      </c>
      <c r="AX25" s="107"/>
      <c r="AY25" s="107" t="s">
        <v>393</v>
      </c>
      <c r="AZ25" s="107" t="s">
        <v>393</v>
      </c>
      <c r="BA25" s="107" t="s">
        <v>393</v>
      </c>
      <c r="BB25" s="107" t="s">
        <v>393</v>
      </c>
      <c r="BC25" s="108" t="str">
        <f xml:space="preserve"> CONCATENATE("! ", BB2)</f>
        <v>! damage_buffing</v>
      </c>
      <c r="BD25" s="107" t="s">
        <v>393</v>
      </c>
      <c r="BE25" s="107" t="s">
        <v>393</v>
      </c>
      <c r="BF25" s="107" t="str">
        <f>BS2</f>
        <v>object_burst_damage_in_very_long_range</v>
      </c>
      <c r="BG25" s="107" t="s">
        <v>393</v>
      </c>
      <c r="BH25" s="107" t="s">
        <v>393</v>
      </c>
      <c r="BI25" s="107" t="s">
        <v>393</v>
      </c>
      <c r="BJ25" s="107" t="s">
        <v>393</v>
      </c>
      <c r="BK25" s="107" t="s">
        <v>393</v>
      </c>
      <c r="BL25" s="107" t="s">
        <v>393</v>
      </c>
      <c r="BM25" s="107" t="s">
        <v>393</v>
      </c>
      <c r="BN25" s="107" t="s">
        <v>393</v>
      </c>
      <c r="BO25" s="107" t="s">
        <v>393</v>
      </c>
      <c r="BP25" s="108" t="str">
        <f>CJ2</f>
        <v>pressure</v>
      </c>
      <c r="BQ25" s="107" t="str">
        <f>$BW2</f>
        <v>usual_burst_damage_in_very_long_range</v>
      </c>
      <c r="BR25" s="108" t="str">
        <f>$CI2</f>
        <v>easy_approach</v>
      </c>
      <c r="BS25" s="108" t="str">
        <f>$CI2</f>
        <v>easy_approach</v>
      </c>
      <c r="BT25" s="107" t="str">
        <f>CJ2</f>
        <v>pressure</v>
      </c>
      <c r="BU25" s="107" t="str">
        <f>$BW2</f>
        <v>usual_burst_damage_in_very_long_range</v>
      </c>
      <c r="BV25" s="108" t="str">
        <f>$CI2</f>
        <v>easy_approach</v>
      </c>
      <c r="BW25" s="108" t="str">
        <f>$CI2</f>
        <v>easy_approach</v>
      </c>
      <c r="BX25" s="107" t="s">
        <v>393</v>
      </c>
      <c r="BY25" s="107" t="str">
        <f>CJ2</f>
        <v>pressure</v>
      </c>
      <c r="BZ25" s="107" t="str">
        <f xml:space="preserve"> CONCATENATE("! ", CG2)</f>
        <v>! surprise_attack_power_in_very_long_range</v>
      </c>
      <c r="CA25" s="108" t="str">
        <f>CI2</f>
        <v>easy_approach</v>
      </c>
      <c r="CB25" s="107" t="s">
        <v>393</v>
      </c>
      <c r="CC25" s="107" t="s">
        <v>393</v>
      </c>
      <c r="CD25" s="107" t="str">
        <f>$BO2</f>
        <v>block_enemies</v>
      </c>
      <c r="CE25" s="107" t="str">
        <f t="shared" ref="CE25:CG25" si="32">$BO2</f>
        <v>block_enemies</v>
      </c>
      <c r="CF25" s="107" t="str">
        <f t="shared" si="32"/>
        <v>block_enemies</v>
      </c>
      <c r="CG25" s="107" t="str">
        <f t="shared" si="32"/>
        <v>block_enemies</v>
      </c>
      <c r="CH25" s="107" t="s">
        <v>393</v>
      </c>
      <c r="CI25" s="107" t="s">
        <v>393</v>
      </c>
      <c r="CJ25" s="107" t="str">
        <f>BI2</f>
        <v>stun_debuffing</v>
      </c>
      <c r="CK25" s="107" t="str">
        <f>CE2</f>
        <v>surprise_attack_power_in_medium_range</v>
      </c>
      <c r="CL25" s="107" t="str">
        <f>CG2</f>
        <v>surprise_attack_power_in_very_long_range</v>
      </c>
      <c r="CM25" s="107" t="s">
        <v>393</v>
      </c>
      <c r="CN25" s="107"/>
      <c r="CO25" s="107" t="s">
        <v>393</v>
      </c>
      <c r="CP25" s="107" t="s">
        <v>393</v>
      </c>
    </row>
    <row r="26" spans="2:94">
      <c r="W26" s="138"/>
      <c r="X26" s="112" t="s">
        <v>393</v>
      </c>
      <c r="Y26" s="112" t="s">
        <v>393</v>
      </c>
      <c r="Z26" s="107" t="s">
        <v>393</v>
      </c>
      <c r="AA26" s="108" t="str">
        <f>CONCATENATE("! ", CN2)</f>
        <v>! durable_pets_generation</v>
      </c>
      <c r="AB26" s="112" t="s">
        <v>393</v>
      </c>
      <c r="AC26" s="107" t="s">
        <v>393</v>
      </c>
      <c r="AD26" s="107" t="s">
        <v>393</v>
      </c>
      <c r="AE26" s="107" t="s">
        <v>393</v>
      </c>
      <c r="AF26" s="107" t="s">
        <v>393</v>
      </c>
      <c r="AG26" s="107" t="s">
        <v>393</v>
      </c>
      <c r="AH26" s="107" t="s">
        <v>393</v>
      </c>
      <c r="AI26" s="107" t="s">
        <v>393</v>
      </c>
      <c r="AJ26" s="112" t="s">
        <v>393</v>
      </c>
      <c r="AK26" s="112" t="s">
        <v>393</v>
      </c>
      <c r="AL26" s="112" t="s">
        <v>393</v>
      </c>
      <c r="AM26" s="112" t="s">
        <v>393</v>
      </c>
      <c r="AN26" s="112" t="s">
        <v>393</v>
      </c>
      <c r="AO26" s="112" t="s">
        <v>393</v>
      </c>
      <c r="AP26" s="112" t="s">
        <v>393</v>
      </c>
      <c r="AQ26" s="112" t="s">
        <v>393</v>
      </c>
      <c r="AR26" s="112" t="s">
        <v>393</v>
      </c>
      <c r="AS26" s="112" t="s">
        <v>393</v>
      </c>
      <c r="AT26" s="112" t="s">
        <v>393</v>
      </c>
      <c r="AU26" s="112" t="s">
        <v>393</v>
      </c>
      <c r="AV26" s="107" t="s">
        <v>393</v>
      </c>
      <c r="AW26" s="107" t="s">
        <v>393</v>
      </c>
      <c r="AX26" s="107"/>
      <c r="AY26" s="107" t="s">
        <v>393</v>
      </c>
      <c r="AZ26" s="107" t="s">
        <v>393</v>
      </c>
      <c r="BA26" s="107" t="s">
        <v>393</v>
      </c>
      <c r="BB26" s="107" t="s">
        <v>393</v>
      </c>
      <c r="BC26" s="107" t="s">
        <v>393</v>
      </c>
      <c r="BD26" s="107" t="s">
        <v>393</v>
      </c>
      <c r="BE26" s="107" t="s">
        <v>393</v>
      </c>
      <c r="BF26" s="107" t="s">
        <v>393</v>
      </c>
      <c r="BG26" s="107" t="s">
        <v>393</v>
      </c>
      <c r="BH26" s="107" t="s">
        <v>393</v>
      </c>
      <c r="BI26" s="107" t="s">
        <v>393</v>
      </c>
      <c r="BJ26" s="107" t="s">
        <v>393</v>
      </c>
      <c r="BK26" s="107" t="s">
        <v>393</v>
      </c>
      <c r="BL26" s="107" t="s">
        <v>393</v>
      </c>
      <c r="BM26" s="107" t="s">
        <v>393</v>
      </c>
      <c r="BN26" s="107" t="s">
        <v>393</v>
      </c>
      <c r="BO26" s="107" t="s">
        <v>393</v>
      </c>
      <c r="BP26" s="107" t="str">
        <f>AD2</f>
        <v>enemy_position_manipulation</v>
      </c>
      <c r="BQ26" s="107" t="str">
        <f>$CJ2</f>
        <v>pressure</v>
      </c>
      <c r="BR26" s="107" t="str">
        <f>$AD2</f>
        <v>enemy_position_manipulation</v>
      </c>
      <c r="BS26" s="107" t="s">
        <v>393</v>
      </c>
      <c r="BT26" s="107" t="str">
        <f>BO2</f>
        <v>block_enemies</v>
      </c>
      <c r="BU26" s="107" t="str">
        <f>$CJ2</f>
        <v>pressure</v>
      </c>
      <c r="BV26" s="107" t="s">
        <v>393</v>
      </c>
      <c r="BW26" s="107" t="s">
        <v>393</v>
      </c>
      <c r="BX26" s="107" t="s">
        <v>393</v>
      </c>
      <c r="BY26" s="108" t="str">
        <f xml:space="preserve"> CONCATENATE("! ", CE2)</f>
        <v>! surprise_attack_power_in_medium_range</v>
      </c>
      <c r="BZ26" s="107" t="s">
        <v>393</v>
      </c>
      <c r="CA26" s="107" t="s">
        <v>393</v>
      </c>
      <c r="CB26" s="107" t="s">
        <v>393</v>
      </c>
      <c r="CC26" s="107" t="s">
        <v>393</v>
      </c>
      <c r="CD26" s="107" t="str">
        <f>$Z2</f>
        <v>retreat_button</v>
      </c>
      <c r="CE26" s="107" t="str">
        <f t="shared" ref="CE26:CG26" si="33">$Z2</f>
        <v>retreat_button</v>
      </c>
      <c r="CF26" s="107" t="str">
        <f t="shared" si="33"/>
        <v>retreat_button</v>
      </c>
      <c r="CG26" s="107" t="str">
        <f t="shared" si="33"/>
        <v>retreat_button</v>
      </c>
      <c r="CH26" s="107" t="s">
        <v>393</v>
      </c>
      <c r="CI26" s="107" t="s">
        <v>393</v>
      </c>
      <c r="CJ26" s="107" t="str">
        <f>BK2</f>
        <v>slowness_debuffing</v>
      </c>
      <c r="CK26" s="107" t="str">
        <f>CF2</f>
        <v>surprise_attack_power_in_long_range</v>
      </c>
      <c r="CL26" s="108" t="str">
        <f>CI2</f>
        <v>easy_approach</v>
      </c>
      <c r="CM26" s="107" t="s">
        <v>393</v>
      </c>
      <c r="CN26" s="107" t="s">
        <v>393</v>
      </c>
      <c r="CO26" s="107" t="s">
        <v>393</v>
      </c>
      <c r="CP26" s="107" t="s">
        <v>393</v>
      </c>
    </row>
    <row r="27" spans="2:94">
      <c r="W27" s="138"/>
      <c r="X27" s="112" t="s">
        <v>393</v>
      </c>
      <c r="Y27" s="112" t="s">
        <v>393</v>
      </c>
      <c r="Z27" s="107" t="s">
        <v>393</v>
      </c>
      <c r="AA27" s="108" t="str">
        <f>CONCATENATE("! ", CI2)</f>
        <v>! easy_approach</v>
      </c>
      <c r="AB27" s="112" t="s">
        <v>393</v>
      </c>
      <c r="AC27" s="107" t="s">
        <v>393</v>
      </c>
      <c r="AD27" s="107" t="s">
        <v>393</v>
      </c>
      <c r="AE27" s="107" t="s">
        <v>393</v>
      </c>
      <c r="AF27" s="107" t="s">
        <v>393</v>
      </c>
      <c r="AG27" s="107" t="s">
        <v>393</v>
      </c>
      <c r="AH27" s="107" t="s">
        <v>393</v>
      </c>
      <c r="AI27" s="107" t="s">
        <v>393</v>
      </c>
      <c r="AJ27" s="112" t="s">
        <v>393</v>
      </c>
      <c r="AK27" s="112" t="s">
        <v>393</v>
      </c>
      <c r="AL27" s="112" t="s">
        <v>393</v>
      </c>
      <c r="AM27" s="112" t="s">
        <v>393</v>
      </c>
      <c r="AN27" s="112" t="s">
        <v>393</v>
      </c>
      <c r="AO27" s="112" t="s">
        <v>393</v>
      </c>
      <c r="AP27" s="112" t="s">
        <v>393</v>
      </c>
      <c r="AQ27" s="112" t="s">
        <v>393</v>
      </c>
      <c r="AR27" s="112" t="s">
        <v>393</v>
      </c>
      <c r="AS27" s="112" t="s">
        <v>393</v>
      </c>
      <c r="AT27" s="112" t="s">
        <v>393</v>
      </c>
      <c r="AU27" s="112" t="s">
        <v>393</v>
      </c>
      <c r="AV27" s="107" t="s">
        <v>393</v>
      </c>
      <c r="AW27" s="107" t="s">
        <v>393</v>
      </c>
      <c r="AX27" s="107"/>
      <c r="AY27" s="107" t="s">
        <v>393</v>
      </c>
      <c r="AZ27" s="107" t="s">
        <v>393</v>
      </c>
      <c r="BA27" s="107" t="s">
        <v>393</v>
      </c>
      <c r="BB27" s="107" t="s">
        <v>393</v>
      </c>
      <c r="BC27" s="107" t="s">
        <v>393</v>
      </c>
      <c r="BD27" s="107" t="s">
        <v>393</v>
      </c>
      <c r="BE27" s="107" t="s">
        <v>393</v>
      </c>
      <c r="BF27" s="107" t="s">
        <v>393</v>
      </c>
      <c r="BG27" s="107" t="s">
        <v>393</v>
      </c>
      <c r="BH27" s="107" t="s">
        <v>393</v>
      </c>
      <c r="BI27" s="107" t="s">
        <v>393</v>
      </c>
      <c r="BJ27" s="107" t="s">
        <v>393</v>
      </c>
      <c r="BK27" s="107" t="s">
        <v>393</v>
      </c>
      <c r="BL27" s="107" t="s">
        <v>393</v>
      </c>
      <c r="BM27" s="107" t="s">
        <v>393</v>
      </c>
      <c r="BN27" s="107" t="s">
        <v>393</v>
      </c>
      <c r="BO27" s="107" t="s">
        <v>393</v>
      </c>
      <c r="BP27" s="107" t="str">
        <f>BO2</f>
        <v>block_enemies</v>
      </c>
      <c r="BQ27" s="107" t="str">
        <f>$BO2</f>
        <v>block_enemies</v>
      </c>
      <c r="BR27" s="107" t="s">
        <v>393</v>
      </c>
      <c r="BS27" s="107" t="s">
        <v>393</v>
      </c>
      <c r="BT27" s="107" t="s">
        <v>393</v>
      </c>
      <c r="BU27" s="107" t="str">
        <f>$BO2</f>
        <v>block_enemies</v>
      </c>
      <c r="BV27" s="107" t="s">
        <v>393</v>
      </c>
      <c r="BW27" s="107" t="s">
        <v>393</v>
      </c>
      <c r="BX27" s="107" t="s">
        <v>393</v>
      </c>
      <c r="BY27" s="108" t="str">
        <f xml:space="preserve"> CONCATENATE("! ", CF2)</f>
        <v>! surprise_attack_power_in_long_range</v>
      </c>
      <c r="BZ27" s="107" t="s">
        <v>393</v>
      </c>
      <c r="CA27" s="107" t="s">
        <v>393</v>
      </c>
      <c r="CB27" s="107" t="s">
        <v>393</v>
      </c>
      <c r="CC27" s="107" t="s">
        <v>393</v>
      </c>
      <c r="CD27" s="107" t="str">
        <f>$BI2</f>
        <v>stun_debuffing</v>
      </c>
      <c r="CE27" s="107" t="str">
        <f t="shared" ref="CE27:CG27" si="34">$BI2</f>
        <v>stun_debuffing</v>
      </c>
      <c r="CF27" s="107" t="str">
        <f t="shared" si="34"/>
        <v>stun_debuffing</v>
      </c>
      <c r="CG27" s="107" t="str">
        <f t="shared" si="34"/>
        <v>stun_debuffing</v>
      </c>
      <c r="CH27" s="107" t="s">
        <v>393</v>
      </c>
      <c r="CI27" s="107" t="s">
        <v>393</v>
      </c>
      <c r="CJ27" s="107" t="s">
        <v>393</v>
      </c>
      <c r="CK27" s="107" t="str">
        <f>CG2</f>
        <v>surprise_attack_power_in_very_long_range</v>
      </c>
      <c r="CL27" s="107" t="str">
        <f>AG2</f>
        <v>wall_break_efficiency</v>
      </c>
      <c r="CM27" s="107" t="s">
        <v>393</v>
      </c>
      <c r="CN27" s="107" t="s">
        <v>393</v>
      </c>
      <c r="CO27" s="107" t="s">
        <v>393</v>
      </c>
      <c r="CP27" s="107" t="s">
        <v>393</v>
      </c>
    </row>
    <row r="28" spans="2:94">
      <c r="W28" s="138"/>
      <c r="X28" s="112" t="s">
        <v>393</v>
      </c>
      <c r="Y28" s="112" t="s">
        <v>393</v>
      </c>
      <c r="Z28" s="107" t="s">
        <v>393</v>
      </c>
      <c r="AA28" s="108" t="s">
        <v>393</v>
      </c>
      <c r="AB28" s="112" t="s">
        <v>393</v>
      </c>
      <c r="AC28" s="107" t="s">
        <v>393</v>
      </c>
      <c r="AD28" s="107" t="s">
        <v>393</v>
      </c>
      <c r="AE28" s="107" t="s">
        <v>393</v>
      </c>
      <c r="AF28" s="107" t="s">
        <v>393</v>
      </c>
      <c r="AG28" s="107" t="s">
        <v>393</v>
      </c>
      <c r="AH28" s="107" t="s">
        <v>393</v>
      </c>
      <c r="AI28" s="107" t="s">
        <v>393</v>
      </c>
      <c r="AJ28" s="112" t="s">
        <v>393</v>
      </c>
      <c r="AK28" s="112" t="s">
        <v>393</v>
      </c>
      <c r="AL28" s="112" t="s">
        <v>393</v>
      </c>
      <c r="AM28" s="112" t="s">
        <v>393</v>
      </c>
      <c r="AN28" s="112" t="s">
        <v>393</v>
      </c>
      <c r="AO28" s="112" t="s">
        <v>393</v>
      </c>
      <c r="AP28" s="112" t="s">
        <v>393</v>
      </c>
      <c r="AQ28" s="112" t="s">
        <v>393</v>
      </c>
      <c r="AR28" s="112" t="s">
        <v>393</v>
      </c>
      <c r="AS28" s="112" t="s">
        <v>393</v>
      </c>
      <c r="AT28" s="112" t="s">
        <v>393</v>
      </c>
      <c r="AU28" s="112" t="s">
        <v>393</v>
      </c>
      <c r="AV28" s="107" t="s">
        <v>393</v>
      </c>
      <c r="AW28" s="107" t="s">
        <v>393</v>
      </c>
      <c r="AX28" s="107"/>
      <c r="AY28" s="107" t="s">
        <v>393</v>
      </c>
      <c r="AZ28" s="107" t="s">
        <v>393</v>
      </c>
      <c r="BA28" s="107" t="s">
        <v>393</v>
      </c>
      <c r="BB28" s="107" t="s">
        <v>393</v>
      </c>
      <c r="BC28" s="107" t="s">
        <v>393</v>
      </c>
      <c r="BD28" s="107" t="s">
        <v>393</v>
      </c>
      <c r="BE28" s="107" t="s">
        <v>393</v>
      </c>
      <c r="BF28" s="107" t="s">
        <v>393</v>
      </c>
      <c r="BG28" s="107" t="s">
        <v>393</v>
      </c>
      <c r="BH28" s="107" t="s">
        <v>393</v>
      </c>
      <c r="BI28" s="107" t="s">
        <v>393</v>
      </c>
      <c r="BJ28" s="107" t="s">
        <v>393</v>
      </c>
      <c r="BK28" s="107" t="s">
        <v>393</v>
      </c>
      <c r="BL28" s="107" t="s">
        <v>393</v>
      </c>
      <c r="BM28" s="107" t="s">
        <v>393</v>
      </c>
      <c r="BN28" s="107" t="s">
        <v>393</v>
      </c>
      <c r="BO28" s="107" t="s">
        <v>393</v>
      </c>
      <c r="BP28" s="107" t="s">
        <v>393</v>
      </c>
      <c r="BQ28" s="107" t="str">
        <f>$AD2</f>
        <v>enemy_position_manipulation</v>
      </c>
      <c r="BR28" s="107" t="s">
        <v>393</v>
      </c>
      <c r="BS28" s="107" t="s">
        <v>393</v>
      </c>
      <c r="BT28" s="107" t="s">
        <v>393</v>
      </c>
      <c r="BU28" s="107" t="s">
        <v>393</v>
      </c>
      <c r="BV28" s="107" t="s">
        <v>393</v>
      </c>
      <c r="BW28" s="107" t="s">
        <v>393</v>
      </c>
      <c r="BX28" s="107" t="s">
        <v>393</v>
      </c>
      <c r="BY28" s="108" t="str">
        <f xml:space="preserve"> CONCATENATE("! ", CG2)</f>
        <v>! surprise_attack_power_in_very_long_range</v>
      </c>
      <c r="BZ28" s="107" t="s">
        <v>393</v>
      </c>
      <c r="CA28" s="107" t="s">
        <v>393</v>
      </c>
      <c r="CB28" s="107" t="s">
        <v>393</v>
      </c>
      <c r="CC28" s="107" t="s">
        <v>393</v>
      </c>
      <c r="CD28" s="107" t="s">
        <v>393</v>
      </c>
      <c r="CE28" s="107" t="s">
        <v>393</v>
      </c>
      <c r="CF28" s="107" t="s">
        <v>393</v>
      </c>
      <c r="CG28" s="107" t="s">
        <v>393</v>
      </c>
      <c r="CH28" s="107" t="s">
        <v>393</v>
      </c>
      <c r="CI28" s="107" t="s">
        <v>393</v>
      </c>
      <c r="CJ28" s="107" t="s">
        <v>393</v>
      </c>
      <c r="CK28" s="107" t="s">
        <v>393</v>
      </c>
      <c r="CL28" s="107" t="s">
        <v>393</v>
      </c>
      <c r="CM28" s="107" t="s">
        <v>393</v>
      </c>
      <c r="CN28" s="107" t="s">
        <v>393</v>
      </c>
      <c r="CO28" s="107" t="s">
        <v>393</v>
      </c>
      <c r="CP28" s="107" t="s">
        <v>393</v>
      </c>
    </row>
    <row r="30" spans="2:94">
      <c r="W30" s="139" t="s">
        <v>395</v>
      </c>
      <c r="X30" s="114" t="s">
        <v>393</v>
      </c>
      <c r="Y30" s="112" t="s">
        <v>393</v>
      </c>
      <c r="Z30" s="109" t="str">
        <f>AV2</f>
        <v>grass_vision</v>
      </c>
      <c r="AA30" s="109" t="str">
        <f>AD2</f>
        <v>enemy_position_manipulation</v>
      </c>
      <c r="AB30" s="112" t="s">
        <v>393</v>
      </c>
      <c r="AC30" s="109" t="str">
        <f>AD2</f>
        <v>enemy_position_manipulation</v>
      </c>
      <c r="AD30" s="109" t="str">
        <f>AC2</f>
        <v>area_denial</v>
      </c>
      <c r="AE30" s="109" t="s">
        <v>393</v>
      </c>
      <c r="AF30" s="109" t="s">
        <v>393</v>
      </c>
      <c r="AG30" s="109" t="str">
        <f>Y2</f>
        <v>_attack_distance</v>
      </c>
      <c r="AH30" s="109" t="str">
        <f>Y2</f>
        <v>_attack_distance</v>
      </c>
      <c r="AI30" s="109" t="str">
        <f>CL2</f>
        <v>indirect_damage</v>
      </c>
      <c r="AJ30" s="112" t="s">
        <v>393</v>
      </c>
      <c r="AK30" s="112" t="s">
        <v>393</v>
      </c>
      <c r="AL30" s="112" t="s">
        <v>393</v>
      </c>
      <c r="AM30" s="112" t="s">
        <v>393</v>
      </c>
      <c r="AN30" s="112" t="s">
        <v>393</v>
      </c>
      <c r="AO30" s="112" t="s">
        <v>393</v>
      </c>
      <c r="AP30" s="112" t="s">
        <v>393</v>
      </c>
      <c r="AQ30" s="112" t="s">
        <v>393</v>
      </c>
      <c r="AR30" s="112" t="s">
        <v>393</v>
      </c>
      <c r="AS30" s="112" t="s">
        <v>393</v>
      </c>
      <c r="AT30" s="112" t="s">
        <v>393</v>
      </c>
      <c r="AU30" s="112" t="s">
        <v>393</v>
      </c>
      <c r="AV30" s="109" t="str">
        <f>BP2</f>
        <v>object_burst_damage_in_short_range</v>
      </c>
      <c r="AW30" s="109" t="s">
        <v>393</v>
      </c>
      <c r="AX30" s="109"/>
      <c r="AY30" s="109" t="str">
        <f>X2</f>
        <v>_durability</v>
      </c>
      <c r="AZ30" s="109" t="str">
        <f>BT2</f>
        <v>usual_burst_damage_in_short_range</v>
      </c>
      <c r="BA30" s="109" t="str">
        <f>BW2</f>
        <v>usual_burst_damage_in_very_long_range</v>
      </c>
      <c r="BB30" s="109" t="str">
        <f>X2</f>
        <v>_durability</v>
      </c>
      <c r="BC30" s="109" t="str">
        <f>CJ2</f>
        <v>pressure</v>
      </c>
      <c r="BD30" s="109" t="str">
        <f>AL2</f>
        <v>_surprise_attack</v>
      </c>
      <c r="BE30" s="109" t="str">
        <f>AL2</f>
        <v>_surprise_attack</v>
      </c>
      <c r="BF30" s="109" t="str">
        <f>BP2</f>
        <v>object_burst_damage_in_short_range</v>
      </c>
      <c r="BG30" s="109" t="str">
        <f>CJ2</f>
        <v>pressure</v>
      </c>
      <c r="BH30" s="109" t="str">
        <f xml:space="preserve"> CONCATENATE("! ", BG2)</f>
        <v>! poison_debuffing</v>
      </c>
      <c r="BI30" s="109" t="str">
        <f>CL2</f>
        <v>indirect_damage</v>
      </c>
      <c r="BJ30" s="109" t="str">
        <f t="shared" ref="BJ30:BN30" si="35" xml:space="preserve"> CONCATENATE("! ", BI2)</f>
        <v>! stun_debuffing</v>
      </c>
      <c r="BK30" s="109" t="str">
        <f>AL2</f>
        <v>_surprise_attack</v>
      </c>
      <c r="BL30" s="109" t="str">
        <f t="shared" si="35"/>
        <v>! slowness_debuffing</v>
      </c>
      <c r="BM30" s="109" t="str">
        <f xml:space="preserve"> CONCATENATE("! ", BN2)</f>
        <v>! counter_attacks_canceling</v>
      </c>
      <c r="BN30" s="109" t="str">
        <f t="shared" si="35"/>
        <v>! attacks_canceling</v>
      </c>
      <c r="BO30" s="109" t="str">
        <f>AV2</f>
        <v>grass_vision</v>
      </c>
      <c r="BP30" s="109" t="str">
        <f>Y2</f>
        <v>_attack_distance</v>
      </c>
      <c r="BQ30" s="109" t="str">
        <f>BY2</f>
        <v>balance_between_damage_and_durability_in_short_range</v>
      </c>
      <c r="BR30" s="109" t="str">
        <f>BY2</f>
        <v>balance_between_damage_and_durability_in_short_range</v>
      </c>
      <c r="BS30" s="109" t="str">
        <f>CJ2</f>
        <v>pressure</v>
      </c>
      <c r="BT30" s="109" t="str">
        <f>Y2</f>
        <v>_attack_distance</v>
      </c>
      <c r="BU30" s="109" t="str">
        <f>BY2</f>
        <v>balance_between_damage_and_durability_in_short_range</v>
      </c>
      <c r="BV30" s="109" t="str">
        <f>BY2</f>
        <v>balance_between_damage_and_durability_in_short_range</v>
      </c>
      <c r="BW30" s="109" t="str">
        <f>CJ2</f>
        <v>pressure</v>
      </c>
      <c r="BX30" s="109" t="s">
        <v>393</v>
      </c>
      <c r="BY30" s="109" t="str">
        <f>Y2</f>
        <v>_attack_distance</v>
      </c>
      <c r="BZ30" s="109" t="str">
        <f>BY2</f>
        <v>balance_between_damage_and_durability_in_short_range</v>
      </c>
      <c r="CA30" s="109" t="str">
        <f>BY2</f>
        <v>balance_between_damage_and_durability_in_short_range</v>
      </c>
      <c r="CB30" s="109" t="str">
        <f>CJ2</f>
        <v>pressure</v>
      </c>
      <c r="CC30" s="109" t="s">
        <v>393</v>
      </c>
      <c r="CD30" s="109" t="str">
        <f>BY2</f>
        <v>balance_between_damage_and_durability_in_short_range</v>
      </c>
      <c r="CE30" s="109" t="str">
        <f>BY2</f>
        <v>balance_between_damage_and_durability_in_short_range</v>
      </c>
      <c r="CF30" s="109" t="str">
        <f>BY2</f>
        <v>balance_between_damage_and_durability_in_short_range</v>
      </c>
      <c r="CG30" s="109" t="str">
        <f>BY2</f>
        <v>balance_between_damage_and_durability_in_short_range</v>
      </c>
      <c r="CH30" s="109" t="s">
        <v>393</v>
      </c>
      <c r="CI30" s="109" t="str">
        <f>BK2</f>
        <v>slowness_debuffing</v>
      </c>
      <c r="CJ30" s="109" t="str">
        <f>Y2</f>
        <v>_attack_distance</v>
      </c>
      <c r="CK30" s="109" t="str">
        <f>Y2</f>
        <v>_attack_distance</v>
      </c>
      <c r="CL30" s="109" t="str">
        <f>X2</f>
        <v>_durability</v>
      </c>
      <c r="CM30" s="109" t="str">
        <f>AL2</f>
        <v>_surprise_attack</v>
      </c>
      <c r="CN30" s="110" t="str">
        <f>CJ2</f>
        <v>pressure</v>
      </c>
      <c r="CO30" s="109" t="str">
        <f>AD2</f>
        <v>enemy_position_manipulation</v>
      </c>
      <c r="CP30" s="109" t="s">
        <v>393</v>
      </c>
    </row>
    <row r="31" spans="2:94">
      <c r="W31" s="139"/>
      <c r="X31" s="114" t="s">
        <v>393</v>
      </c>
      <c r="Y31" s="112" t="s">
        <v>393</v>
      </c>
      <c r="Z31" s="109" t="s">
        <v>393</v>
      </c>
      <c r="AA31" s="109" t="str">
        <f>BA2</f>
        <v>shield_buffing</v>
      </c>
      <c r="AB31" s="112" t="s">
        <v>393</v>
      </c>
      <c r="AC31" s="109" t="str">
        <f>BI2</f>
        <v>stun_debuffing</v>
      </c>
      <c r="AD31" s="109" t="str">
        <f>AA2</f>
        <v>wide_attack</v>
      </c>
      <c r="AE31" s="109" t="s">
        <v>393</v>
      </c>
      <c r="AF31" s="109" t="s">
        <v>393</v>
      </c>
      <c r="AG31" s="109" t="str">
        <f>BC2</f>
        <v>counter_damage_buffing</v>
      </c>
      <c r="AH31" s="109" t="str">
        <f>BC2</f>
        <v>counter_damage_buffing</v>
      </c>
      <c r="AI31" s="109" t="str">
        <f>BY2</f>
        <v>balance_between_damage_and_durability_in_short_range</v>
      </c>
      <c r="AJ31" s="112" t="s">
        <v>393</v>
      </c>
      <c r="AK31" s="112" t="s">
        <v>393</v>
      </c>
      <c r="AL31" s="112" t="s">
        <v>393</v>
      </c>
      <c r="AM31" s="112" t="s">
        <v>393</v>
      </c>
      <c r="AN31" s="112" t="s">
        <v>393</v>
      </c>
      <c r="AO31" s="112" t="s">
        <v>393</v>
      </c>
      <c r="AP31" s="112" t="s">
        <v>393</v>
      </c>
      <c r="AQ31" s="112" t="s">
        <v>393</v>
      </c>
      <c r="AR31" s="112" t="s">
        <v>393</v>
      </c>
      <c r="AS31" s="112" t="s">
        <v>393</v>
      </c>
      <c r="AT31" s="112" t="s">
        <v>393</v>
      </c>
      <c r="AU31" s="112" t="s">
        <v>393</v>
      </c>
      <c r="AV31" s="109" t="str">
        <f>BQ2</f>
        <v>object_burst_damage_in_medium_range</v>
      </c>
      <c r="AW31" s="109" t="s">
        <v>393</v>
      </c>
      <c r="AX31" s="109"/>
      <c r="AY31" s="109" t="str">
        <f>Y2</f>
        <v>_attack_distance</v>
      </c>
      <c r="AZ31" s="109" t="str">
        <f>BU2</f>
        <v>usual_burst_damage_in_medium_range</v>
      </c>
      <c r="BA31" s="109" t="str">
        <f>BV2</f>
        <v>usual_burst_damage_in_long_range</v>
      </c>
      <c r="BB31" s="109" t="str">
        <f>CJ2</f>
        <v>pressure</v>
      </c>
      <c r="BC31" s="109" t="str">
        <f>X2</f>
        <v>_durability</v>
      </c>
      <c r="BD31" s="109" t="str">
        <f>BP2</f>
        <v>object_burst_damage_in_short_range</v>
      </c>
      <c r="BE31" s="111" t="str">
        <f>CI2</f>
        <v>easy_approach</v>
      </c>
      <c r="BF31" s="109" t="str">
        <f>BQ2</f>
        <v>object_burst_damage_in_medium_range</v>
      </c>
      <c r="BG31" s="109" t="str">
        <f>AL2</f>
        <v>_surprise_attack</v>
      </c>
      <c r="BH31" s="109" t="s">
        <v>393</v>
      </c>
      <c r="BI31" s="109" t="str">
        <f>BS2</f>
        <v>object_burst_damage_in_very_long_range</v>
      </c>
      <c r="BJ31" s="109" t="s">
        <v>393</v>
      </c>
      <c r="BK31" s="109" t="str">
        <f>BS2</f>
        <v>object_burst_damage_in_very_long_range</v>
      </c>
      <c r="BL31" s="109" t="s">
        <v>393</v>
      </c>
      <c r="BM31" s="109" t="s">
        <v>393</v>
      </c>
      <c r="BN31" s="109" t="s">
        <v>393</v>
      </c>
      <c r="BO31" s="109" t="s">
        <v>393</v>
      </c>
      <c r="BP31" s="109" t="str">
        <f>CJ2</f>
        <v>pressure</v>
      </c>
      <c r="BQ31" s="109" t="str">
        <f>Y2</f>
        <v>_attack_distance</v>
      </c>
      <c r="BR31" s="109" t="str">
        <f>Y2</f>
        <v>_attack_distance</v>
      </c>
      <c r="BS31" s="109" t="str">
        <f>BY2</f>
        <v>balance_between_damage_and_durability_in_short_range</v>
      </c>
      <c r="BT31" s="109" t="str">
        <f>CJ2</f>
        <v>pressure</v>
      </c>
      <c r="BU31" s="109" t="str">
        <f>Y2</f>
        <v>_attack_distance</v>
      </c>
      <c r="BV31" s="109" t="str">
        <f>Y2</f>
        <v>_attack_distance</v>
      </c>
      <c r="BW31" s="109" t="str">
        <f>BY2</f>
        <v>balance_between_damage_and_durability_in_short_range</v>
      </c>
      <c r="BX31" s="109" t="s">
        <v>393</v>
      </c>
      <c r="BY31" s="109" t="str">
        <f>CJ2</f>
        <v>pressure</v>
      </c>
      <c r="BZ31" s="109" t="str">
        <f>Y2</f>
        <v>_attack_distance</v>
      </c>
      <c r="CA31" s="109" t="str">
        <f>Y2</f>
        <v>_attack_distance</v>
      </c>
      <c r="CB31" s="109" t="str">
        <f>BY2</f>
        <v>balance_between_damage_and_durability_in_short_range</v>
      </c>
      <c r="CC31" s="109" t="s">
        <v>393</v>
      </c>
      <c r="CD31" s="109" t="str">
        <f>Y2</f>
        <v>_attack_distance</v>
      </c>
      <c r="CE31" s="109" t="str">
        <f>BK2</f>
        <v>slowness_debuffing</v>
      </c>
      <c r="CF31" s="109" t="str">
        <f>BK2</f>
        <v>slowness_debuffing</v>
      </c>
      <c r="CG31" s="109" t="str">
        <f>Z2</f>
        <v>retreat_button</v>
      </c>
      <c r="CH31" s="109" t="s">
        <v>393</v>
      </c>
      <c r="CI31" s="109" t="str">
        <f>X2</f>
        <v>_durability</v>
      </c>
      <c r="CJ31" s="109" t="str">
        <f>BH2</f>
        <v>counter_poison_debuffing</v>
      </c>
      <c r="CK31" s="109" t="str">
        <f>BY2</f>
        <v>balance_between_damage_and_durability_in_short_range</v>
      </c>
      <c r="CL31" s="109" t="str">
        <f>AI2</f>
        <v>cover_creation_efficiency</v>
      </c>
      <c r="CM31" s="109" t="str">
        <f>CJ2</f>
        <v>pressure</v>
      </c>
      <c r="CN31" s="110" t="str">
        <f>BT2</f>
        <v>usual_burst_damage_in_short_range</v>
      </c>
      <c r="CO31" s="109" t="str">
        <f>CJ2</f>
        <v>pressure</v>
      </c>
      <c r="CP31" s="109" t="s">
        <v>393</v>
      </c>
    </row>
    <row r="32" spans="2:94">
      <c r="W32" s="139"/>
      <c r="X32" s="114" t="s">
        <v>393</v>
      </c>
      <c r="Y32" s="112" t="s">
        <v>393</v>
      </c>
      <c r="Z32" s="109" t="s">
        <v>393</v>
      </c>
      <c r="AA32" s="109" t="str">
        <f>AC2</f>
        <v>area_denial</v>
      </c>
      <c r="AB32" s="112" t="s">
        <v>393</v>
      </c>
      <c r="AC32" s="109" t="str">
        <f>AI2</f>
        <v>cover_creation_efficiency</v>
      </c>
      <c r="AD32" s="109" t="str">
        <f>BK2</f>
        <v>slowness_debuffing</v>
      </c>
      <c r="AE32" s="109" t="s">
        <v>393</v>
      </c>
      <c r="AF32" s="109" t="s">
        <v>393</v>
      </c>
      <c r="AG32" s="109" t="str">
        <f>CONCATENATE("! ", CL2)</f>
        <v>! indirect_damage</v>
      </c>
      <c r="AH32" s="109" t="s">
        <v>393</v>
      </c>
      <c r="AI32" s="109" t="s">
        <v>393</v>
      </c>
      <c r="AJ32" s="112" t="s">
        <v>393</v>
      </c>
      <c r="AK32" s="112" t="s">
        <v>393</v>
      </c>
      <c r="AL32" s="112" t="s">
        <v>393</v>
      </c>
      <c r="AM32" s="112" t="s">
        <v>393</v>
      </c>
      <c r="AN32" s="112" t="s">
        <v>393</v>
      </c>
      <c r="AO32" s="112" t="s">
        <v>393</v>
      </c>
      <c r="AP32" s="113" t="s">
        <v>393</v>
      </c>
      <c r="AQ32" s="112" t="s">
        <v>393</v>
      </c>
      <c r="AR32" s="112" t="s">
        <v>393</v>
      </c>
      <c r="AS32" s="112" t="s">
        <v>393</v>
      </c>
      <c r="AT32" s="112" t="s">
        <v>393</v>
      </c>
      <c r="AU32" s="112" t="s">
        <v>393</v>
      </c>
      <c r="AV32" s="109" t="str">
        <f>BR2</f>
        <v>object_burst_damage_in_long_range</v>
      </c>
      <c r="AW32" s="109" t="s">
        <v>393</v>
      </c>
      <c r="AX32" s="109"/>
      <c r="AY32" s="109" t="str">
        <f>CJ2</f>
        <v>pressure</v>
      </c>
      <c r="AZ32" s="109" t="str">
        <f>BV2</f>
        <v>usual_burst_damage_in_long_range</v>
      </c>
      <c r="BA32" s="109" t="s">
        <v>393</v>
      </c>
      <c r="BB32" s="109" t="s">
        <v>393</v>
      </c>
      <c r="BC32" s="109" t="str">
        <f>BP2</f>
        <v>object_burst_damage_in_short_range</v>
      </c>
      <c r="BD32" s="109" t="str">
        <f>BQ2</f>
        <v>object_burst_damage_in_medium_range</v>
      </c>
      <c r="BE32" s="109" t="str">
        <f>CJ2</f>
        <v>pressure</v>
      </c>
      <c r="BF32" s="109" t="str">
        <f>CK2</f>
        <v>area_control</v>
      </c>
      <c r="BG32" s="109" t="str">
        <f>CK2</f>
        <v>area_control</v>
      </c>
      <c r="BH32" s="109" t="s">
        <v>393</v>
      </c>
      <c r="BI32" s="109" t="str">
        <f>BR2</f>
        <v>object_burst_damage_in_long_range</v>
      </c>
      <c r="BJ32" s="109" t="s">
        <v>393</v>
      </c>
      <c r="BK32" s="109" t="str">
        <f>BR2</f>
        <v>object_burst_damage_in_long_range</v>
      </c>
      <c r="BL32" s="109" t="s">
        <v>393</v>
      </c>
      <c r="BM32" s="109" t="s">
        <v>393</v>
      </c>
      <c r="BN32" s="109" t="s">
        <v>393</v>
      </c>
      <c r="BO32" s="109" t="s">
        <v>393</v>
      </c>
      <c r="BP32" s="109" t="str">
        <f>BY2</f>
        <v>balance_between_damage_and_durability_in_short_range</v>
      </c>
      <c r="BQ32" s="109" t="str">
        <f>CJ2</f>
        <v>pressure</v>
      </c>
      <c r="BR32" s="109" t="str">
        <f>CJ2</f>
        <v>pressure</v>
      </c>
      <c r="BS32" s="109" t="str">
        <f>Y2</f>
        <v>_attack_distance</v>
      </c>
      <c r="BT32" s="109" t="str">
        <f>BY2</f>
        <v>balance_between_damage_and_durability_in_short_range</v>
      </c>
      <c r="BU32" s="109" t="str">
        <f>CJ2</f>
        <v>pressure</v>
      </c>
      <c r="BV32" s="109" t="str">
        <f>CJ2</f>
        <v>pressure</v>
      </c>
      <c r="BW32" s="109" t="str">
        <f>Y2</f>
        <v>_attack_distance</v>
      </c>
      <c r="BX32" s="109" t="s">
        <v>393</v>
      </c>
      <c r="BY32" s="109" t="str">
        <f>BY2</f>
        <v>balance_between_damage_and_durability_in_short_range</v>
      </c>
      <c r="BZ32" s="109" t="str">
        <f>CJ2</f>
        <v>pressure</v>
      </c>
      <c r="CA32" s="109" t="str">
        <f>CJ2</f>
        <v>pressure</v>
      </c>
      <c r="CB32" s="109" t="str">
        <f>Y2</f>
        <v>_attack_distance</v>
      </c>
      <c r="CC32" s="109" t="s">
        <v>393</v>
      </c>
      <c r="CD32" s="109" t="str">
        <f>Z2</f>
        <v>retreat_button</v>
      </c>
      <c r="CE32" s="109" t="str">
        <f>Y2</f>
        <v>_attack_distance</v>
      </c>
      <c r="CF32" s="109" t="str">
        <f>Y2</f>
        <v>_attack_distance</v>
      </c>
      <c r="CG32" s="109" t="str">
        <f>BK2</f>
        <v>slowness_debuffing</v>
      </c>
      <c r="CH32" s="109" t="s">
        <v>393</v>
      </c>
      <c r="CI32" s="109" t="s">
        <v>393</v>
      </c>
      <c r="CJ32" s="109" t="str">
        <f>BJ2</f>
        <v>counter_stun_debuffing</v>
      </c>
      <c r="CK32" s="109" t="s">
        <v>393</v>
      </c>
      <c r="CL32" s="109" t="str">
        <f>BY2</f>
        <v>balance_between_damage_and_durability_in_short_range</v>
      </c>
      <c r="CM32" s="109" t="s">
        <v>393</v>
      </c>
      <c r="CN32" s="109" t="str">
        <f>BU2</f>
        <v>usual_burst_damage_in_medium_range</v>
      </c>
      <c r="CO32" s="109" t="str">
        <f>CL2</f>
        <v>indirect_damage</v>
      </c>
      <c r="CP32" s="109" t="s">
        <v>393</v>
      </c>
    </row>
    <row r="33" spans="23:94">
      <c r="W33" s="139"/>
      <c r="X33" s="115" t="s">
        <v>393</v>
      </c>
      <c r="Y33" s="112" t="s">
        <v>393</v>
      </c>
      <c r="Z33" s="109" t="s">
        <v>393</v>
      </c>
      <c r="AA33" s="109" t="s">
        <v>393</v>
      </c>
      <c r="AB33" s="112" t="s">
        <v>393</v>
      </c>
      <c r="AC33" s="109" t="str">
        <f>Y2</f>
        <v>_attack_distance</v>
      </c>
      <c r="AD33" s="109" t="str">
        <f>BT2</f>
        <v>usual_burst_damage_in_short_range</v>
      </c>
      <c r="AE33" s="109" t="s">
        <v>393</v>
      </c>
      <c r="AF33" s="109" t="s">
        <v>393</v>
      </c>
      <c r="AG33" s="109" t="s">
        <v>393</v>
      </c>
      <c r="AH33" s="109" t="s">
        <v>393</v>
      </c>
      <c r="AI33" s="109" t="s">
        <v>393</v>
      </c>
      <c r="AJ33" s="112" t="s">
        <v>393</v>
      </c>
      <c r="AK33" s="112" t="s">
        <v>393</v>
      </c>
      <c r="AL33" s="112" t="s">
        <v>393</v>
      </c>
      <c r="AM33" s="112" t="s">
        <v>393</v>
      </c>
      <c r="AN33" s="112" t="s">
        <v>393</v>
      </c>
      <c r="AO33" s="112" t="s">
        <v>393</v>
      </c>
      <c r="AP33" s="112" t="s">
        <v>393</v>
      </c>
      <c r="AQ33" s="112" t="s">
        <v>393</v>
      </c>
      <c r="AR33" s="112" t="s">
        <v>393</v>
      </c>
      <c r="AS33" s="112" t="s">
        <v>393</v>
      </c>
      <c r="AT33" s="112" t="s">
        <v>393</v>
      </c>
      <c r="AU33" s="113" t="s">
        <v>393</v>
      </c>
      <c r="AV33" s="109" t="str">
        <f>BS2</f>
        <v>object_burst_damage_in_very_long_range</v>
      </c>
      <c r="AW33" s="109" t="s">
        <v>393</v>
      </c>
      <c r="AX33" s="109"/>
      <c r="AY33" s="109" t="s">
        <v>393</v>
      </c>
      <c r="AZ33" s="109" t="str">
        <f>BW2</f>
        <v>usual_burst_damage_in_very_long_range</v>
      </c>
      <c r="BA33" s="109" t="s">
        <v>393</v>
      </c>
      <c r="BB33" s="109" t="s">
        <v>393</v>
      </c>
      <c r="BC33" s="109" t="str">
        <f>BQ2</f>
        <v>object_burst_damage_in_medium_range</v>
      </c>
      <c r="BD33" s="109" t="s">
        <v>393</v>
      </c>
      <c r="BE33" s="109" t="s">
        <v>393</v>
      </c>
      <c r="BF33" s="109" t="s">
        <v>393</v>
      </c>
      <c r="BG33" s="109" t="s">
        <v>393</v>
      </c>
      <c r="BH33" s="109" t="s">
        <v>393</v>
      </c>
      <c r="BI33" s="109" t="str">
        <f>AC2</f>
        <v>area_denial</v>
      </c>
      <c r="BJ33" s="109" t="s">
        <v>393</v>
      </c>
      <c r="BK33" s="109" t="s">
        <v>393</v>
      </c>
      <c r="BL33" s="109" t="s">
        <v>393</v>
      </c>
      <c r="BM33" s="109" t="s">
        <v>393</v>
      </c>
      <c r="BN33" s="109" t="s">
        <v>393</v>
      </c>
      <c r="BO33" s="109" t="s">
        <v>393</v>
      </c>
      <c r="BP33" s="109" t="s">
        <v>393</v>
      </c>
      <c r="BQ33" s="109" t="s">
        <v>393</v>
      </c>
      <c r="BR33" s="109" t="s">
        <v>393</v>
      </c>
      <c r="BS33" s="109" t="s">
        <v>393</v>
      </c>
      <c r="BT33" s="109" t="s">
        <v>393</v>
      </c>
      <c r="BU33" s="109" t="s">
        <v>393</v>
      </c>
      <c r="BV33" s="109" t="s">
        <v>393</v>
      </c>
      <c r="BW33" s="109" t="s">
        <v>393</v>
      </c>
      <c r="BX33" s="109" t="s">
        <v>393</v>
      </c>
      <c r="BY33" s="109" t="s">
        <v>393</v>
      </c>
      <c r="BZ33" s="109" t="s">
        <v>393</v>
      </c>
      <c r="CA33" s="109" t="s">
        <v>393</v>
      </c>
      <c r="CB33" s="109" t="s">
        <v>393</v>
      </c>
      <c r="CC33" s="109" t="s">
        <v>393</v>
      </c>
      <c r="CD33" s="109" t="str">
        <f>BK2</f>
        <v>slowness_debuffing</v>
      </c>
      <c r="CE33" s="109" t="str">
        <f>Z2</f>
        <v>retreat_button</v>
      </c>
      <c r="CF33" s="109" t="str">
        <f>Z2</f>
        <v>retreat_button</v>
      </c>
      <c r="CG33" s="109" t="str">
        <f>Y2</f>
        <v>_attack_distance</v>
      </c>
      <c r="CH33" s="109" t="s">
        <v>393</v>
      </c>
      <c r="CI33" s="109" t="s">
        <v>393</v>
      </c>
      <c r="CJ33" s="109" t="str">
        <f>BL2</f>
        <v>counter_slowness_debuffing</v>
      </c>
      <c r="CK33" s="109" t="s">
        <v>393</v>
      </c>
      <c r="CL33" s="109" t="s">
        <v>393</v>
      </c>
      <c r="CM33" s="109" t="s">
        <v>393</v>
      </c>
      <c r="CN33" s="109" t="s">
        <v>393</v>
      </c>
      <c r="CO33" s="111" t="str">
        <f>CI2</f>
        <v>easy_approach</v>
      </c>
      <c r="CP33" s="109" t="s">
        <v>393</v>
      </c>
    </row>
    <row r="34" spans="23:94">
      <c r="W34" s="139"/>
      <c r="X34" s="115" t="s">
        <v>393</v>
      </c>
      <c r="Y34" s="112" t="s">
        <v>393</v>
      </c>
      <c r="Z34" s="109" t="s">
        <v>393</v>
      </c>
      <c r="AA34" s="109" t="s">
        <v>393</v>
      </c>
      <c r="AB34" s="112" t="s">
        <v>393</v>
      </c>
      <c r="AC34" s="109" t="s">
        <v>393</v>
      </c>
      <c r="AD34" s="109" t="str">
        <f>BU2</f>
        <v>usual_burst_damage_in_medium_range</v>
      </c>
      <c r="AE34" s="109" t="s">
        <v>393</v>
      </c>
      <c r="AF34" s="109" t="s">
        <v>393</v>
      </c>
      <c r="AG34" s="109" t="s">
        <v>393</v>
      </c>
      <c r="AH34" s="109" t="s">
        <v>393</v>
      </c>
      <c r="AI34" s="109" t="s">
        <v>393</v>
      </c>
      <c r="AJ34" s="112" t="s">
        <v>393</v>
      </c>
      <c r="AK34" s="112" t="s">
        <v>393</v>
      </c>
      <c r="AL34" s="112" t="s">
        <v>393</v>
      </c>
      <c r="AM34" s="112" t="s">
        <v>393</v>
      </c>
      <c r="AN34" s="112" t="s">
        <v>393</v>
      </c>
      <c r="AO34" s="112" t="s">
        <v>393</v>
      </c>
      <c r="AP34" s="112" t="s">
        <v>393</v>
      </c>
      <c r="AQ34" s="112" t="s">
        <v>393</v>
      </c>
      <c r="AR34" s="112" t="s">
        <v>393</v>
      </c>
      <c r="AS34" s="112" t="s">
        <v>393</v>
      </c>
      <c r="AT34" s="112" t="s">
        <v>393</v>
      </c>
      <c r="AU34" s="112" t="s">
        <v>393</v>
      </c>
      <c r="AV34" s="109" t="str">
        <f>Y2</f>
        <v>_attack_distance</v>
      </c>
      <c r="AW34" s="109" t="s">
        <v>393</v>
      </c>
      <c r="AX34" s="109"/>
      <c r="AY34" s="109" t="s">
        <v>393</v>
      </c>
      <c r="AZ34" s="109" t="s">
        <v>393</v>
      </c>
      <c r="BA34" s="109" t="s">
        <v>393</v>
      </c>
      <c r="BB34" s="109" t="s">
        <v>393</v>
      </c>
      <c r="BC34" s="109" t="s">
        <v>393</v>
      </c>
      <c r="BD34" s="109" t="s">
        <v>393</v>
      </c>
      <c r="BE34" s="109" t="s">
        <v>393</v>
      </c>
      <c r="BF34" s="109" t="s">
        <v>393</v>
      </c>
      <c r="BG34" s="109" t="s">
        <v>393</v>
      </c>
      <c r="BH34" s="109" t="s">
        <v>393</v>
      </c>
      <c r="BI34" s="109" t="s">
        <v>393</v>
      </c>
      <c r="BJ34" s="109" t="s">
        <v>393</v>
      </c>
      <c r="BK34" s="109" t="s">
        <v>393</v>
      </c>
      <c r="BL34" s="109" t="s">
        <v>393</v>
      </c>
      <c r="BM34" s="109" t="s">
        <v>393</v>
      </c>
      <c r="BN34" s="109" t="s">
        <v>393</v>
      </c>
      <c r="BO34" s="109" t="s">
        <v>393</v>
      </c>
      <c r="BP34" s="109" t="s">
        <v>393</v>
      </c>
      <c r="BQ34" s="109" t="s">
        <v>393</v>
      </c>
      <c r="BR34" s="109" t="s">
        <v>393</v>
      </c>
      <c r="BS34" s="109" t="s">
        <v>393</v>
      </c>
      <c r="BT34" s="109" t="s">
        <v>393</v>
      </c>
      <c r="BU34" s="109" t="s">
        <v>393</v>
      </c>
      <c r="BV34" s="109" t="s">
        <v>393</v>
      </c>
      <c r="BW34" s="109" t="s">
        <v>393</v>
      </c>
      <c r="BX34" s="109" t="s">
        <v>393</v>
      </c>
      <c r="BY34" s="109" t="s">
        <v>393</v>
      </c>
      <c r="BZ34" s="109" t="s">
        <v>393</v>
      </c>
      <c r="CA34" s="109" t="s">
        <v>393</v>
      </c>
      <c r="CB34" s="109" t="s">
        <v>393</v>
      </c>
      <c r="CC34" s="109" t="s">
        <v>393</v>
      </c>
      <c r="CD34" s="109" t="s">
        <v>393</v>
      </c>
      <c r="CE34" s="109" t="s">
        <v>393</v>
      </c>
      <c r="CF34" s="109" t="s">
        <v>393</v>
      </c>
      <c r="CG34" s="109" t="s">
        <v>393</v>
      </c>
      <c r="CH34" s="109" t="s">
        <v>393</v>
      </c>
      <c r="CI34" s="109" t="s">
        <v>393</v>
      </c>
      <c r="CJ34" s="109" t="str">
        <f>AY2</f>
        <v>heal_buffing</v>
      </c>
      <c r="CK34" s="109" t="s">
        <v>393</v>
      </c>
      <c r="CL34" s="109" t="s">
        <v>393</v>
      </c>
      <c r="CM34" s="109" t="s">
        <v>393</v>
      </c>
      <c r="CN34" s="109" t="s">
        <v>393</v>
      </c>
      <c r="CO34" s="109" t="s">
        <v>393</v>
      </c>
      <c r="CP34" s="109" t="s">
        <v>393</v>
      </c>
    </row>
    <row r="35" spans="23:94">
      <c r="AD35" s="110" t="str">
        <f>BV2</f>
        <v>usual_burst_damage_in_long_range</v>
      </c>
    </row>
    <row r="36" spans="23:94">
      <c r="AD36" s="109" t="str">
        <f>BW2</f>
        <v>usual_burst_damage_in_very_long_range</v>
      </c>
    </row>
    <row r="38" spans="23:94">
      <c r="W38" s="140" t="s">
        <v>396</v>
      </c>
      <c r="X38" s="107">
        <f>COUNTIF($X$22:$CP$28, X2)</f>
        <v>0</v>
      </c>
      <c r="Y38" s="107">
        <f t="shared" ref="Y38:CK38" si="36">COUNTIF($X$22:$CP$28, Y2)</f>
        <v>0</v>
      </c>
      <c r="Z38" s="107">
        <f t="shared" si="36"/>
        <v>9</v>
      </c>
      <c r="AA38" s="107">
        <f t="shared" si="36"/>
        <v>5</v>
      </c>
      <c r="AB38" s="107">
        <f t="shared" si="36"/>
        <v>0</v>
      </c>
      <c r="AC38" s="107">
        <f t="shared" si="36"/>
        <v>1</v>
      </c>
      <c r="AD38" s="107">
        <f t="shared" si="36"/>
        <v>7</v>
      </c>
      <c r="AE38" s="107">
        <f t="shared" si="36"/>
        <v>0</v>
      </c>
      <c r="AF38" s="107">
        <f t="shared" si="36"/>
        <v>1</v>
      </c>
      <c r="AG38" s="107">
        <f>COUNTIF($X$22:$CP$28, AG2)</f>
        <v>2</v>
      </c>
      <c r="AH38" s="107">
        <f t="shared" si="36"/>
        <v>1</v>
      </c>
      <c r="AI38" s="107">
        <f t="shared" si="36"/>
        <v>2</v>
      </c>
      <c r="AJ38" s="107">
        <f t="shared" si="36"/>
        <v>0</v>
      </c>
      <c r="AK38" s="107">
        <f t="shared" si="36"/>
        <v>0</v>
      </c>
      <c r="AL38" s="107">
        <f t="shared" si="36"/>
        <v>0</v>
      </c>
      <c r="AM38" s="107">
        <f t="shared" si="36"/>
        <v>0</v>
      </c>
      <c r="AN38" s="107">
        <f t="shared" si="36"/>
        <v>0</v>
      </c>
      <c r="AO38" s="107">
        <f t="shared" si="36"/>
        <v>0</v>
      </c>
      <c r="AP38" s="107">
        <f t="shared" si="36"/>
        <v>0</v>
      </c>
      <c r="AQ38" s="107">
        <f t="shared" si="36"/>
        <v>0</v>
      </c>
      <c r="AR38" s="107">
        <f t="shared" si="36"/>
        <v>0</v>
      </c>
      <c r="AS38" s="107">
        <f t="shared" si="36"/>
        <v>0</v>
      </c>
      <c r="AT38" s="107">
        <f t="shared" si="36"/>
        <v>0</v>
      </c>
      <c r="AU38" s="107">
        <f t="shared" si="36"/>
        <v>0</v>
      </c>
      <c r="AV38" s="107">
        <f t="shared" si="36"/>
        <v>0</v>
      </c>
      <c r="AW38" s="107">
        <f t="shared" si="36"/>
        <v>0</v>
      </c>
      <c r="AX38" s="107"/>
      <c r="AY38" s="107">
        <f t="shared" si="36"/>
        <v>0</v>
      </c>
      <c r="AZ38" s="107">
        <f t="shared" si="36"/>
        <v>1</v>
      </c>
      <c r="BA38" s="107">
        <f t="shared" si="36"/>
        <v>1</v>
      </c>
      <c r="BB38" s="107">
        <f t="shared" si="36"/>
        <v>1</v>
      </c>
      <c r="BC38" s="107">
        <f t="shared" si="36"/>
        <v>1</v>
      </c>
      <c r="BD38" s="107">
        <f t="shared" si="36"/>
        <v>0</v>
      </c>
      <c r="BE38" s="107">
        <f t="shared" si="36"/>
        <v>0</v>
      </c>
      <c r="BF38" s="107">
        <f t="shared" si="36"/>
        <v>0</v>
      </c>
      <c r="BG38" s="107">
        <f t="shared" si="36"/>
        <v>1</v>
      </c>
      <c r="BH38" s="107">
        <f t="shared" si="36"/>
        <v>1</v>
      </c>
      <c r="BI38" s="107">
        <f t="shared" si="36"/>
        <v>6</v>
      </c>
      <c r="BJ38" s="107">
        <f t="shared" si="36"/>
        <v>1</v>
      </c>
      <c r="BK38" s="107">
        <f t="shared" si="36"/>
        <v>1</v>
      </c>
      <c r="BL38" s="107">
        <f t="shared" si="36"/>
        <v>1</v>
      </c>
      <c r="BM38" s="107">
        <f t="shared" si="36"/>
        <v>0</v>
      </c>
      <c r="BN38" s="107">
        <f t="shared" si="36"/>
        <v>1</v>
      </c>
      <c r="BO38" s="107">
        <f t="shared" si="36"/>
        <v>8</v>
      </c>
      <c r="BP38" s="107">
        <f t="shared" si="36"/>
        <v>1</v>
      </c>
      <c r="BQ38" s="107">
        <f t="shared" si="36"/>
        <v>1</v>
      </c>
      <c r="BR38" s="107">
        <f t="shared" si="36"/>
        <v>1</v>
      </c>
      <c r="BS38" s="107">
        <f t="shared" si="36"/>
        <v>1</v>
      </c>
      <c r="BT38" s="107">
        <f t="shared" si="36"/>
        <v>0</v>
      </c>
      <c r="BU38" s="107">
        <f t="shared" si="36"/>
        <v>7</v>
      </c>
      <c r="BV38" s="107">
        <f t="shared" si="36"/>
        <v>9</v>
      </c>
      <c r="BW38" s="107">
        <f t="shared" si="36"/>
        <v>14</v>
      </c>
      <c r="BX38" s="107">
        <f t="shared" si="36"/>
        <v>0</v>
      </c>
      <c r="BY38" s="107">
        <f t="shared" si="36"/>
        <v>7</v>
      </c>
      <c r="BZ38" s="107">
        <f t="shared" si="36"/>
        <v>1</v>
      </c>
      <c r="CA38" s="107">
        <f t="shared" si="36"/>
        <v>1</v>
      </c>
      <c r="CB38" s="107">
        <f t="shared" si="36"/>
        <v>0</v>
      </c>
      <c r="CC38" s="107">
        <f t="shared" si="36"/>
        <v>0</v>
      </c>
      <c r="CD38" s="107">
        <f t="shared" si="36"/>
        <v>2</v>
      </c>
      <c r="CE38" s="107">
        <f t="shared" si="36"/>
        <v>2</v>
      </c>
      <c r="CF38" s="107">
        <f t="shared" si="36"/>
        <v>10</v>
      </c>
      <c r="CG38" s="107">
        <f t="shared" si="36"/>
        <v>10</v>
      </c>
      <c r="CH38" s="107">
        <f t="shared" si="36"/>
        <v>0</v>
      </c>
      <c r="CI38" s="107">
        <f t="shared" si="36"/>
        <v>8</v>
      </c>
      <c r="CJ38" s="107">
        <f t="shared" si="36"/>
        <v>5</v>
      </c>
      <c r="CK38" s="107">
        <f t="shared" si="36"/>
        <v>0</v>
      </c>
      <c r="CL38" s="107">
        <f t="shared" ref="CL38:CP38" si="37">COUNTIF($X$22:$CP$28, CL2)</f>
        <v>0</v>
      </c>
      <c r="CM38" s="107">
        <f t="shared" si="37"/>
        <v>0</v>
      </c>
      <c r="CN38" s="107">
        <f t="shared" si="37"/>
        <v>0</v>
      </c>
      <c r="CO38" s="107">
        <f t="shared" si="37"/>
        <v>2</v>
      </c>
      <c r="CP38" s="107">
        <f t="shared" si="37"/>
        <v>0</v>
      </c>
    </row>
    <row r="39" spans="23:94">
      <c r="W39" s="141"/>
      <c r="X39" s="109">
        <f>COUNTIF($X$30:$CP$36, X2)</f>
        <v>5</v>
      </c>
      <c r="Y39" s="109">
        <f t="shared" ref="Y39:CK39" si="38">COUNTIF($X$30:$CP$36, Y2)</f>
        <v>23</v>
      </c>
      <c r="Z39" s="109">
        <f t="shared" si="38"/>
        <v>4</v>
      </c>
      <c r="AA39" s="109">
        <f t="shared" si="38"/>
        <v>1</v>
      </c>
      <c r="AB39" s="109">
        <f t="shared" si="38"/>
        <v>0</v>
      </c>
      <c r="AC39" s="109">
        <f t="shared" si="38"/>
        <v>3</v>
      </c>
      <c r="AD39" s="109">
        <f t="shared" si="38"/>
        <v>3</v>
      </c>
      <c r="AE39" s="109">
        <f t="shared" si="38"/>
        <v>0</v>
      </c>
      <c r="AF39" s="109">
        <f t="shared" si="38"/>
        <v>0</v>
      </c>
      <c r="AG39" s="109">
        <f t="shared" si="38"/>
        <v>0</v>
      </c>
      <c r="AH39" s="109">
        <f t="shared" si="38"/>
        <v>0</v>
      </c>
      <c r="AI39" s="109">
        <f t="shared" si="38"/>
        <v>2</v>
      </c>
      <c r="AJ39" s="109">
        <f t="shared" si="38"/>
        <v>0</v>
      </c>
      <c r="AK39" s="109">
        <f t="shared" si="38"/>
        <v>0</v>
      </c>
      <c r="AL39" s="109">
        <f t="shared" si="38"/>
        <v>5</v>
      </c>
      <c r="AM39" s="109">
        <f t="shared" si="38"/>
        <v>0</v>
      </c>
      <c r="AN39" s="109">
        <f t="shared" si="38"/>
        <v>0</v>
      </c>
      <c r="AO39" s="109">
        <f t="shared" si="38"/>
        <v>0</v>
      </c>
      <c r="AP39" s="109">
        <f t="shared" si="38"/>
        <v>0</v>
      </c>
      <c r="AQ39" s="109">
        <f t="shared" si="38"/>
        <v>0</v>
      </c>
      <c r="AR39" s="109">
        <f t="shared" si="38"/>
        <v>0</v>
      </c>
      <c r="AS39" s="109">
        <f t="shared" si="38"/>
        <v>0</v>
      </c>
      <c r="AT39" s="109">
        <f t="shared" si="38"/>
        <v>0</v>
      </c>
      <c r="AU39" s="109">
        <f t="shared" si="38"/>
        <v>0</v>
      </c>
      <c r="AV39" s="109">
        <f t="shared" si="38"/>
        <v>2</v>
      </c>
      <c r="AW39" s="109">
        <f t="shared" si="38"/>
        <v>0</v>
      </c>
      <c r="AX39" s="109"/>
      <c r="AY39" s="109">
        <f t="shared" si="38"/>
        <v>1</v>
      </c>
      <c r="AZ39" s="109">
        <f t="shared" si="38"/>
        <v>0</v>
      </c>
      <c r="BA39" s="109">
        <f t="shared" si="38"/>
        <v>1</v>
      </c>
      <c r="BB39" s="109">
        <f t="shared" si="38"/>
        <v>0</v>
      </c>
      <c r="BC39" s="109">
        <f t="shared" si="38"/>
        <v>2</v>
      </c>
      <c r="BD39" s="109">
        <f t="shared" si="38"/>
        <v>0</v>
      </c>
      <c r="BE39" s="109">
        <f t="shared" si="38"/>
        <v>0</v>
      </c>
      <c r="BF39" s="109">
        <f t="shared" si="38"/>
        <v>0</v>
      </c>
      <c r="BG39" s="109">
        <f t="shared" si="38"/>
        <v>0</v>
      </c>
      <c r="BH39" s="109">
        <f t="shared" si="38"/>
        <v>1</v>
      </c>
      <c r="BI39" s="109">
        <f t="shared" si="38"/>
        <v>1</v>
      </c>
      <c r="BJ39" s="109">
        <f t="shared" si="38"/>
        <v>1</v>
      </c>
      <c r="BK39" s="109">
        <f t="shared" si="38"/>
        <v>6</v>
      </c>
      <c r="BL39" s="109">
        <f t="shared" si="38"/>
        <v>1</v>
      </c>
      <c r="BM39" s="109">
        <f t="shared" si="38"/>
        <v>0</v>
      </c>
      <c r="BN39" s="109">
        <f t="shared" si="38"/>
        <v>0</v>
      </c>
      <c r="BO39" s="109">
        <f t="shared" si="38"/>
        <v>0</v>
      </c>
      <c r="BP39" s="109">
        <f t="shared" si="38"/>
        <v>4</v>
      </c>
      <c r="BQ39" s="109">
        <f t="shared" si="38"/>
        <v>4</v>
      </c>
      <c r="BR39" s="109">
        <f t="shared" si="38"/>
        <v>3</v>
      </c>
      <c r="BS39" s="109">
        <f t="shared" si="38"/>
        <v>3</v>
      </c>
      <c r="BT39" s="109">
        <f t="shared" si="38"/>
        <v>3</v>
      </c>
      <c r="BU39" s="109">
        <f t="shared" si="38"/>
        <v>3</v>
      </c>
      <c r="BV39" s="109">
        <f t="shared" si="38"/>
        <v>3</v>
      </c>
      <c r="BW39" s="109">
        <f t="shared" si="38"/>
        <v>3</v>
      </c>
      <c r="BX39" s="109">
        <f t="shared" si="38"/>
        <v>0</v>
      </c>
      <c r="BY39" s="109">
        <f t="shared" si="38"/>
        <v>19</v>
      </c>
      <c r="BZ39" s="109">
        <f t="shared" si="38"/>
        <v>0</v>
      </c>
      <c r="CA39" s="109">
        <f t="shared" si="38"/>
        <v>0</v>
      </c>
      <c r="CB39" s="109">
        <f t="shared" si="38"/>
        <v>0</v>
      </c>
      <c r="CC39" s="109">
        <f t="shared" si="38"/>
        <v>0</v>
      </c>
      <c r="CD39" s="109">
        <f t="shared" si="38"/>
        <v>0</v>
      </c>
      <c r="CE39" s="109">
        <f t="shared" si="38"/>
        <v>0</v>
      </c>
      <c r="CF39" s="109">
        <f t="shared" si="38"/>
        <v>0</v>
      </c>
      <c r="CG39" s="109">
        <f t="shared" si="38"/>
        <v>0</v>
      </c>
      <c r="CH39" s="109">
        <f t="shared" si="38"/>
        <v>0</v>
      </c>
      <c r="CI39" s="109">
        <f t="shared" si="38"/>
        <v>2</v>
      </c>
      <c r="CJ39" s="109">
        <f t="shared" si="38"/>
        <v>20</v>
      </c>
      <c r="CK39" s="109">
        <f t="shared" si="38"/>
        <v>2</v>
      </c>
      <c r="CL39" s="109">
        <f t="shared" ref="CL39:CP39" si="39">COUNTIF($X$30:$CP$36, CL2)</f>
        <v>3</v>
      </c>
      <c r="CM39" s="109">
        <f t="shared" si="39"/>
        <v>0</v>
      </c>
      <c r="CN39" s="109">
        <f t="shared" si="39"/>
        <v>0</v>
      </c>
      <c r="CO39" s="109">
        <f t="shared" si="39"/>
        <v>0</v>
      </c>
      <c r="CP39" s="109">
        <f t="shared" si="39"/>
        <v>0</v>
      </c>
    </row>
  </sheetData>
  <mergeCells count="3">
    <mergeCell ref="W22:W28"/>
    <mergeCell ref="W30:W34"/>
    <mergeCell ref="W38:W39"/>
  </mergeCells>
  <dataValidations count="2">
    <dataValidation allowBlank="1" showInputMessage="1" showErrorMessage="1" sqref="B2:B20" xr:uid="{835A3A28-0686-4064-9CB1-6359FD1E057D}"/>
    <dataValidation type="list" allowBlank="1" showInputMessage="1" showErrorMessage="1" sqref="D3:E20" xr:uid="{F7802E65-9465-40B7-B1CC-535C723694A0}">
      <formula1>$F$2:$CP$2</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99C57-7623-4CCB-9D41-70BE5405F184}">
  <dimension ref="A1:BQ22"/>
  <sheetViews>
    <sheetView workbookViewId="0">
      <pane xSplit="3" topLeftCell="AS1" activePane="topRight" state="frozen"/>
      <selection pane="topRight" activeCell="AX13" sqref="AX13"/>
    </sheetView>
  </sheetViews>
  <sheetFormatPr defaultRowHeight="15"/>
  <cols>
    <col min="1" max="1" width="9.140625" style="76"/>
    <col min="2" max="2" width="24" bestFit="1" customWidth="1"/>
  </cols>
  <sheetData>
    <row r="1" spans="1:69" s="122" customFormat="1">
      <c r="A1" s="123"/>
      <c r="Z1" s="122" t="s">
        <v>397</v>
      </c>
      <c r="AG1" s="122" t="s">
        <v>397</v>
      </c>
      <c r="AH1" s="122" t="s">
        <v>397</v>
      </c>
      <c r="AI1" s="122" t="s">
        <v>397</v>
      </c>
      <c r="AM1" s="122" t="s">
        <v>397</v>
      </c>
      <c r="AN1" s="122" t="s">
        <v>397</v>
      </c>
      <c r="AP1" s="122" t="s">
        <v>397</v>
      </c>
      <c r="AQ1" s="122" t="s">
        <v>397</v>
      </c>
      <c r="AR1" s="122" t="s">
        <v>397</v>
      </c>
      <c r="AS1" s="122" t="s">
        <v>397</v>
      </c>
      <c r="AT1" s="122" t="s">
        <v>397</v>
      </c>
      <c r="AV1" s="122" t="s">
        <v>397</v>
      </c>
      <c r="AY1" s="122" t="s">
        <v>397</v>
      </c>
      <c r="BA1" s="122" t="s">
        <v>397</v>
      </c>
      <c r="BB1" s="122" t="s">
        <v>397</v>
      </c>
      <c r="BD1" s="122" t="s">
        <v>397</v>
      </c>
      <c r="BE1" s="122" t="s">
        <v>397</v>
      </c>
      <c r="BF1" s="122" t="s">
        <v>397</v>
      </c>
      <c r="BH1" s="122" t="s">
        <v>397</v>
      </c>
      <c r="BJ1" s="122" t="s">
        <v>397</v>
      </c>
      <c r="BK1" s="122" t="s">
        <v>397</v>
      </c>
      <c r="BL1" s="122" t="s">
        <v>397</v>
      </c>
      <c r="BO1" s="122" t="s">
        <v>397</v>
      </c>
    </row>
    <row r="2" spans="1:69">
      <c r="B2" s="2" t="s">
        <v>398</v>
      </c>
      <c r="C2" s="2" t="s">
        <v>302</v>
      </c>
      <c r="D2" s="116" t="s">
        <v>303</v>
      </c>
      <c r="E2" s="116" t="s">
        <v>304</v>
      </c>
      <c r="F2" s="116" t="s">
        <v>305</v>
      </c>
      <c r="G2" s="116" t="s">
        <v>306</v>
      </c>
      <c r="H2" s="116" t="s">
        <v>307</v>
      </c>
      <c r="I2" s="116" t="s">
        <v>308</v>
      </c>
      <c r="J2" s="116" t="s">
        <v>309</v>
      </c>
      <c r="K2" s="116" t="s">
        <v>310</v>
      </c>
      <c r="L2" s="116" t="s">
        <v>311</v>
      </c>
      <c r="M2" s="116" t="s">
        <v>312</v>
      </c>
      <c r="N2" s="116" t="s">
        <v>313</v>
      </c>
      <c r="O2" s="116" t="s">
        <v>314</v>
      </c>
      <c r="P2" s="116" t="s">
        <v>315</v>
      </c>
      <c r="Q2" s="116" t="s">
        <v>316</v>
      </c>
      <c r="R2" s="116" t="s">
        <v>317</v>
      </c>
      <c r="S2" s="116" t="s">
        <v>318</v>
      </c>
      <c r="T2" s="116" t="s">
        <v>319</v>
      </c>
      <c r="U2" s="116" t="s">
        <v>320</v>
      </c>
      <c r="V2" s="116" t="s">
        <v>321</v>
      </c>
      <c r="W2" s="116" t="s">
        <v>322</v>
      </c>
      <c r="X2" s="2" t="s">
        <v>323</v>
      </c>
      <c r="Y2" s="2" t="s">
        <v>324</v>
      </c>
      <c r="Z2" s="2" t="s">
        <v>325</v>
      </c>
      <c r="AA2" s="2" t="s">
        <v>326</v>
      </c>
      <c r="AB2" s="2" t="s">
        <v>327</v>
      </c>
      <c r="AC2" s="2" t="s">
        <v>328</v>
      </c>
      <c r="AD2" s="2" t="s">
        <v>329</v>
      </c>
      <c r="AE2" s="2" t="s">
        <v>330</v>
      </c>
      <c r="AF2" s="2" t="s">
        <v>331</v>
      </c>
      <c r="AG2" s="2" t="s">
        <v>332</v>
      </c>
      <c r="AH2" s="2" t="s">
        <v>333</v>
      </c>
      <c r="AI2" s="116" t="s">
        <v>334</v>
      </c>
      <c r="AJ2" s="116" t="s">
        <v>335</v>
      </c>
      <c r="AK2" s="116" t="s">
        <v>336</v>
      </c>
      <c r="AL2" s="2" t="s">
        <v>337</v>
      </c>
      <c r="AM2" s="116" t="s">
        <v>338</v>
      </c>
      <c r="AN2" s="116" t="s">
        <v>339</v>
      </c>
      <c r="AO2" s="116" t="s">
        <v>340</v>
      </c>
      <c r="AP2" s="116" t="s">
        <v>341</v>
      </c>
      <c r="AQ2" s="116" t="s">
        <v>342</v>
      </c>
      <c r="AR2" s="116" t="s">
        <v>343</v>
      </c>
      <c r="AS2" s="116" t="s">
        <v>344</v>
      </c>
      <c r="AT2" s="116" t="s">
        <v>345</v>
      </c>
      <c r="AU2" s="116" t="s">
        <v>346</v>
      </c>
      <c r="AV2" s="116" t="s">
        <v>347</v>
      </c>
      <c r="AW2" s="116" t="s">
        <v>348</v>
      </c>
      <c r="AX2" s="116" t="s">
        <v>349</v>
      </c>
      <c r="AY2" s="2" t="s">
        <v>350</v>
      </c>
      <c r="AZ2" s="2" t="s">
        <v>351</v>
      </c>
      <c r="BA2" s="116" t="s">
        <v>352</v>
      </c>
      <c r="BB2" s="2" t="s">
        <v>353</v>
      </c>
      <c r="BC2" s="2" t="s">
        <v>354</v>
      </c>
      <c r="BD2" s="2" t="s">
        <v>355</v>
      </c>
      <c r="BE2" s="2" t="s">
        <v>356</v>
      </c>
      <c r="BF2" s="2" t="s">
        <v>357</v>
      </c>
      <c r="BG2" s="117" t="s">
        <v>358</v>
      </c>
      <c r="BH2" s="2" t="s">
        <v>359</v>
      </c>
      <c r="BI2" s="2" t="s">
        <v>360</v>
      </c>
      <c r="BJ2" s="116" t="s">
        <v>361</v>
      </c>
      <c r="BK2" s="116" t="s">
        <v>362</v>
      </c>
      <c r="BL2" s="2" t="s">
        <v>363</v>
      </c>
      <c r="BM2" s="2" t="s">
        <v>364</v>
      </c>
      <c r="BN2" s="116" t="s">
        <v>365</v>
      </c>
      <c r="BO2" s="2" t="s">
        <v>366</v>
      </c>
      <c r="BQ2" s="2" t="s">
        <v>399</v>
      </c>
    </row>
    <row r="3" spans="1:69">
      <c r="B3" s="77" t="s">
        <v>400</v>
      </c>
      <c r="C3" s="67" t="s">
        <v>78</v>
      </c>
      <c r="D3" s="131" t="s">
        <v>371</v>
      </c>
      <c r="E3" s="131" t="s">
        <v>325</v>
      </c>
      <c r="F3" s="79">
        <f>((0 + 'BRAWLERS OFICIAL'!F3)-'BRAWLERS OFICIAL'!F3)/($BQ3/5)</f>
        <v>0</v>
      </c>
      <c r="G3" s="79">
        <f>((0 + 'BRAWLERS OFICIAL'!G3)-'BRAWLERS OFICIAL'!G3)/($BQ3/5)</f>
        <v>0</v>
      </c>
      <c r="H3" s="79">
        <f>((0 + 'BRAWLERS OFICIAL'!H3)-'BRAWLERS OFICIAL'!H3)/($BQ3/5)</f>
        <v>0</v>
      </c>
      <c r="I3" s="79">
        <f>((0 + 'BRAWLERS OFICIAL'!I3)-'BRAWLERS OFICIAL'!I3)/($BQ3/5)</f>
        <v>0</v>
      </c>
      <c r="J3" s="79">
        <f>((0 + 'BRAWLERS OFICIAL'!J3)-'BRAWLERS OFICIAL'!J3)/($BQ3/5)</f>
        <v>0</v>
      </c>
      <c r="K3" s="79">
        <f>((0 + 'BRAWLERS OFICIAL'!K3)-'BRAWLERS OFICIAL'!K3)/($BQ3/5)</f>
        <v>0</v>
      </c>
      <c r="L3" s="79">
        <f>((0 + 'BRAWLERS OFICIAL'!L3)-'BRAWLERS OFICIAL'!L3)/($BQ3/5)</f>
        <v>0</v>
      </c>
      <c r="M3" s="79">
        <f>((0 + 'BRAWLERS OFICIAL'!M3)-'BRAWLERS OFICIAL'!M3)/($BQ3/5)</f>
        <v>0</v>
      </c>
      <c r="N3" s="79">
        <f>((0 + 'BRAWLERS OFICIAL'!N3)-'BRAWLERS OFICIAL'!N3)/($BQ3/5)</f>
        <v>0</v>
      </c>
      <c r="O3" s="79">
        <f>((0 + 'BRAWLERS OFICIAL'!O3)-'BRAWLERS OFICIAL'!O3)/($BQ3/5)</f>
        <v>0</v>
      </c>
      <c r="P3" s="79">
        <f>((0 + 'BRAWLERS OFICIAL'!P3)-'BRAWLERS OFICIAL'!P3)/($BQ3/5)</f>
        <v>0</v>
      </c>
      <c r="Q3" s="79">
        <f>((0 + 'BRAWLERS OFICIAL'!Q3)-'BRAWLERS OFICIAL'!Q3)/($BQ3/5)</f>
        <v>0</v>
      </c>
      <c r="R3" s="79">
        <f>((0 + 'BRAWLERS OFICIAL'!R3)-'BRAWLERS OFICIAL'!R3)/($BQ3/5)</f>
        <v>0</v>
      </c>
      <c r="S3" s="79">
        <f>((0 + 'BRAWLERS OFICIAL'!S3)-'BRAWLERS OFICIAL'!S3)/($BQ3/5)</f>
        <v>0</v>
      </c>
      <c r="T3" s="79">
        <f>((0 + 'BRAWLERS OFICIAL'!T3)-'BRAWLERS OFICIAL'!T3)/($BQ3/5)</f>
        <v>0</v>
      </c>
      <c r="U3" s="79">
        <f>((0 + 'BRAWLERS OFICIAL'!U3)-'BRAWLERS OFICIAL'!U3)/($BQ3/5)</f>
        <v>0</v>
      </c>
      <c r="V3" s="79">
        <f>((0 + 'BRAWLERS OFICIAL'!V3)-'BRAWLERS OFICIAL'!V3)/($BQ3/5)</f>
        <v>0</v>
      </c>
      <c r="W3" s="79">
        <f>(0 + 'BRAWLERS OFICIAL'!W3)-'BRAWLERS OFICIAL'!W3</f>
        <v>0</v>
      </c>
      <c r="X3" s="121">
        <f>(( 0 + 'BRAWLERS OFICIAL'!X3 + AP3 + AY3/3.5 )-'BRAWLERS OFICIAL'!X3)/($BQ3/5)</f>
        <v>0</v>
      </c>
      <c r="Y3" s="80">
        <f>((0 + 'BRAWLERS OFICIAL'!Y3)-'BRAWLERS OFICIAL'!Y3)/($BQ3/5)</f>
        <v>0</v>
      </c>
      <c r="Z3" s="80">
        <f>(((5 + 6 + 5)/3)-'BRAWLERS OFICIAL'!Z3)</f>
        <v>1.9999999999999996</v>
      </c>
      <c r="AA3" s="80">
        <f>((0 + 'BRAWLERS OFICIAL'!AA3)-'BRAWLERS OFICIAL'!AA3)/($BQ3/5)</f>
        <v>0</v>
      </c>
      <c r="AB3" s="80">
        <f>((0 + 'BRAWLERS OFICIAL'!AB3)-'BRAWLERS OFICIAL'!AB3)/($BQ3/5)</f>
        <v>0</v>
      </c>
      <c r="AC3" s="80">
        <f>(((0)/4 + 'BRAWLERS OFICIAL'!AC3)-'BRAWLERS OFICIAL'!AC3)/($BQ3/5)</f>
        <v>0</v>
      </c>
      <c r="AD3" s="80">
        <f>((0 + 'BRAWLERS OFICIAL'!AD3)-'BRAWLERS OFICIAL'!AD3)/($BQ3/5)</f>
        <v>0</v>
      </c>
      <c r="AE3" s="80">
        <f>((0 + 'BRAWLERS OFICIAL'!AE3)-'BRAWLERS OFICIAL'!AE3)/($BQ3/5)</f>
        <v>0</v>
      </c>
      <c r="AF3" s="80">
        <f>((0 + 'BRAWLERS OFICIAL'!AF3)-'BRAWLERS OFICIAL'!AF3)/($BQ3/5)</f>
        <v>0</v>
      </c>
      <c r="AG3" s="80">
        <f>((0 + 'BRAWLERS OFICIAL'!AG3)-'BRAWLERS OFICIAL'!AG3)</f>
        <v>0</v>
      </c>
      <c r="AH3" s="80">
        <f>((0 + 'BRAWLERS OFICIAL'!AH3)-'BRAWLERS OFICIAL'!AH3)</f>
        <v>0</v>
      </c>
      <c r="AI3" s="80">
        <f>((0 + 'BRAWLERS OFICIAL'!AI3)-'BRAWLERS OFICIAL'!AI3)</f>
        <v>0</v>
      </c>
      <c r="AJ3" s="80">
        <f>((0 + 'BRAWLERS OFICIAL'!AJ3)-'BRAWLERS OFICIAL'!AJ3)/($BQ3/5)</f>
        <v>0</v>
      </c>
      <c r="AK3" s="80">
        <f>((7 + 'BRAWLERS OFICIAL'!AK3)-'BRAWLERS OFICIAL'!AK3)/($BQ3/5)</f>
        <v>2.6923076923076921</v>
      </c>
      <c r="AL3" s="80">
        <f>(((BK3/5+1)*AK3 + 'BRAWLERS OFICIAL'!AL3)-'BRAWLERS OFICIAL'!AL3)/($BQ3/5)</f>
        <v>1.0355029585798816</v>
      </c>
      <c r="AM3" s="80">
        <f>IF( 0 = (1-1), (1-1), ((0 + 'BRAWLERS OFICIAL'!AM3)/1.5)-'BRAWLERS OFICIAL'!AM3 )</f>
        <v>0</v>
      </c>
      <c r="AN3" s="80">
        <f>IF( 0 = (1-1), (1-1), ( 0 ) )</f>
        <v>0</v>
      </c>
      <c r="AO3" s="80">
        <f>((0 + 'BRAWLERS OFICIAL'!AO3)-'BRAWLERS OFICIAL'!AO3)/($BQ3/5)</f>
        <v>0</v>
      </c>
      <c r="AP3" s="80">
        <f>((0/1000 + 'BRAWLERS OFICIAL'!AP3)-'BRAWLERS OFICIAL'!AP3)</f>
        <v>0</v>
      </c>
      <c r="AQ3" s="80">
        <f>((0 + 'BRAWLERS OFICIAL'!AQ3)-'BRAWLERS OFICIAL'!AQ3)</f>
        <v>0</v>
      </c>
      <c r="AR3" s="80">
        <f>IF( 0 = (1-1), (1-1), ((0 + 'BRAWLERS OFICIAL'!AR3)/1.5) )</f>
        <v>0</v>
      </c>
      <c r="AS3" s="80">
        <f>IF( 0 = (1-1), (1-1), ((0 + 'BRAWLERS OFICIAL'!AS3)/1.5) )</f>
        <v>0</v>
      </c>
      <c r="AT3" s="80">
        <f>IF( 0 = (1-1), (1-1), ((0 + 'BRAWLERS OFICIAL'!AT3)/2) )</f>
        <v>0</v>
      </c>
      <c r="AU3" s="80">
        <f>((0 + 'BRAWLERS OFICIAL'!AU3)-'BRAWLERS OFICIAL'!AU3)/($BQ3/5)</f>
        <v>0</v>
      </c>
      <c r="AV3" s="80">
        <f>(((0)/4 + 'BRAWLERS OFICIAL'!AV3)-'BRAWLERS OFICIAL'!AV3)</f>
        <v>0</v>
      </c>
      <c r="AW3" s="80">
        <v>0</v>
      </c>
      <c r="AX3" s="80" t="s">
        <v>390</v>
      </c>
      <c r="AY3" s="79">
        <f>((( 0 )/3 + 'BRAWLERS OFICIAL'!AY3)-'BRAWLERS OFICIAL'!AY3)</f>
        <v>0</v>
      </c>
      <c r="AZ3" s="79">
        <f>((( 0 )/2 + 'BRAWLERS OFICIAL'!AZ3)-'BRAWLERS OFICIAL'!AZ3)/($BQ3/5)</f>
        <v>0</v>
      </c>
      <c r="BA3" s="79">
        <f>((( 0 )/2 + 'BRAWLERS OFICIAL'!BA3)-'BRAWLERS OFICIAL'!BA3)</f>
        <v>0</v>
      </c>
      <c r="BB3" s="79">
        <f>((( 0 )/3 + 'BRAWLERS OFICIAL'!BB3)-'BRAWLERS OFICIAL'!BB3)</f>
        <v>0</v>
      </c>
      <c r="BC3" s="79">
        <f>((( 0 )/2 + 'BRAWLERS OFICIAL'!BC3)-'BRAWLERS OFICIAL'!BC3)/($BQ3/5)</f>
        <v>0</v>
      </c>
      <c r="BD3" s="79">
        <f>((( 0 )/3 + 'BRAWLERS OFICIAL'!BD3)-'BRAWLERS OFICIAL'!BD3)</f>
        <v>0</v>
      </c>
      <c r="BE3" s="79">
        <f>((( 0 )/3 + 'BRAWLERS OFICIAL'!BE3)-'BRAWLERS OFICIAL'!BE3)</f>
        <v>0</v>
      </c>
      <c r="BF3" s="79">
        <f>((0 + 'BRAWLERS OFICIAL'!BF3)-'BRAWLERS OFICIAL'!BF3)/($BQ3/5)</f>
        <v>0</v>
      </c>
      <c r="BG3" s="79">
        <f>((0 + 'BRAWLERS OFICIAL'!BG3)-'BRAWLERS OFICIAL'!BG3)/($BQ3/5)</f>
        <v>0</v>
      </c>
      <c r="BH3" s="79">
        <f>((( 0 )/2 + 'BRAWLERS OFICIAL'!BH3)-'BRAWLERS OFICIAL'!BH3)</f>
        <v>0</v>
      </c>
      <c r="BI3" s="79">
        <f>((0 + 'BRAWLERS OFICIAL'!BI3)-'BRAWLERS OFICIAL'!BI3)/($BQ3/5)</f>
        <v>0</v>
      </c>
      <c r="BJ3" s="79">
        <f>((( 0 )/2 + 'BRAWLERS OFICIAL'!BJ3)-'BRAWLERS OFICIAL'!BJ3)</f>
        <v>0</v>
      </c>
      <c r="BK3" s="79">
        <f>((( 0 )/3 + 'BRAWLERS OFICIAL'!BK3)-'BRAWLERS OFICIAL'!BK3)</f>
        <v>0</v>
      </c>
      <c r="BL3" s="79">
        <f>((( 0 )/2 + 'BRAWLERS OFICIAL'!BL3)-'BRAWLERS OFICIAL'!BL3)</f>
        <v>0</v>
      </c>
      <c r="BM3" s="79">
        <f>((0 + 'BRAWLERS OFICIAL'!BM3)-'BRAWLERS OFICIAL'!BM3)/($BQ3/5)</f>
        <v>0</v>
      </c>
      <c r="BN3" s="79">
        <f>((0 + 'BRAWLERS OFICIAL'!BN3)-'BRAWLERS OFICIAL'!BN3)/($BQ3/5)</f>
        <v>0</v>
      </c>
      <c r="BO3" s="79">
        <f>((0 + 'BRAWLERS OFICIAL'!BO3)-'BRAWLERS OFICIAL'!BO3)/($BQ3/5)</f>
        <v>0</v>
      </c>
      <c r="BQ3" s="79">
        <v>13</v>
      </c>
    </row>
    <row r="4" spans="1:69">
      <c r="B4" s="77" t="s">
        <v>401</v>
      </c>
      <c r="C4" s="67" t="s">
        <v>10</v>
      </c>
      <c r="D4" s="131" t="s">
        <v>360</v>
      </c>
      <c r="E4" s="131" t="s">
        <v>383</v>
      </c>
      <c r="F4" s="79">
        <f>((0 + 'BRAWLERS OFICIAL'!F4)-'BRAWLERS OFICIAL'!F4)/($BQ4/5)</f>
        <v>0</v>
      </c>
      <c r="G4" s="79">
        <f>((0 + 'BRAWLERS OFICIAL'!G4)-'BRAWLERS OFICIAL'!G4)/($BQ4/5)</f>
        <v>0</v>
      </c>
      <c r="H4" s="79">
        <f>((0 + 'BRAWLERS OFICIAL'!H4)-'BRAWLERS OFICIAL'!H4)/($BQ4/5)</f>
        <v>0</v>
      </c>
      <c r="I4" s="79">
        <f>((0 + 'BRAWLERS OFICIAL'!I4)-'BRAWLERS OFICIAL'!I4)/($BQ4/5)</f>
        <v>0</v>
      </c>
      <c r="J4" s="79">
        <f>((0.2 + 'BRAWLERS OFICIAL'!J4)-'BRAWLERS OFICIAL'!J4)/($BQ4/5)</f>
        <v>5.5555555555555539E-2</v>
      </c>
      <c r="K4" s="79">
        <f>((0.2 + 'BRAWLERS OFICIAL'!K4)-'BRAWLERS OFICIAL'!K4)/($BQ4/5)</f>
        <v>5.5555555555555539E-2</v>
      </c>
      <c r="L4" s="79">
        <f>((0 + 'BRAWLERS OFICIAL'!L4)-'BRAWLERS OFICIAL'!L4)/($BQ4/5)</f>
        <v>0</v>
      </c>
      <c r="M4" s="79">
        <f>((0 + 'BRAWLERS OFICIAL'!M4)-'BRAWLERS OFICIAL'!M4)/($BQ4/5)</f>
        <v>0</v>
      </c>
      <c r="N4" s="79">
        <f>((0 + 'BRAWLERS OFICIAL'!N4)-'BRAWLERS OFICIAL'!N4)/($BQ4/5)</f>
        <v>0</v>
      </c>
      <c r="O4" s="79">
        <f>((0 + 'BRAWLERS OFICIAL'!O4)-'BRAWLERS OFICIAL'!O4)/($BQ4/5)</f>
        <v>0</v>
      </c>
      <c r="P4" s="79">
        <f>((0 + 'BRAWLERS OFICIAL'!P4)-'BRAWLERS OFICIAL'!P4)/($BQ4/5)</f>
        <v>0</v>
      </c>
      <c r="Q4" s="79">
        <f>(( 0 + 'BRAWLERS OFICIAL'!Q4)-'BRAWLERS OFICIAL'!Q4)/($BQ4/5)</f>
        <v>0</v>
      </c>
      <c r="R4" s="79">
        <f>((0 + 'BRAWLERS OFICIAL'!R4)-'BRAWLERS OFICIAL'!R4)/($BQ4/5)</f>
        <v>0</v>
      </c>
      <c r="S4" s="79">
        <f>((0 + 'BRAWLERS OFICIAL'!S4)-'BRAWLERS OFICIAL'!S4)/($BQ4/5)</f>
        <v>0</v>
      </c>
      <c r="T4" s="79">
        <f>((0 + 'BRAWLERS OFICIAL'!T4)-'BRAWLERS OFICIAL'!T4)/($BQ4/5)</f>
        <v>0</v>
      </c>
      <c r="U4" s="79">
        <f>((0 + 'BRAWLERS OFICIAL'!U4)-'BRAWLERS OFICIAL'!U4)/($BQ4/5)</f>
        <v>0</v>
      </c>
      <c r="V4" s="79">
        <f>((0 + 'BRAWLERS OFICIAL'!V4)-'BRAWLERS OFICIAL'!V4)/($BQ4/5)</f>
        <v>0</v>
      </c>
      <c r="W4" s="79">
        <f>(0 + 'BRAWLERS OFICIAL'!W4)-'BRAWLERS OFICIAL'!W4</f>
        <v>0</v>
      </c>
      <c r="X4" s="121">
        <f>(( 660/1400/2 + 'BRAWLERS OFICIAL'!X4 + AP4 + AY4/3.5 )-'BRAWLERS OFICIAL'!X4)/($BQ4/5)</f>
        <v>6.5476190476190493E-2</v>
      </c>
      <c r="Y4" s="80">
        <f>((0 + 'BRAWLERS OFICIAL'!Y4)-'BRAWLERS OFICIAL'!Y4)/($BQ4/5)</f>
        <v>0</v>
      </c>
      <c r="Z4" s="80">
        <f>(((6.5 + 7 + 10)/3)-'BRAWLERS OFICIAL'!Z4)</f>
        <v>7.833333333333333</v>
      </c>
      <c r="AA4" s="80">
        <f>((0 + 'BRAWLERS OFICIAL'!AA4)-'BRAWLERS OFICIAL'!AA4)/($BQ4/5)</f>
        <v>0</v>
      </c>
      <c r="AB4" s="80">
        <f>((0 + 'BRAWLERS OFICIAL'!AB4)-'BRAWLERS OFICIAL'!AB4)/($BQ4/5)</f>
        <v>0</v>
      </c>
      <c r="AC4" s="80">
        <f>(((0)/4 + 'BRAWLERS OFICIAL'!AC4)-'BRAWLERS OFICIAL'!AC4)/($BQ4/5)</f>
        <v>0</v>
      </c>
      <c r="AD4" s="80">
        <f>((0 + 'BRAWLERS OFICIAL'!AD4)-'BRAWLERS OFICIAL'!AD4)/($BQ4/5)</f>
        <v>0</v>
      </c>
      <c r="AE4" s="80">
        <f>((0 + 'BRAWLERS OFICIAL'!AE4)-'BRAWLERS OFICIAL'!AE4)/($BQ4/5)</f>
        <v>0</v>
      </c>
      <c r="AF4" s="80">
        <f>((0 + 'BRAWLERS OFICIAL'!AF4)-'BRAWLERS OFICIAL'!AF4)/($BQ4/5)</f>
        <v>0</v>
      </c>
      <c r="AG4" s="80">
        <f>((0 + 'BRAWLERS OFICIAL'!AG4)-'BRAWLERS OFICIAL'!AG4)</f>
        <v>0</v>
      </c>
      <c r="AH4" s="80">
        <f>((0 + 'BRAWLERS OFICIAL'!AH4)-'BRAWLERS OFICIAL'!AH4)</f>
        <v>0</v>
      </c>
      <c r="AI4" s="80">
        <f>((0 + 'BRAWLERS OFICIAL'!AI4)-'BRAWLERS OFICIAL'!AI4)</f>
        <v>0</v>
      </c>
      <c r="AJ4" s="80">
        <f>((0 + 'BRAWLERS OFICIAL'!AJ4)-'BRAWLERS OFICIAL'!AJ4)/($BQ4/5)</f>
        <v>0</v>
      </c>
      <c r="AK4" s="80">
        <f>((1 + 'BRAWLERS OFICIAL'!AK4)-'BRAWLERS OFICIAL'!AK4)/($BQ4/5)</f>
        <v>0.27777777777777779</v>
      </c>
      <c r="AL4" s="80">
        <f>(((BK4/5+1)*AK4 + 'BRAWLERS OFICIAL'!AL4)-'BRAWLERS OFICIAL'!AL4)/($BQ4/5)</f>
        <v>7.716049382716049E-2</v>
      </c>
      <c r="AM4" s="80">
        <f>IF( 0 = (1-1), (1-1), ((0 + 'BRAWLERS OFICIAL'!AM4)/1.5)-'BRAWLERS OFICIAL'!AM4 )</f>
        <v>0</v>
      </c>
      <c r="AN4" s="80">
        <f t="shared" ref="AN4:AN20" si="0">IF( 0 = (1-1), (1-1), ( 0 ) )</f>
        <v>0</v>
      </c>
      <c r="AO4" s="80">
        <f>((0 + 'BRAWLERS OFICIAL'!AO4)-'BRAWLERS OFICIAL'!AO4)/($BQ4/5)</f>
        <v>0</v>
      </c>
      <c r="AP4" s="80">
        <f>((0/1000 + 'BRAWLERS OFICIAL'!AP4)-'BRAWLERS OFICIAL'!AP4)</f>
        <v>0</v>
      </c>
      <c r="AQ4" s="80">
        <f>((0 + 'BRAWLERS OFICIAL'!AQ4)-'BRAWLERS OFICIAL'!AQ4)</f>
        <v>0</v>
      </c>
      <c r="AR4" s="80">
        <f>IF( 0 = (1-1), (1-1), ((0 + 'BRAWLERS OFICIAL'!AR4)/1.5) )</f>
        <v>0</v>
      </c>
      <c r="AS4" s="80">
        <f>IF( 0 = (1-1), (1-1), ((0 + 'BRAWLERS OFICIAL'!AS4)/1.5) )</f>
        <v>0</v>
      </c>
      <c r="AT4" s="80">
        <f>IF( 0 = (1-1), (1-1), ((0 + 'BRAWLERS OFICIAL'!AT4)/2) )</f>
        <v>0</v>
      </c>
      <c r="AU4" s="80">
        <f>((0 + 'BRAWLERS OFICIAL'!AU4)-'BRAWLERS OFICIAL'!AU4)/($BQ4/5)</f>
        <v>0</v>
      </c>
      <c r="AV4" s="80">
        <f>(((0)/4 + 'BRAWLERS OFICIAL'!AV4)-'BRAWLERS OFICIAL'!AV4)</f>
        <v>0</v>
      </c>
      <c r="AW4" s="80">
        <v>0</v>
      </c>
      <c r="AX4" s="80" t="s">
        <v>390</v>
      </c>
      <c r="AY4" s="79">
        <f>((( 0 )/3 + 'BRAWLERS OFICIAL'!AY4)-'BRAWLERS OFICIAL'!AY4)</f>
        <v>0</v>
      </c>
      <c r="AZ4" s="79">
        <f>((( 0 )/2 + 'BRAWLERS OFICIAL'!AZ4)-'BRAWLERS OFICIAL'!AZ4)/($BQ4/5)</f>
        <v>0</v>
      </c>
      <c r="BA4" s="79">
        <f>((( 0 )/2 + 'BRAWLERS OFICIAL'!BA4)-'BRAWLERS OFICIAL'!BA4)</f>
        <v>0</v>
      </c>
      <c r="BB4" s="79">
        <f>((( 0 )/3 + 'BRAWLERS OFICIAL'!BB4)-'BRAWLERS OFICIAL'!BB4)</f>
        <v>0</v>
      </c>
      <c r="BC4" s="79">
        <f>((( 0 )/2 + 'BRAWLERS OFICIAL'!BC4)-'BRAWLERS OFICIAL'!BC4)/($BQ4/5)</f>
        <v>0</v>
      </c>
      <c r="BD4" s="79">
        <f>((( 0 )/3 + 'BRAWLERS OFICIAL'!BD4)-'BRAWLERS OFICIAL'!BD4)</f>
        <v>0</v>
      </c>
      <c r="BE4" s="79">
        <f>((( 0 )/3 + 'BRAWLERS OFICIAL'!BE4)-'BRAWLERS OFICIAL'!BE4)</f>
        <v>0</v>
      </c>
      <c r="BF4" s="79">
        <f>((0 + 'BRAWLERS OFICIAL'!BF4)-'BRAWLERS OFICIAL'!BF4)/($BQ4/5)</f>
        <v>0</v>
      </c>
      <c r="BG4" s="79">
        <f>((0 + 'BRAWLERS OFICIAL'!BG4)-'BRAWLERS OFICIAL'!BG4)/($BQ4/5)</f>
        <v>0</v>
      </c>
      <c r="BH4" s="79">
        <f>((( 0 )/2 + 'BRAWLERS OFICIAL'!BH4)-'BRAWLERS OFICIAL'!BH4)</f>
        <v>0</v>
      </c>
      <c r="BI4" s="79">
        <f>((0 + 'BRAWLERS OFICIAL'!BI4)-'BRAWLERS OFICIAL'!BI4)/($BQ4/5)</f>
        <v>0</v>
      </c>
      <c r="BJ4" s="79">
        <f>((( 0 )/2 + 'BRAWLERS OFICIAL'!BJ4)-'BRAWLERS OFICIAL'!BJ4)</f>
        <v>0</v>
      </c>
      <c r="BK4" s="79">
        <f>((( 0 )/3 + 'BRAWLERS OFICIAL'!BK4)-'BRAWLERS OFICIAL'!BK4)</f>
        <v>0</v>
      </c>
      <c r="BL4" s="79">
        <f>((( 0 )/2 + 'BRAWLERS OFICIAL'!BL4)-'BRAWLERS OFICIAL'!BL4)</f>
        <v>0</v>
      </c>
      <c r="BM4" s="79">
        <f>((0 + 'BRAWLERS OFICIAL'!BM4)-'BRAWLERS OFICIAL'!BM4)/($BQ4/5)</f>
        <v>0</v>
      </c>
      <c r="BN4" s="79">
        <f>((0 + 'BRAWLERS OFICIAL'!BN4)-'BRAWLERS OFICIAL'!BN4)/($BQ4/5)</f>
        <v>0</v>
      </c>
      <c r="BO4" s="79">
        <f>((0 + 'BRAWLERS OFICIAL'!BO4)-'BRAWLERS OFICIAL'!BO4)/($BQ4/5)</f>
        <v>0</v>
      </c>
      <c r="BQ4" s="79">
        <v>18</v>
      </c>
    </row>
    <row r="5" spans="1:69">
      <c r="B5" s="77" t="s">
        <v>402</v>
      </c>
      <c r="C5" s="81" t="s">
        <v>88</v>
      </c>
      <c r="D5" s="132" t="s">
        <v>332</v>
      </c>
      <c r="E5" s="132" t="s">
        <v>378</v>
      </c>
      <c r="F5" s="79">
        <f>((0 + 'BRAWLERS OFICIAL'!F5)-'BRAWLERS OFICIAL'!F5)/($BQ5/5)</f>
        <v>0</v>
      </c>
      <c r="G5" s="79">
        <f>((0 + 'BRAWLERS OFICIAL'!G5)-'BRAWLERS OFICIAL'!G5)/($BQ5/5)</f>
        <v>0</v>
      </c>
      <c r="H5" s="79">
        <f>((0 + 'BRAWLERS OFICIAL'!H5)-'BRAWLERS OFICIAL'!H5)/($BQ5/5)</f>
        <v>0</v>
      </c>
      <c r="I5" s="79">
        <f>((0 + 'BRAWLERS OFICIAL'!I5)-'BRAWLERS OFICIAL'!I5)/($BQ5/5)</f>
        <v>0</v>
      </c>
      <c r="J5" s="79">
        <f>((9.5 + 'BRAWLERS OFICIAL'!J5)-'BRAWLERS OFICIAL'!J5)/($BQ5/5)</f>
        <v>2.1590909090909087</v>
      </c>
      <c r="K5" s="79">
        <f>((9.5 + 'BRAWLERS OFICIAL'!K5)-'BRAWLERS OFICIAL'!K5)/($BQ5/5)</f>
        <v>2.1590909090909087</v>
      </c>
      <c r="L5" s="79">
        <f>((5 + 'BRAWLERS OFICIAL'!L5)-'BRAWLERS OFICIAL'!L5)/($BQ5/5)</f>
        <v>1.1363636363636362</v>
      </c>
      <c r="M5" s="79">
        <f>((2 + 'BRAWLERS OFICIAL'!M5)-'BRAWLERS OFICIAL'!M5)/($BQ5/5)</f>
        <v>0.45454545454545453</v>
      </c>
      <c r="N5" s="79">
        <f>((1 + 'BRAWLERS OFICIAL'!N5)-'BRAWLERS OFICIAL'!N5)/($BQ5/5)</f>
        <v>0.22727272727272727</v>
      </c>
      <c r="O5" s="79">
        <f>((0 + 'BRAWLERS OFICIAL'!O5)-'BRAWLERS OFICIAL'!O5)/($BQ5/5)</f>
        <v>0</v>
      </c>
      <c r="P5" s="79">
        <f>((0 + 'BRAWLERS OFICIAL'!P5)-'BRAWLERS OFICIAL'!P5)/($BQ5/5)</f>
        <v>0</v>
      </c>
      <c r="Q5" s="79">
        <f>((0 + 'BRAWLERS OFICIAL'!Q5)-'BRAWLERS OFICIAL'!Q5)/($BQ5/5)</f>
        <v>0</v>
      </c>
      <c r="R5" s="79">
        <f>((0 + 'BRAWLERS OFICIAL'!R5)-'BRAWLERS OFICIAL'!R5)/($BQ5/5)</f>
        <v>0</v>
      </c>
      <c r="S5" s="79">
        <f>((0 + 'BRAWLERS OFICIAL'!S5)-'BRAWLERS OFICIAL'!S5)/($BQ5/5)</f>
        <v>0</v>
      </c>
      <c r="T5" s="79">
        <f>((0 + 'BRAWLERS OFICIAL'!T5)-'BRAWLERS OFICIAL'!T5)/($BQ5/5)</f>
        <v>0</v>
      </c>
      <c r="U5" s="79">
        <f>((0 + 'BRAWLERS OFICIAL'!U5)-'BRAWLERS OFICIAL'!U5)/($BQ5/5)</f>
        <v>0</v>
      </c>
      <c r="V5" s="79">
        <f>((0 + 'BRAWLERS OFICIAL'!V5)-'BRAWLERS OFICIAL'!V5)/($BQ5/5)</f>
        <v>0</v>
      </c>
      <c r="W5" s="79">
        <f>(0 + 'BRAWLERS OFICIAL'!W5)-'BRAWLERS OFICIAL'!W5</f>
        <v>0</v>
      </c>
      <c r="X5" s="121">
        <f>(( 0 + 'BRAWLERS OFICIAL'!X5 + AP5 + AY5/3.5 )-'BRAWLERS OFICIAL'!X5)/($BQ5/5)</f>
        <v>0</v>
      </c>
      <c r="Y5" s="80">
        <f>((0 + 'BRAWLERS OFICIAL'!Y5)-'BRAWLERS OFICIAL'!Y5)/($BQ5/5)</f>
        <v>0</v>
      </c>
      <c r="Z5" s="80">
        <f>(((0)/3 + 'BRAWLERS OFICIAL'!Z5)-'BRAWLERS OFICIAL'!Z5)</f>
        <v>0</v>
      </c>
      <c r="AA5" s="80">
        <f>((8 + 'BRAWLERS OFICIAL'!AA5)-'BRAWLERS OFICIAL'!AA5)/($BQ5/5)</f>
        <v>1.8181818181818181</v>
      </c>
      <c r="AB5" s="80">
        <f>((0 + 'BRAWLERS OFICIAL'!AB5)-'BRAWLERS OFICIAL'!AB5)/($BQ5/5)</f>
        <v>0</v>
      </c>
      <c r="AC5" s="80">
        <f>(((0)/4 + 'BRAWLERS OFICIAL'!AC5)-'BRAWLERS OFICIAL'!AC5)/($BQ5/5)</f>
        <v>0</v>
      </c>
      <c r="AD5" s="80">
        <f>((0 + 'BRAWLERS OFICIAL'!AD5)-'BRAWLERS OFICIAL'!AD5)/($BQ5/5)</f>
        <v>0</v>
      </c>
      <c r="AE5" s="80">
        <f>((0 + 'BRAWLERS OFICIAL'!AE5)-'BRAWLERS OFICIAL'!AE5)/($BQ5/5)</f>
        <v>0</v>
      </c>
      <c r="AF5" s="80">
        <f>((0 + 'BRAWLERS OFICIAL'!AF5)-'BRAWLERS OFICIAL'!AF5)/($BQ5/5)</f>
        <v>0</v>
      </c>
      <c r="AG5" s="80">
        <f>((0 + 'BRAWLERS OFICIAL'!AG5)-'BRAWLERS OFICIAL'!AG5)</f>
        <v>0</v>
      </c>
      <c r="AH5" s="80">
        <f>((0 + 'BRAWLERS OFICIAL'!AH5)-'BRAWLERS OFICIAL'!AH5)</f>
        <v>0</v>
      </c>
      <c r="AI5" s="80">
        <f>((0 + 'BRAWLERS OFICIAL'!AI5)-'BRAWLERS OFICIAL'!AI5)</f>
        <v>0</v>
      </c>
      <c r="AJ5" s="80">
        <f>((0 + 'BRAWLERS OFICIAL'!AJ5)-'BRAWLERS OFICIAL'!AJ5)/($BQ5/5)</f>
        <v>0</v>
      </c>
      <c r="AK5" s="80">
        <f>((0 + 'BRAWLERS OFICIAL'!AK5)-'BRAWLERS OFICIAL'!AK5)/($BQ5/5)</f>
        <v>0</v>
      </c>
      <c r="AL5" s="80">
        <f>(((BK5/5+1)*AK5 + 'BRAWLERS OFICIAL'!AL5)-'BRAWLERS OFICIAL'!AL5)/($BQ5/5)</f>
        <v>0</v>
      </c>
      <c r="AM5" s="80">
        <f>IF( 0 = (1-1), (1-1), ((0 + 'BRAWLERS OFICIAL'!AM5)/1.5)-'BRAWLERS OFICIAL'!AM5 )</f>
        <v>0</v>
      </c>
      <c r="AN5" s="80">
        <f t="shared" si="0"/>
        <v>0</v>
      </c>
      <c r="AO5" s="80">
        <f>((0 + 'BRAWLERS OFICIAL'!AO5)-'BRAWLERS OFICIAL'!AO5)/($BQ5/5)</f>
        <v>0</v>
      </c>
      <c r="AP5" s="80">
        <f>((0/1000 + 'BRAWLERS OFICIAL'!AP5)-'BRAWLERS OFICIAL'!AP5)</f>
        <v>0</v>
      </c>
      <c r="AQ5" s="80">
        <f>((0 + 'BRAWLERS OFICIAL'!AQ5)-'BRAWLERS OFICIAL'!AQ5)</f>
        <v>0</v>
      </c>
      <c r="AR5" s="80">
        <f>IF( 0 = (1-1), (1-1), ((0 + 'BRAWLERS OFICIAL'!AR5)/1.5) )</f>
        <v>0</v>
      </c>
      <c r="AS5" s="80">
        <f>IF( 0 = (1-1), (1-1), ((0 + 'BRAWLERS OFICIAL'!AS5)/1.5) )</f>
        <v>0</v>
      </c>
      <c r="AT5" s="80">
        <f>IF( 0 = (1-1), (1-1), ((0 + 'BRAWLERS OFICIAL'!AT5)/2) )</f>
        <v>0</v>
      </c>
      <c r="AU5" s="80">
        <f>((0 + 'BRAWLERS OFICIAL'!AU5)-'BRAWLERS OFICIAL'!AU5)/($BQ5/5)</f>
        <v>0</v>
      </c>
      <c r="AV5" s="80">
        <f>(((0)/4 + 'BRAWLERS OFICIAL'!AV5)-'BRAWLERS OFICIAL'!AV5)</f>
        <v>0</v>
      </c>
      <c r="AW5" s="80">
        <v>0</v>
      </c>
      <c r="AX5" s="80" t="s">
        <v>390</v>
      </c>
      <c r="AY5" s="79">
        <f>((( 0 )/3 + 'BRAWLERS OFICIAL'!AY5)-'BRAWLERS OFICIAL'!AY5)</f>
        <v>0</v>
      </c>
      <c r="AZ5" s="79">
        <f>((( 0 )/2 + 'BRAWLERS OFICIAL'!AZ5)-'BRAWLERS OFICIAL'!AZ5)/($BQ5/5)</f>
        <v>0</v>
      </c>
      <c r="BA5" s="79">
        <f>((( 0 )/2 + 'BRAWLERS OFICIAL'!BA5)-'BRAWLERS OFICIAL'!BA5)</f>
        <v>0</v>
      </c>
      <c r="BB5" s="79">
        <f>((( 0 )/3 + 'BRAWLERS OFICIAL'!BB5)-'BRAWLERS OFICIAL'!BB5)</f>
        <v>0</v>
      </c>
      <c r="BC5" s="79">
        <f>((( 0 )/2 + 'BRAWLERS OFICIAL'!BC5)-'BRAWLERS OFICIAL'!BC5)/($BQ5/5)</f>
        <v>0</v>
      </c>
      <c r="BD5" s="79">
        <f>((( 0 )/3 + 'BRAWLERS OFICIAL'!BD5)-'BRAWLERS OFICIAL'!BD5)</f>
        <v>0</v>
      </c>
      <c r="BE5" s="79">
        <f>((( 0 )/3 + 'BRAWLERS OFICIAL'!BE5)-'BRAWLERS OFICIAL'!BE5)</f>
        <v>0</v>
      </c>
      <c r="BF5" s="79">
        <f>((0 + 'BRAWLERS OFICIAL'!BF5)-'BRAWLERS OFICIAL'!BF5)/($BQ5/5)</f>
        <v>0</v>
      </c>
      <c r="BG5" s="79">
        <f>((0 + 'BRAWLERS OFICIAL'!BG5)-'BRAWLERS OFICIAL'!BG5)/($BQ5/5)</f>
        <v>0</v>
      </c>
      <c r="BH5" s="79">
        <f>((( 0 )/2 + 'BRAWLERS OFICIAL'!BH5)-'BRAWLERS OFICIAL'!BH5)</f>
        <v>0</v>
      </c>
      <c r="BI5" s="79">
        <f>((0 + 'BRAWLERS OFICIAL'!BI5)-'BRAWLERS OFICIAL'!BI5)/($BQ5/5)</f>
        <v>0</v>
      </c>
      <c r="BJ5" s="79">
        <f>((( 0 )/2 + 'BRAWLERS OFICIAL'!BJ5)-'BRAWLERS OFICIAL'!BJ5)</f>
        <v>0</v>
      </c>
      <c r="BK5" s="79">
        <f>((( 0 )/3 + 'BRAWLERS OFICIAL'!BK5)-'BRAWLERS OFICIAL'!BK5)</f>
        <v>0</v>
      </c>
      <c r="BL5" s="79">
        <f>((( 0 )/2 + 'BRAWLERS OFICIAL'!BL5)-'BRAWLERS OFICIAL'!BL5)</f>
        <v>0</v>
      </c>
      <c r="BM5" s="79">
        <f>((0 + 'BRAWLERS OFICIAL'!BM5)-'BRAWLERS OFICIAL'!BM5)/($BQ5/5)</f>
        <v>0</v>
      </c>
      <c r="BN5" s="79">
        <f>((0 + 'BRAWLERS OFICIAL'!BN5)-'BRAWLERS OFICIAL'!BN5)/($BQ5/5)</f>
        <v>0</v>
      </c>
      <c r="BO5" s="79">
        <f>((0 + 'BRAWLERS OFICIAL'!BO5)-'BRAWLERS OFICIAL'!BO5)/($BQ5/5)</f>
        <v>0</v>
      </c>
      <c r="BQ5" s="79">
        <v>22</v>
      </c>
    </row>
    <row r="6" spans="1:69">
      <c r="B6" s="77" t="s">
        <v>403</v>
      </c>
      <c r="C6" s="67" t="s">
        <v>96</v>
      </c>
      <c r="D6" s="131" t="s">
        <v>378</v>
      </c>
      <c r="E6" s="131" t="s">
        <v>377</v>
      </c>
      <c r="F6" s="79">
        <f>((0 + 'BRAWLERS OFICIAL'!F6)-'BRAWLERS OFICIAL'!F6)/($BQ6/5)</f>
        <v>0</v>
      </c>
      <c r="G6" s="79">
        <f>((0 + 'BRAWLERS OFICIAL'!G6)-'BRAWLERS OFICIAL'!G6)/($BQ6/5)</f>
        <v>0</v>
      </c>
      <c r="H6" s="79">
        <f>((0 + 'BRAWLERS OFICIAL'!H6)-'BRAWLERS OFICIAL'!H6)/($BQ6/5)</f>
        <v>0</v>
      </c>
      <c r="I6" s="79">
        <f>((0 + 'BRAWLERS OFICIAL'!I6)-'BRAWLERS OFICIAL'!I6)/($BQ6/5)</f>
        <v>0</v>
      </c>
      <c r="J6" s="79">
        <f>((4 + 'BRAWLERS OFICIAL'!J6)-'BRAWLERS OFICIAL'!J6)/($BQ6/5)</f>
        <v>1.1764705882352942</v>
      </c>
      <c r="K6" s="79">
        <f>((4 + 'BRAWLERS OFICIAL'!K6)-'BRAWLERS OFICIAL'!K6)/($BQ6/5)</f>
        <v>1.1764705882352942</v>
      </c>
      <c r="L6" s="79">
        <f>((2.5 + 'BRAWLERS OFICIAL'!L6)-'BRAWLERS OFICIAL'!L6)/($BQ6/5)</f>
        <v>0.73529411764705888</v>
      </c>
      <c r="M6" s="79">
        <f>((1.5 + 'BRAWLERS OFICIAL'!M6)-'BRAWLERS OFICIAL'!M6)/($BQ6/5)</f>
        <v>0.44117647058823528</v>
      </c>
      <c r="N6" s="79">
        <f>((0 + 'BRAWLERS OFICIAL'!N6)-'BRAWLERS OFICIAL'!N6)/($BQ6/5)</f>
        <v>0</v>
      </c>
      <c r="O6" s="79">
        <f>((0 + 'BRAWLERS OFICIAL'!O6)-'BRAWLERS OFICIAL'!O6)/($BQ6/5)</f>
        <v>0</v>
      </c>
      <c r="P6" s="79">
        <f>((0 + 'BRAWLERS OFICIAL'!P6)-'BRAWLERS OFICIAL'!P6)/($BQ6/5)</f>
        <v>0</v>
      </c>
      <c r="Q6" s="79">
        <f>((0 + 'BRAWLERS OFICIAL'!Q6)-'BRAWLERS OFICIAL'!Q6)/($BQ6/5)</f>
        <v>0</v>
      </c>
      <c r="R6" s="79">
        <f>((0 + 'BRAWLERS OFICIAL'!R6)-'BRAWLERS OFICIAL'!R6)/($BQ6/5)</f>
        <v>0</v>
      </c>
      <c r="S6" s="79">
        <f>((0 + 'BRAWLERS OFICIAL'!S6)-'BRAWLERS OFICIAL'!S6)/($BQ6/5)</f>
        <v>0</v>
      </c>
      <c r="T6" s="79">
        <f>((0 + 'BRAWLERS OFICIAL'!T6)-'BRAWLERS OFICIAL'!T6)/($BQ6/5)</f>
        <v>0</v>
      </c>
      <c r="U6" s="79">
        <f>((0 + 'BRAWLERS OFICIAL'!U6)-'BRAWLERS OFICIAL'!U6)/($BQ6/5)</f>
        <v>0</v>
      </c>
      <c r="V6" s="79">
        <f>((0 + 'BRAWLERS OFICIAL'!V6)-'BRAWLERS OFICIAL'!V6)/($BQ6/5)</f>
        <v>0</v>
      </c>
      <c r="W6" s="79">
        <f>(0 + 'BRAWLERS OFICIAL'!W6)-'BRAWLERS OFICIAL'!W6</f>
        <v>0</v>
      </c>
      <c r="X6" s="121">
        <f>(( 0 + 'BRAWLERS OFICIAL'!X6 + AP6 + AY6/3.5 )-'BRAWLERS OFICIAL'!X6)/($BQ6/5)</f>
        <v>0</v>
      </c>
      <c r="Y6" s="80">
        <f>((0 + 'BRAWLERS OFICIAL'!Y6)-'BRAWLERS OFICIAL'!Y6)/($BQ6/5)</f>
        <v>0</v>
      </c>
      <c r="Z6" s="80">
        <f>(((0)/3 + 'BRAWLERS OFICIAL'!Z6)-'BRAWLERS OFICIAL'!Z6)</f>
        <v>0</v>
      </c>
      <c r="AA6" s="80">
        <f>((3 + 'BRAWLERS OFICIAL'!AA6)-'BRAWLERS OFICIAL'!AA6)/($BQ6/5)</f>
        <v>0.88235294117647056</v>
      </c>
      <c r="AB6" s="80">
        <f>((0 + 'BRAWLERS OFICIAL'!AB6)-'BRAWLERS OFICIAL'!AB6)/($BQ6/5)</f>
        <v>0</v>
      </c>
      <c r="AC6" s="80">
        <f>(((0)/4 + 'BRAWLERS OFICIAL'!AC6)-'BRAWLERS OFICIAL'!AC6)/($BQ6/5)</f>
        <v>0</v>
      </c>
      <c r="AD6" s="80">
        <f>((0 + 'BRAWLERS OFICIAL'!AD6)-'BRAWLERS OFICIAL'!AD6)/($BQ6/5)</f>
        <v>0</v>
      </c>
      <c r="AE6" s="80">
        <f>((0 + 'BRAWLERS OFICIAL'!AE6)-'BRAWLERS OFICIAL'!AE6)/($BQ6/5)</f>
        <v>0</v>
      </c>
      <c r="AF6" s="80">
        <f>((0 + 'BRAWLERS OFICIAL'!AF6)-'BRAWLERS OFICIAL'!AF6)/($BQ6/5)</f>
        <v>0</v>
      </c>
      <c r="AG6" s="80">
        <f>((0 + 'BRAWLERS OFICIAL'!AG6)-'BRAWLERS OFICIAL'!AG6)</f>
        <v>0</v>
      </c>
      <c r="AH6" s="80">
        <f>((0 + 'BRAWLERS OFICIAL'!AH6)-'BRAWLERS OFICIAL'!AH6)</f>
        <v>0</v>
      </c>
      <c r="AI6" s="80">
        <f>((0 + 'BRAWLERS OFICIAL'!AI6)-'BRAWLERS OFICIAL'!AI6)</f>
        <v>0</v>
      </c>
      <c r="AJ6" s="80">
        <f>((0 + 'BRAWLERS OFICIAL'!AJ6)-'BRAWLERS OFICIAL'!AJ6)/($BQ6/5)</f>
        <v>0</v>
      </c>
      <c r="AK6" s="80">
        <f>((0 + 'BRAWLERS OFICIAL'!AK6)-'BRAWLERS OFICIAL'!AK6)/($BQ6/5)</f>
        <v>0</v>
      </c>
      <c r="AL6" s="80">
        <f>(((BK6/5+1)*AK6 + 'BRAWLERS OFICIAL'!AL6)-'BRAWLERS OFICIAL'!AL6)/($BQ6/5)</f>
        <v>0</v>
      </c>
      <c r="AM6" s="80">
        <f>IF( 0 = (1-1), (1-1), ((0 + 'BRAWLERS OFICIAL'!AM6)/1.5)-'BRAWLERS OFICIAL'!AM6 )</f>
        <v>0</v>
      </c>
      <c r="AN6" s="80">
        <f t="shared" si="0"/>
        <v>0</v>
      </c>
      <c r="AO6" s="80">
        <f>((0 + 'BRAWLERS OFICIAL'!AO6)-'BRAWLERS OFICIAL'!AO6)/($BQ6/5)</f>
        <v>0</v>
      </c>
      <c r="AP6" s="80">
        <f>((0/1000 + 'BRAWLERS OFICIAL'!AP6)-'BRAWLERS OFICIAL'!AP6)</f>
        <v>0</v>
      </c>
      <c r="AQ6" s="80">
        <f>((0 + 'BRAWLERS OFICIAL'!AQ6)-'BRAWLERS OFICIAL'!AQ6)</f>
        <v>0</v>
      </c>
      <c r="AR6" s="80">
        <f>IF( 0 = (1-1), (1-1), ((0 + 'BRAWLERS OFICIAL'!AR6)/1.5) )</f>
        <v>0</v>
      </c>
      <c r="AS6" s="80">
        <f>IF( 0 = (1-1), (1-1), ((0 + 'BRAWLERS OFICIAL'!AS6)/1.5) )</f>
        <v>0</v>
      </c>
      <c r="AT6" s="80">
        <f>IF( 0 = (1-1), (1-1), ((0 + 'BRAWLERS OFICIAL'!AT6)/2) )</f>
        <v>0</v>
      </c>
      <c r="AU6" s="80">
        <f>((0 + 'BRAWLERS OFICIAL'!AU6)-'BRAWLERS OFICIAL'!AU6)/($BQ6/5)</f>
        <v>0</v>
      </c>
      <c r="AV6" s="80">
        <f>(((0)/4 + 'BRAWLERS OFICIAL'!AV6)-'BRAWLERS OFICIAL'!AV6)</f>
        <v>0</v>
      </c>
      <c r="AW6" s="80">
        <v>0</v>
      </c>
      <c r="AX6" s="80" t="s">
        <v>390</v>
      </c>
      <c r="AY6" s="79">
        <f>((( 0 )/3 + 'BRAWLERS OFICIAL'!AY6)-'BRAWLERS OFICIAL'!AY6)</f>
        <v>0</v>
      </c>
      <c r="AZ6" s="79">
        <f>((( 0 )/2 + 'BRAWLERS OFICIAL'!AZ6)-'BRAWLERS OFICIAL'!AZ6)/($BQ6/5)</f>
        <v>0</v>
      </c>
      <c r="BA6" s="79">
        <f>((( 0 )/2 + 'BRAWLERS OFICIAL'!BA6)-'BRAWLERS OFICIAL'!BA6)</f>
        <v>0</v>
      </c>
      <c r="BB6" s="79">
        <f>((( 0 )/3 + 'BRAWLERS OFICIAL'!BB6)-'BRAWLERS OFICIAL'!BB6)</f>
        <v>0</v>
      </c>
      <c r="BC6" s="79">
        <f>((( 0 )/2 + 'BRAWLERS OFICIAL'!BC6)-'BRAWLERS OFICIAL'!BC6)/($BQ6/5)</f>
        <v>0</v>
      </c>
      <c r="BD6" s="79">
        <f>((( 0 )/3 + 'BRAWLERS OFICIAL'!BD6)-'BRAWLERS OFICIAL'!BD6)</f>
        <v>0</v>
      </c>
      <c r="BE6" s="79">
        <f>((( 0 )/3 + 'BRAWLERS OFICIAL'!BE6)-'BRAWLERS OFICIAL'!BE6)</f>
        <v>0</v>
      </c>
      <c r="BF6" s="79">
        <f>((0 + 'BRAWLERS OFICIAL'!BF6)-'BRAWLERS OFICIAL'!BF6)/($BQ6/5)</f>
        <v>0</v>
      </c>
      <c r="BG6" s="79">
        <f>((0 + 'BRAWLERS OFICIAL'!BG6)-'BRAWLERS OFICIAL'!BG6)/($BQ6/5)</f>
        <v>0</v>
      </c>
      <c r="BH6" s="79">
        <f>((( 0 )/2 + 'BRAWLERS OFICIAL'!BH6)-'BRAWLERS OFICIAL'!BH6)</f>
        <v>0</v>
      </c>
      <c r="BI6" s="79">
        <f>((4 + 'BRAWLERS OFICIAL'!BI6)-'BRAWLERS OFICIAL'!BI6)/($BQ6/5)</f>
        <v>1.1764705882352942</v>
      </c>
      <c r="BJ6" s="79">
        <f>((( 0 )/2 + 'BRAWLERS OFICIAL'!BJ6)-'BRAWLERS OFICIAL'!BJ6)</f>
        <v>0</v>
      </c>
      <c r="BK6" s="79">
        <f>((( 0 )/3 + 'BRAWLERS OFICIAL'!BK6)-'BRAWLERS OFICIAL'!BK6)</f>
        <v>0</v>
      </c>
      <c r="BL6" s="79">
        <f>((( 0 )/2 + 'BRAWLERS OFICIAL'!BL6)-'BRAWLERS OFICIAL'!BL6)</f>
        <v>0</v>
      </c>
      <c r="BM6" s="79">
        <f>((0 + 'BRAWLERS OFICIAL'!BM6)-'BRAWLERS OFICIAL'!BM6)/($BQ6/5)</f>
        <v>0</v>
      </c>
      <c r="BN6" s="79">
        <f>((0 + 'BRAWLERS OFICIAL'!BN6)-'BRAWLERS OFICIAL'!BN6)/($BQ6/5)</f>
        <v>0</v>
      </c>
      <c r="BO6" s="79">
        <f>((0 + 'BRAWLERS OFICIAL'!BO6)-'BRAWLERS OFICIAL'!BO6)/($BQ6/5)</f>
        <v>0</v>
      </c>
      <c r="BQ6" s="79">
        <v>17</v>
      </c>
    </row>
    <row r="7" spans="1:69">
      <c r="B7" s="77" t="s">
        <v>404</v>
      </c>
      <c r="C7" s="67" t="s">
        <v>62</v>
      </c>
      <c r="D7" s="131" t="s">
        <v>389</v>
      </c>
      <c r="E7" s="131" t="s">
        <v>326</v>
      </c>
      <c r="F7" s="79">
        <f>((0 + 'BRAWLERS OFICIAL'!F7)-'BRAWLERS OFICIAL'!F7)/($BQ7/5)</f>
        <v>0</v>
      </c>
      <c r="G7" s="79">
        <f>((0 + 'BRAWLERS OFICIAL'!G7)-'BRAWLERS OFICIAL'!G7)/($BQ7/5)</f>
        <v>0</v>
      </c>
      <c r="H7" s="79">
        <f>((0 + 'BRAWLERS OFICIAL'!H7)-'BRAWLERS OFICIAL'!H7)/($BQ7/5)</f>
        <v>0</v>
      </c>
      <c r="I7" s="79">
        <f>((0 + 'BRAWLERS OFICIAL'!I7)-'BRAWLERS OFICIAL'!I7)/($BQ7/5)</f>
        <v>0</v>
      </c>
      <c r="J7" s="79">
        <f>((0 + 'BRAWLERS OFICIAL'!J7)-'BRAWLERS OFICIAL'!J7)/($BQ7/5)</f>
        <v>0</v>
      </c>
      <c r="K7" s="79">
        <f>((0 + 'BRAWLERS OFICIAL'!K7)-'BRAWLERS OFICIAL'!K7)/($BQ7/5)</f>
        <v>0</v>
      </c>
      <c r="L7" s="79">
        <f>((0 + 'BRAWLERS OFICIAL'!L7)-'BRAWLERS OFICIAL'!L7)/($BQ7/5)</f>
        <v>0</v>
      </c>
      <c r="M7" s="79">
        <f>((0 + 'BRAWLERS OFICIAL'!M7)-'BRAWLERS OFICIAL'!M7)/($BQ7/5)</f>
        <v>0</v>
      </c>
      <c r="N7" s="79">
        <f>((0 + 'BRAWLERS OFICIAL'!N7)-'BRAWLERS OFICIAL'!N7)/($BQ7/5)</f>
        <v>0</v>
      </c>
      <c r="O7" s="79">
        <f>((0 + 'BRAWLERS OFICIAL'!O7)-'BRAWLERS OFICIAL'!O7)/($BQ7/5)</f>
        <v>0</v>
      </c>
      <c r="P7" s="79">
        <f>((0 + 'BRAWLERS OFICIAL'!P7)-'BRAWLERS OFICIAL'!P7)/($BQ7/5)</f>
        <v>0</v>
      </c>
      <c r="Q7" s="79">
        <f>((0 + 'BRAWLERS OFICIAL'!Q7)-'BRAWLERS OFICIAL'!Q7)/($BQ7/5)</f>
        <v>0</v>
      </c>
      <c r="R7" s="79">
        <f>((0 + 'BRAWLERS OFICIAL'!R7)-'BRAWLERS OFICIAL'!R7)/($BQ7/5)</f>
        <v>0</v>
      </c>
      <c r="S7" s="79">
        <f>((0 + 'BRAWLERS OFICIAL'!S7)-'BRAWLERS OFICIAL'!S7)/($BQ7/5)</f>
        <v>0</v>
      </c>
      <c r="T7" s="79">
        <f>((0 + 'BRAWLERS OFICIAL'!T7)-'BRAWLERS OFICIAL'!T7)/($BQ7/5)</f>
        <v>0</v>
      </c>
      <c r="U7" s="79">
        <f>((0 + 'BRAWLERS OFICIAL'!U7)-'BRAWLERS OFICIAL'!U7)/($BQ7/5)</f>
        <v>0</v>
      </c>
      <c r="V7" s="79">
        <f>((0 + 'BRAWLERS OFICIAL'!V7)-'BRAWLERS OFICIAL'!V7)/($BQ7/5)</f>
        <v>0</v>
      </c>
      <c r="W7" s="79">
        <f>(0 + 'BRAWLERS OFICIAL'!W7)-'BRAWLERS OFICIAL'!W7</f>
        <v>0</v>
      </c>
      <c r="X7" s="121">
        <f>(( 0 + 'BRAWLERS OFICIAL'!X7 + AP7 + AY7/3.5 )-'BRAWLERS OFICIAL'!X7)/($BQ7/5)</f>
        <v>1.2692307692307692</v>
      </c>
      <c r="Y7" s="80">
        <f>((0 + 'BRAWLERS OFICIAL'!Y7)-'BRAWLERS OFICIAL'!Y7)/($BQ7/5)</f>
        <v>0</v>
      </c>
      <c r="Z7" s="80">
        <f>(((8 + 8 + 5)/3)-'BRAWLERS OFICIAL'!Z7)</f>
        <v>1</v>
      </c>
      <c r="AA7" s="80">
        <f>((0 + 'BRAWLERS OFICIAL'!AA7)-'BRAWLERS OFICIAL'!AA7)/($BQ7/5)</f>
        <v>0</v>
      </c>
      <c r="AB7" s="80">
        <f>((0 + 'BRAWLERS OFICIAL'!AB7)-'BRAWLERS OFICIAL'!AB7)/($BQ7/5)</f>
        <v>0</v>
      </c>
      <c r="AC7" s="80">
        <f>(((0)/4 + 'BRAWLERS OFICIAL'!AC7)-'BRAWLERS OFICIAL'!AC7)/($BQ7/5)</f>
        <v>0</v>
      </c>
      <c r="AD7" s="80">
        <f>((0 + 'BRAWLERS OFICIAL'!AD7)-'BRAWLERS OFICIAL'!AD7)/($BQ7/5)</f>
        <v>0</v>
      </c>
      <c r="AE7" s="80">
        <f>((0 + 'BRAWLERS OFICIAL'!AE7)-'BRAWLERS OFICIAL'!AE7)/($BQ7/5)</f>
        <v>0</v>
      </c>
      <c r="AF7" s="80">
        <f>((0 + 'BRAWLERS OFICIAL'!AF7)-'BRAWLERS OFICIAL'!AF7)/($BQ7/5)</f>
        <v>0</v>
      </c>
      <c r="AG7" s="80">
        <f>((0 + 'BRAWLERS OFICIAL'!AG7)-'BRAWLERS OFICIAL'!AG7)</f>
        <v>0</v>
      </c>
      <c r="AH7" s="80">
        <f>((0 + 'BRAWLERS OFICIAL'!AH7)-'BRAWLERS OFICIAL'!AH7)</f>
        <v>0</v>
      </c>
      <c r="AI7" s="80">
        <f>((0 + 'BRAWLERS OFICIAL'!AI7)-'BRAWLERS OFICIAL'!AI7)</f>
        <v>0</v>
      </c>
      <c r="AJ7" s="80">
        <f>((0 + 'BRAWLERS OFICIAL'!AJ7)-'BRAWLERS OFICIAL'!AJ7)/($BQ7/5)</f>
        <v>0</v>
      </c>
      <c r="AK7" s="80">
        <f>((5 + 'BRAWLERS OFICIAL'!AK7)-'BRAWLERS OFICIAL'!AK7)/($BQ7/5)</f>
        <v>1.9230769230769229</v>
      </c>
      <c r="AL7" s="80">
        <f>(((BK7/5+1)*AK7 + 'BRAWLERS OFICIAL'!AL7)-'BRAWLERS OFICIAL'!AL7)/($BQ7/5)</f>
        <v>0.7396449704142013</v>
      </c>
      <c r="AM7" s="80">
        <f>IF( 6.5 = (1-1), (1-1), ((6.5 + 'BRAWLERS OFICIAL'!AM7)/1.5)-'BRAWLERS OFICIAL'!AM7 )</f>
        <v>4.333333333333333</v>
      </c>
      <c r="AN7" s="80">
        <f>IF( 1 = (1-1), (1-1), ( 1 ) )</f>
        <v>1</v>
      </c>
      <c r="AO7" s="80">
        <f>((1 + 'BRAWLERS OFICIAL'!AO7)-'BRAWLERS OFICIAL'!AO7)/($BQ7/5)</f>
        <v>0.38461538461538458</v>
      </c>
      <c r="AP7" s="80">
        <f>(('BRAWLERS OFICIAL'!X7*1400/2/1000 + 'BRAWLERS OFICIAL'!AP7)-'BRAWLERS OFICIAL'!AP7)</f>
        <v>3.3</v>
      </c>
      <c r="AQ7" s="80">
        <f>((0 + 'BRAWLERS OFICIAL'!AQ7)-'BRAWLERS OFICIAL'!AQ7)/($BQ7/5)</f>
        <v>0</v>
      </c>
      <c r="AR7" s="80">
        <f>IF( 1 = (1-1), (1-1), ((1 + 'BRAWLERS OFICIAL'!AR7)/1.5) )</f>
        <v>0.66666666666666663</v>
      </c>
      <c r="AS7" s="80">
        <f>IF( 'BRAWLERS OFICIAL'!AJ7 = (1-1), (1-1), (('BRAWLERS OFICIAL'!AJ7 + 'BRAWLERS OFICIAL'!AS7)/1.5) )</f>
        <v>6</v>
      </c>
      <c r="AT7" s="80">
        <f>IF( 2.5 = (1-1), (1-1), ((2.5 + 'BRAWLERS OFICIAL'!AT7)/2) )</f>
        <v>1.25</v>
      </c>
      <c r="AU7" s="80">
        <f>((0 + 'BRAWLERS OFICIAL'!AU7)-'BRAWLERS OFICIAL'!AU7)/($BQ7/5)</f>
        <v>0</v>
      </c>
      <c r="AV7" s="80">
        <f>(((1 + 3 + 4 + 6.5)/4 + 'BRAWLERS OFICIAL'!AV7)-'BRAWLERS OFICIAL'!AV7)</f>
        <v>3.625</v>
      </c>
      <c r="AW7" s="80">
        <v>0</v>
      </c>
      <c r="AX7" s="80" t="s">
        <v>390</v>
      </c>
      <c r="AY7" s="79">
        <f>((( 0 )/3 + 'BRAWLERS OFICIAL'!AY7)-'BRAWLERS OFICIAL'!AY7)</f>
        <v>0</v>
      </c>
      <c r="AZ7" s="79">
        <f>((( 0 )/2 + 'BRAWLERS OFICIAL'!AZ7)-'BRAWLERS OFICIAL'!AZ7)/($BQ7/5)</f>
        <v>0</v>
      </c>
      <c r="BA7" s="79">
        <f>((( 0 )/2 + 'BRAWLERS OFICIAL'!BA7)-'BRAWLERS OFICIAL'!BA7)</f>
        <v>0</v>
      </c>
      <c r="BB7" s="79">
        <f>((( 0 )/3 + 'BRAWLERS OFICIAL'!BB7)-'BRAWLERS OFICIAL'!BB7)</f>
        <v>0</v>
      </c>
      <c r="BC7" s="79">
        <f>((( 0 )/2 + 'BRAWLERS OFICIAL'!BC7)-'BRAWLERS OFICIAL'!BC7)/($BQ7/5)</f>
        <v>0</v>
      </c>
      <c r="BD7" s="79">
        <f>((( 0 )/3 + 'BRAWLERS OFICIAL'!BD7)-'BRAWLERS OFICIAL'!BD7)</f>
        <v>0</v>
      </c>
      <c r="BE7" s="79">
        <f>((( 0 )/3 + 'BRAWLERS OFICIAL'!BE7)-'BRAWLERS OFICIAL'!BE7)</f>
        <v>0</v>
      </c>
      <c r="BF7" s="79">
        <f>((0 + 'BRAWLERS OFICIAL'!BF7)-'BRAWLERS OFICIAL'!BF7)/($BQ7/5)</f>
        <v>0</v>
      </c>
      <c r="BG7" s="79">
        <f>((0 + 'BRAWLERS OFICIAL'!BG7)-'BRAWLERS OFICIAL'!BG7)/($BQ7/5)</f>
        <v>0</v>
      </c>
      <c r="BH7" s="79">
        <f>((( 0 )/2 + 'BRAWLERS OFICIAL'!BH7)-'BRAWLERS OFICIAL'!BH7)</f>
        <v>0</v>
      </c>
      <c r="BI7" s="79">
        <f>((0 + 'BRAWLERS OFICIAL'!BI7)-'BRAWLERS OFICIAL'!BI7)/($BQ7/5)</f>
        <v>0</v>
      </c>
      <c r="BJ7" s="79">
        <f>((( 0 )/2 + 'BRAWLERS OFICIAL'!BJ7)-'BRAWLERS OFICIAL'!BJ7)</f>
        <v>0</v>
      </c>
      <c r="BK7" s="79">
        <f>((( 0 )/3 + 'BRAWLERS OFICIAL'!BK7)-'BRAWLERS OFICIAL'!BK7)</f>
        <v>0</v>
      </c>
      <c r="BL7" s="79">
        <f>((( 0 )/2 + 'BRAWLERS OFICIAL'!BL7)-'BRAWLERS OFICIAL'!BL7)</f>
        <v>0</v>
      </c>
      <c r="BM7" s="79">
        <f>((0 + 'BRAWLERS OFICIAL'!BM7)-'BRAWLERS OFICIAL'!BM7)/($BQ7/5)</f>
        <v>0</v>
      </c>
      <c r="BN7" s="79">
        <f>((0 + 'BRAWLERS OFICIAL'!BN7)-'BRAWLERS OFICIAL'!BN7)/($BQ7/5)</f>
        <v>0</v>
      </c>
      <c r="BO7" s="79">
        <f>((0 + 'BRAWLERS OFICIAL'!BO7)-'BRAWLERS OFICIAL'!BO7)/($BQ7/5)</f>
        <v>0</v>
      </c>
      <c r="BQ7" s="79">
        <v>13</v>
      </c>
    </row>
    <row r="8" spans="1:69">
      <c r="B8" s="77" t="s">
        <v>405</v>
      </c>
      <c r="C8" s="67" t="s">
        <v>44</v>
      </c>
      <c r="D8" s="131" t="s">
        <v>367</v>
      </c>
      <c r="E8" s="131" t="s">
        <v>369</v>
      </c>
      <c r="F8" s="79">
        <f>((0 + 'BRAWLERS OFICIAL'!F8)-'BRAWLERS OFICIAL'!F8)/($BQ8/5)</f>
        <v>0</v>
      </c>
      <c r="G8" s="79">
        <f>((0 + 'BRAWLERS OFICIAL'!G8)-'BRAWLERS OFICIAL'!G8)/($BQ8/5)</f>
        <v>0</v>
      </c>
      <c r="H8" s="79">
        <f>((0 + 'BRAWLERS OFICIAL'!H8)-'BRAWLERS OFICIAL'!H8)/($BQ8/5)</f>
        <v>0</v>
      </c>
      <c r="I8" s="79">
        <f>((0 + 'BRAWLERS OFICIAL'!I8)-'BRAWLERS OFICIAL'!I8)/($BQ8/5)</f>
        <v>0</v>
      </c>
      <c r="J8" s="79">
        <f>((0 + 'BRAWLERS OFICIAL'!J8)-'BRAWLERS OFICIAL'!J8)/($BQ8/5)</f>
        <v>0</v>
      </c>
      <c r="K8" s="79">
        <f>((0 + 'BRAWLERS OFICIAL'!K8)-'BRAWLERS OFICIAL'!K8)/($BQ8/5)</f>
        <v>0</v>
      </c>
      <c r="L8" s="79">
        <f>((0 + 'BRAWLERS OFICIAL'!L8)-'BRAWLERS OFICIAL'!L8)/($BQ8/5)</f>
        <v>0</v>
      </c>
      <c r="M8" s="79">
        <f>((0 + 'BRAWLERS OFICIAL'!M8)-'BRAWLERS OFICIAL'!M8)/($BQ8/5)</f>
        <v>0</v>
      </c>
      <c r="N8" s="79">
        <f>((0 + 'BRAWLERS OFICIAL'!N8)-'BRAWLERS OFICIAL'!N8)/($BQ8/5)</f>
        <v>0</v>
      </c>
      <c r="O8" s="79">
        <f>((0 + 'BRAWLERS OFICIAL'!O8)-'BRAWLERS OFICIAL'!O8)/($BQ8/5)</f>
        <v>0</v>
      </c>
      <c r="P8" s="79">
        <f>((0 + 'BRAWLERS OFICIAL'!P8)-'BRAWLERS OFICIAL'!P8)/($BQ8/5)</f>
        <v>0</v>
      </c>
      <c r="Q8" s="79">
        <f>((0 + 'BRAWLERS OFICIAL'!Q8)-'BRAWLERS OFICIAL'!Q8)/($BQ8/5)</f>
        <v>0</v>
      </c>
      <c r="R8" s="79">
        <f>((0 + 'BRAWLERS OFICIAL'!R8)-'BRAWLERS OFICIAL'!R8)/($BQ8/5)</f>
        <v>0</v>
      </c>
      <c r="S8" s="79">
        <f>((0 + 'BRAWLERS OFICIAL'!S8)-'BRAWLERS OFICIAL'!S8)/($BQ8/5)</f>
        <v>0</v>
      </c>
      <c r="T8" s="79">
        <f>((0 + 'BRAWLERS OFICIAL'!T8)-'BRAWLERS OFICIAL'!T8)/($BQ8/5)</f>
        <v>0</v>
      </c>
      <c r="U8" s="79">
        <f>((0 + 'BRAWLERS OFICIAL'!U8)-'BRAWLERS OFICIAL'!U8)/($BQ8/5)</f>
        <v>0</v>
      </c>
      <c r="V8" s="79">
        <f>((0 + 'BRAWLERS OFICIAL'!V8)-'BRAWLERS OFICIAL'!V8)/($BQ8/5)</f>
        <v>0</v>
      </c>
      <c r="W8" s="79">
        <f>(0 + 'BRAWLERS OFICIAL'!W8)-'BRAWLERS OFICIAL'!W8</f>
        <v>0</v>
      </c>
      <c r="X8" s="121">
        <f>(( 0 + 'BRAWLERS OFICIAL'!X8 + AP8 + AY8/3.5 )-'BRAWLERS OFICIAL'!X8)/($BQ8/5)</f>
        <v>0</v>
      </c>
      <c r="Y8" s="80">
        <f>((0 + 'BRAWLERS OFICIAL'!Y8)-'BRAWLERS OFICIAL'!Y8)/($BQ8/5)</f>
        <v>0</v>
      </c>
      <c r="Z8" s="80">
        <f>(((7.5 + 6 + 5)/3)-'BRAWLERS OFICIAL'!Z8)</f>
        <v>0.83333333333333393</v>
      </c>
      <c r="AA8" s="80">
        <f>((0 + 'BRAWLERS OFICIAL'!AA8)-'BRAWLERS OFICIAL'!AA8)/($BQ8/5)</f>
        <v>0</v>
      </c>
      <c r="AB8" s="80">
        <f>((0 + 'BRAWLERS OFICIAL'!AB8)-'BRAWLERS OFICIAL'!AB8)/($BQ8/5)</f>
        <v>0</v>
      </c>
      <c r="AC8" s="80">
        <f>(((0)/4 + 'BRAWLERS OFICIAL'!AC8)-'BRAWLERS OFICIAL'!AC8)/($BQ8/5)</f>
        <v>0</v>
      </c>
      <c r="AD8" s="80">
        <f>((0.5 + 'BRAWLERS OFICIAL'!AD8)-'BRAWLERS OFICIAL'!AD8)/($BQ8/5)</f>
        <v>0.125</v>
      </c>
      <c r="AE8" s="80">
        <f>((0 + 'BRAWLERS OFICIAL'!AE8)-'BRAWLERS OFICIAL'!AE8)/($BQ8/5)</f>
        <v>0</v>
      </c>
      <c r="AF8" s="80">
        <f>((0 + 'BRAWLERS OFICIAL'!AF8)-'BRAWLERS OFICIAL'!AF8)/($BQ8/5)</f>
        <v>0</v>
      </c>
      <c r="AG8" s="80">
        <f>((0 + 'BRAWLERS OFICIAL'!AG8)-'BRAWLERS OFICIAL'!AG8)</f>
        <v>0</v>
      </c>
      <c r="AH8" s="80">
        <f>((0 + 'BRAWLERS OFICIAL'!AH8)-'BRAWLERS OFICIAL'!AH8)</f>
        <v>0</v>
      </c>
      <c r="AI8" s="80">
        <f>((0 + 'BRAWLERS OFICIAL'!AI8)-'BRAWLERS OFICIAL'!AI8)</f>
        <v>0</v>
      </c>
      <c r="AJ8" s="80">
        <f>((0 + 'BRAWLERS OFICIAL'!AJ8)-'BRAWLERS OFICIAL'!AJ8)/($BQ8/5)</f>
        <v>0</v>
      </c>
      <c r="AK8" s="80">
        <f>((2 + 'BRAWLERS OFICIAL'!AK8)-'BRAWLERS OFICIAL'!AK8)/($BQ8/5)</f>
        <v>0.5</v>
      </c>
      <c r="AL8" s="80">
        <f>(((BK8/5+1)*AK8 + 'BRAWLERS OFICIAL'!AL8)-'BRAWLERS OFICIAL'!AL8)/($BQ8/5)</f>
        <v>0.125</v>
      </c>
      <c r="AM8" s="80">
        <f>IF( 0 = (1-1), (1-1), ((0 + 'BRAWLERS OFICIAL'!AM8)/1.5)-'BRAWLERS OFICIAL'!AM8 )</f>
        <v>0</v>
      </c>
      <c r="AN8" s="80">
        <f t="shared" si="0"/>
        <v>0</v>
      </c>
      <c r="AO8" s="80">
        <f>((0 + 'BRAWLERS OFICIAL'!AO8)-'BRAWLERS OFICIAL'!AO8)/($BQ8/5)</f>
        <v>0</v>
      </c>
      <c r="AP8" s="80">
        <f>((0/1000 + 'BRAWLERS OFICIAL'!AP8)-'BRAWLERS OFICIAL'!AP8)</f>
        <v>0</v>
      </c>
      <c r="AQ8" s="80">
        <f>((0 + 'BRAWLERS OFICIAL'!AQ8)-'BRAWLERS OFICIAL'!AQ8)</f>
        <v>0</v>
      </c>
      <c r="AR8" s="80">
        <f>IF( 0 = (1-1), (1-1), ((0 + 'BRAWLERS OFICIAL'!AR8)/1.5) )</f>
        <v>0</v>
      </c>
      <c r="AS8" s="80">
        <f>IF( 0 = (1-1), (1-1), ((0 + 'BRAWLERS OFICIAL'!AS8)/1.5) )</f>
        <v>0</v>
      </c>
      <c r="AT8" s="80">
        <f>IF( 0 = (1-1), (1-1), ((0 + 'BRAWLERS OFICIAL'!AT8)/2) )</f>
        <v>0</v>
      </c>
      <c r="AU8" s="80">
        <f>((0 + 'BRAWLERS OFICIAL'!AU8)-'BRAWLERS OFICIAL'!AU8)/($BQ8/5)</f>
        <v>0</v>
      </c>
      <c r="AV8" s="80">
        <f>(((0)/4 + 'BRAWLERS OFICIAL'!AV8)-'BRAWLERS OFICIAL'!AV8)</f>
        <v>0</v>
      </c>
      <c r="AW8" s="80">
        <v>0</v>
      </c>
      <c r="AX8" s="80" t="s">
        <v>390</v>
      </c>
      <c r="AY8" s="79">
        <f>((( 0 )/3 + 'BRAWLERS OFICIAL'!AY8)-'BRAWLERS OFICIAL'!AY8)</f>
        <v>0</v>
      </c>
      <c r="AZ8" s="79">
        <f>((( 0 )/2 + 'BRAWLERS OFICIAL'!AZ8)-'BRAWLERS OFICIAL'!AZ8)/($BQ8/5)</f>
        <v>0</v>
      </c>
      <c r="BA8" s="79">
        <f>((( 0 )/2 + 'BRAWLERS OFICIAL'!BA8)-'BRAWLERS OFICIAL'!BA8)</f>
        <v>0</v>
      </c>
      <c r="BB8" s="79">
        <f>((( 0 )/3 + 'BRAWLERS OFICIAL'!BB8)-'BRAWLERS OFICIAL'!BB8)</f>
        <v>0</v>
      </c>
      <c r="BC8" s="79">
        <f>((( 0 )/2 + 'BRAWLERS OFICIAL'!BC8)-'BRAWLERS OFICIAL'!BC8)/($BQ8/5)</f>
        <v>0</v>
      </c>
      <c r="BD8" s="79">
        <f>((( 0 )/3 + 'BRAWLERS OFICIAL'!BD8)-'BRAWLERS OFICIAL'!BD8)</f>
        <v>0</v>
      </c>
      <c r="BE8" s="79">
        <f>((( 0 )/3 + 'BRAWLERS OFICIAL'!BE8)-'BRAWLERS OFICIAL'!BE8)</f>
        <v>0</v>
      </c>
      <c r="BF8" s="79">
        <f>((4 + 'BRAWLERS OFICIAL'!BF8)-'BRAWLERS OFICIAL'!BF8)/($BQ8/5)</f>
        <v>1</v>
      </c>
      <c r="BG8" s="79">
        <f>((0 + 'BRAWLERS OFICIAL'!BG8)-'BRAWLERS OFICIAL'!BG8)/($BQ8/5)</f>
        <v>0</v>
      </c>
      <c r="BH8" s="79">
        <f>((( 0 )/2 + 'BRAWLERS OFICIAL'!BH8)-'BRAWLERS OFICIAL'!BH8)</f>
        <v>0</v>
      </c>
      <c r="BI8" s="79">
        <f>((0 + 'BRAWLERS OFICIAL'!BI8)-'BRAWLERS OFICIAL'!BI8)/($BQ8/5)</f>
        <v>0</v>
      </c>
      <c r="BJ8" s="79">
        <f>((( 0 )/2 + 'BRAWLERS OFICIAL'!BJ8)-'BRAWLERS OFICIAL'!BJ8)</f>
        <v>0</v>
      </c>
      <c r="BK8" s="79">
        <f>((( 0 )/3 + 'BRAWLERS OFICIAL'!BK8)-'BRAWLERS OFICIAL'!BK8)</f>
        <v>0</v>
      </c>
      <c r="BL8" s="79">
        <f>((( 0 )/2 + 'BRAWLERS OFICIAL'!BL8)-'BRAWLERS OFICIAL'!BL8)</f>
        <v>0</v>
      </c>
      <c r="BM8" s="79">
        <f>((0.5 + 'BRAWLERS OFICIAL'!BM8)-'BRAWLERS OFICIAL'!BM8)/($BQ8/5)</f>
        <v>0.125</v>
      </c>
      <c r="BN8" s="79">
        <f>((0 + 'BRAWLERS OFICIAL'!BN8)-'BRAWLERS OFICIAL'!BN8)/($BQ8/5)</f>
        <v>0</v>
      </c>
      <c r="BO8" s="79">
        <f>((0 + 'BRAWLERS OFICIAL'!BO8)-'BRAWLERS OFICIAL'!BO8)/($BQ8/5)</f>
        <v>0</v>
      </c>
      <c r="BQ8" s="79">
        <v>20</v>
      </c>
    </row>
    <row r="9" spans="1:69">
      <c r="B9" s="77" t="s">
        <v>406</v>
      </c>
      <c r="C9" s="81" t="s">
        <v>95</v>
      </c>
      <c r="D9" s="132" t="s">
        <v>333</v>
      </c>
      <c r="E9" s="132" t="s">
        <v>325</v>
      </c>
      <c r="F9" s="79">
        <f>((0 + 'BRAWLERS OFICIAL'!F9)-'BRAWLERS OFICIAL'!F9)/($BQ9/5)</f>
        <v>0</v>
      </c>
      <c r="G9" s="79">
        <f>((0 + 'BRAWLERS OFICIAL'!G9)-'BRAWLERS OFICIAL'!G9)/($BQ9/5)</f>
        <v>0</v>
      </c>
      <c r="H9" s="79">
        <f>((0 + 'BRAWLERS OFICIAL'!H9)-'BRAWLERS OFICIAL'!H9)/($BQ9/5)</f>
        <v>0</v>
      </c>
      <c r="I9" s="79">
        <f>((2*'BRAWLERS OFICIAL'!I9)-'BRAWLERS OFICIAL'!I9)/($BQ9/5)</f>
        <v>0.45833333333333337</v>
      </c>
      <c r="J9" s="79">
        <f>((0 + 'BRAWLERS OFICIAL'!J9)-'BRAWLERS OFICIAL'!J9)/($BQ9/5)</f>
        <v>0</v>
      </c>
      <c r="K9" s="79">
        <f>((0 + 'BRAWLERS OFICIAL'!K9)-'BRAWLERS OFICIAL'!K9)/($BQ9/5)</f>
        <v>0</v>
      </c>
      <c r="L9" s="79">
        <f>((0 + 'BRAWLERS OFICIAL'!L9)-'BRAWLERS OFICIAL'!L9)/($BQ9/5)</f>
        <v>0</v>
      </c>
      <c r="M9" s="79">
        <f>((0 + 'BRAWLERS OFICIAL'!M9)-'BRAWLERS OFICIAL'!M9)/($BQ9/5)</f>
        <v>0</v>
      </c>
      <c r="N9" s="79">
        <f>((0 + 'BRAWLERS OFICIAL'!N9)-'BRAWLERS OFICIAL'!N9)/($BQ9/5)</f>
        <v>0</v>
      </c>
      <c r="O9" s="79">
        <f>((0 + 'BRAWLERS OFICIAL'!O9)-'BRAWLERS OFICIAL'!O9)/($BQ9/5)</f>
        <v>0</v>
      </c>
      <c r="P9" s="79">
        <f>((0 + 'BRAWLERS OFICIAL'!P9)-'BRAWLERS OFICIAL'!P9)/($BQ9/5)</f>
        <v>0</v>
      </c>
      <c r="Q9" s="79">
        <f>((0 + 'BRAWLERS OFICIAL'!Q9)-'BRAWLERS OFICIAL'!Q9)/($BQ9/5)</f>
        <v>0</v>
      </c>
      <c r="R9" s="79">
        <f>((0 + 'BRAWLERS OFICIAL'!R9)-'BRAWLERS OFICIAL'!R9)/($BQ9/5)</f>
        <v>0</v>
      </c>
      <c r="S9" s="79">
        <f>((0 + 'BRAWLERS OFICIAL'!S9)-'BRAWLERS OFICIAL'!S9)/($BQ9/5)</f>
        <v>0</v>
      </c>
      <c r="T9" s="79">
        <f>((0 + 'BRAWLERS OFICIAL'!T9)-'BRAWLERS OFICIAL'!T9)/($BQ9/5)</f>
        <v>0</v>
      </c>
      <c r="U9" s="79">
        <f>((0 + 'BRAWLERS OFICIAL'!U9)-'BRAWLERS OFICIAL'!U9)/($BQ9/5)</f>
        <v>0</v>
      </c>
      <c r="V9" s="79">
        <f>((0 + 'BRAWLERS OFICIAL'!V9)-'BRAWLERS OFICIAL'!V9)/($BQ9/5)</f>
        <v>0</v>
      </c>
      <c r="W9" s="79">
        <f>(0 + 'BRAWLERS OFICIAL'!W9)-'BRAWLERS OFICIAL'!W9</f>
        <v>0</v>
      </c>
      <c r="X9" s="121">
        <f>(( 3000/1400 + 'BRAWLERS OFICIAL'!X9 + AP9 + AY9/3.5 )-'BRAWLERS OFICIAL'!X9)/($BQ9/5)</f>
        <v>0.53571428571428559</v>
      </c>
      <c r="Y9" s="80">
        <f>((0 + 'BRAWLERS OFICIAL'!Y9)-'BRAWLERS OFICIAL'!Y9)/($BQ9/5)</f>
        <v>0</v>
      </c>
      <c r="Z9" s="80">
        <f>((((8 + 6 + 3))/3)-'BRAWLERS OFICIAL'!Z9)</f>
        <v>1</v>
      </c>
      <c r="AA9" s="80">
        <f>((0 + 'BRAWLERS OFICIAL'!AA9)-'BRAWLERS OFICIAL'!AA9)/($BQ9/5)</f>
        <v>0</v>
      </c>
      <c r="AB9" s="80">
        <f>((0 + 'BRAWLERS OFICIAL'!AB9)-'BRAWLERS OFICIAL'!AB9)/($BQ9/5)</f>
        <v>0</v>
      </c>
      <c r="AC9" s="80">
        <f>(((0)/4 + 'BRAWLERS OFICIAL'!AC9)-'BRAWLERS OFICIAL'!AC9)/($BQ9/5)</f>
        <v>0</v>
      </c>
      <c r="AD9" s="80">
        <f>((0 + 'BRAWLERS OFICIAL'!AD9)-'BRAWLERS OFICIAL'!AD9)/($BQ9/5)</f>
        <v>0</v>
      </c>
      <c r="AE9" s="80">
        <f>((0 + 'BRAWLERS OFICIAL'!AE9)-'BRAWLERS OFICIAL'!AE9)/($BQ9/5)</f>
        <v>0</v>
      </c>
      <c r="AF9" s="80">
        <f>((0 + 'BRAWLERS OFICIAL'!AF9)-'BRAWLERS OFICIAL'!AF9)/($BQ9/5)</f>
        <v>0</v>
      </c>
      <c r="AG9" s="80">
        <f>((0 + 'BRAWLERS OFICIAL'!AG9)-'BRAWLERS OFICIAL'!AG9)</f>
        <v>0</v>
      </c>
      <c r="AH9" s="80">
        <f>((0 + 'BRAWLERS OFICIAL'!AH9)-'BRAWLERS OFICIAL'!AH9)</f>
        <v>0</v>
      </c>
      <c r="AI9" s="80">
        <f>((0 + 'BRAWLERS OFICIAL'!AI9)-'BRAWLERS OFICIAL'!AI9)</f>
        <v>0</v>
      </c>
      <c r="AJ9" s="80">
        <f>((0 + 'BRAWLERS OFICIAL'!AJ9)-'BRAWLERS OFICIAL'!AJ9)/($BQ9/5)</f>
        <v>0</v>
      </c>
      <c r="AK9" s="80">
        <f>((5 + 'BRAWLERS OFICIAL'!AK9)-'BRAWLERS OFICIAL'!AK9)/($BQ9/5)</f>
        <v>1.25</v>
      </c>
      <c r="AL9" s="80">
        <f>(((BK9/5+1)*AK9 + 'BRAWLERS OFICIAL'!AL9)-'BRAWLERS OFICIAL'!AL9)/($BQ9/5)</f>
        <v>0.3125</v>
      </c>
      <c r="AM9" s="80">
        <f>IF( 0 = (1-1), (1-1), ((0 + 'BRAWLERS OFICIAL'!AM9)/1.5)-'BRAWLERS OFICIAL'!AM9 )</f>
        <v>0</v>
      </c>
      <c r="AN9" s="80">
        <f t="shared" si="0"/>
        <v>0</v>
      </c>
      <c r="AO9" s="80">
        <f>((0 + 'BRAWLERS OFICIAL'!AO9)-'BRAWLERS OFICIAL'!AO9)/($BQ9/5)</f>
        <v>0</v>
      </c>
      <c r="AP9" s="80">
        <f>((0/1000 + 'BRAWLERS OFICIAL'!AP9)-'BRAWLERS OFICIAL'!AP9)</f>
        <v>0</v>
      </c>
      <c r="AQ9" s="80">
        <f>((0 + 'BRAWLERS OFICIAL'!AQ9)-'BRAWLERS OFICIAL'!AQ9)</f>
        <v>0</v>
      </c>
      <c r="AR9" s="80">
        <f>IF( 0 = (1-1), (1-1), ((0 + 'BRAWLERS OFICIAL'!AR9)/1.5) )</f>
        <v>0</v>
      </c>
      <c r="AS9" s="80">
        <f>IF( 0 = (1-1), (1-1), ((0 + 'BRAWLERS OFICIAL'!AS9)/1.5) )</f>
        <v>0</v>
      </c>
      <c r="AT9" s="80">
        <f>IF( 0 = (1-1), (1-1), ((0 + 'BRAWLERS OFICIAL'!AT9)/2) )</f>
        <v>0</v>
      </c>
      <c r="AU9" s="80">
        <f>((0 + 'BRAWLERS OFICIAL'!AU9)-'BRAWLERS OFICIAL'!AU9)/($BQ9/5)</f>
        <v>0</v>
      </c>
      <c r="AV9" s="80">
        <f>(((0)/4 + 'BRAWLERS OFICIAL'!AV9)-'BRAWLERS OFICIAL'!AV9)</f>
        <v>0</v>
      </c>
      <c r="AW9" s="80">
        <v>0</v>
      </c>
      <c r="AX9" s="80" t="s">
        <v>390</v>
      </c>
      <c r="AY9" s="79">
        <f>((( 0 )/3 + 'BRAWLERS OFICIAL'!AY9)-'BRAWLERS OFICIAL'!AY9)</f>
        <v>0</v>
      </c>
      <c r="AZ9" s="79">
        <f>((( 0 )/2 + 'BRAWLERS OFICIAL'!AZ9)-'BRAWLERS OFICIAL'!AZ9)/($BQ9/5)</f>
        <v>0</v>
      </c>
      <c r="BA9" s="79">
        <f>((( 0 )/2 + 'BRAWLERS OFICIAL'!BA9)-'BRAWLERS OFICIAL'!BA9)</f>
        <v>0</v>
      </c>
      <c r="BB9" s="79">
        <f>((( 0 )/3 + 'BRAWLERS OFICIAL'!BB9)-'BRAWLERS OFICIAL'!BB9)</f>
        <v>0</v>
      </c>
      <c r="BC9" s="79">
        <f>((( 0 )/2 + 'BRAWLERS OFICIAL'!BC9)-'BRAWLERS OFICIAL'!BC9)/($BQ9/5)</f>
        <v>0</v>
      </c>
      <c r="BD9" s="79">
        <f>((( 0 )/3 + 'BRAWLERS OFICIAL'!BD9)-'BRAWLERS OFICIAL'!BD9)</f>
        <v>0</v>
      </c>
      <c r="BE9" s="79">
        <f>((( 0 )/3 + 'BRAWLERS OFICIAL'!BE9)-'BRAWLERS OFICIAL'!BE9)</f>
        <v>0</v>
      </c>
      <c r="BF9" s="79">
        <f>((0 + 'BRAWLERS OFICIAL'!BF9)-'BRAWLERS OFICIAL'!BF9)/($BQ9/5)</f>
        <v>0</v>
      </c>
      <c r="BG9" s="79">
        <f>((0 + 'BRAWLERS OFICIAL'!BG9)-'BRAWLERS OFICIAL'!BG9)/($BQ9/5)</f>
        <v>0</v>
      </c>
      <c r="BH9" s="79">
        <f>((( 0 )/2 + 'BRAWLERS OFICIAL'!BH9)-'BRAWLERS OFICIAL'!BH9)</f>
        <v>0</v>
      </c>
      <c r="BI9" s="79">
        <f>((0 + 'BRAWLERS OFICIAL'!BI9)-'BRAWLERS OFICIAL'!BI9)/($BQ9/5)</f>
        <v>0</v>
      </c>
      <c r="BJ9" s="79">
        <f>((( 5 + 5 )/2 + 'BRAWLERS OFICIAL'!BJ9)-'BRAWLERS OFICIAL'!BJ9)</f>
        <v>5</v>
      </c>
      <c r="BK9" s="79">
        <f>((( 0 )/3 + 'BRAWLERS OFICIAL'!BK9)-'BRAWLERS OFICIAL'!BK9)</f>
        <v>0</v>
      </c>
      <c r="BL9" s="79">
        <f>((( 5 + 5 )/2 + 'BRAWLERS OFICIAL'!BL9)-'BRAWLERS OFICIAL'!BL9)</f>
        <v>5</v>
      </c>
      <c r="BM9" s="79">
        <f>((0 + 'BRAWLERS OFICIAL'!BM9)-'BRAWLERS OFICIAL'!BM9)/($BQ9/5)</f>
        <v>0</v>
      </c>
      <c r="BN9" s="79">
        <f>((0 + 'BRAWLERS OFICIAL'!BN9)-'BRAWLERS OFICIAL'!BN9)/($BQ9/5)</f>
        <v>0</v>
      </c>
      <c r="BO9" s="79">
        <f>((0 + 'BRAWLERS OFICIAL'!BO9)-'BRAWLERS OFICIAL'!BO9)/($BQ9/5)</f>
        <v>0</v>
      </c>
      <c r="BQ9" s="79">
        <v>20</v>
      </c>
    </row>
    <row r="10" spans="1:69">
      <c r="B10" s="77" t="s">
        <v>407</v>
      </c>
      <c r="C10" s="81" t="s">
        <v>87</v>
      </c>
      <c r="D10" s="132" t="s">
        <v>351</v>
      </c>
      <c r="E10" s="132" t="s">
        <v>389</v>
      </c>
      <c r="F10" s="79">
        <f>((0 + 'BRAWLERS OFICIAL'!F10)-'BRAWLERS OFICIAL'!F10)/($BQ10/5)</f>
        <v>0</v>
      </c>
      <c r="G10" s="79">
        <f>((0 + 'BRAWLERS OFICIAL'!G10)-'BRAWLERS OFICIAL'!G10)/($BQ10/5)</f>
        <v>0</v>
      </c>
      <c r="H10" s="79">
        <f>((0 + 'BRAWLERS OFICIAL'!H10)-'BRAWLERS OFICIAL'!H10)/($BQ10/5)</f>
        <v>0</v>
      </c>
      <c r="I10" s="79">
        <f>((0 + 'BRAWLERS OFICIAL'!I10)-'BRAWLERS OFICIAL'!I10)/($BQ10/5)</f>
        <v>0</v>
      </c>
      <c r="J10" s="79">
        <f>((0 + 'BRAWLERS OFICIAL'!J10)-'BRAWLERS OFICIAL'!J10)/($BQ10/5)</f>
        <v>0</v>
      </c>
      <c r="K10" s="79">
        <f>((0 + 'BRAWLERS OFICIAL'!K10)-'BRAWLERS OFICIAL'!K10)/($BQ10/5)</f>
        <v>0</v>
      </c>
      <c r="L10" s="79">
        <f>((0 + 'BRAWLERS OFICIAL'!L10)-'BRAWLERS OFICIAL'!L10)/($BQ10/5)</f>
        <v>0</v>
      </c>
      <c r="M10" s="79">
        <f>((0 + 'BRAWLERS OFICIAL'!M10)-'BRAWLERS OFICIAL'!M10)/($BQ10/5)</f>
        <v>0</v>
      </c>
      <c r="N10" s="79">
        <f>((0 + 'BRAWLERS OFICIAL'!N10)-'BRAWLERS OFICIAL'!N10)/($BQ10/5)</f>
        <v>0</v>
      </c>
      <c r="O10" s="79">
        <f>((0 + 'BRAWLERS OFICIAL'!O10)-'BRAWLERS OFICIAL'!O10)/($BQ10/5)</f>
        <v>0</v>
      </c>
      <c r="P10" s="79">
        <f>((0 + 'BRAWLERS OFICIAL'!P10)-'BRAWLERS OFICIAL'!P10)/($BQ10/5)</f>
        <v>0</v>
      </c>
      <c r="Q10" s="79">
        <f>((0 + 'BRAWLERS OFICIAL'!Q10)-'BRAWLERS OFICIAL'!Q10)/($BQ10/5)</f>
        <v>0</v>
      </c>
      <c r="R10" s="79">
        <f>((0 + 'BRAWLERS OFICIAL'!R10)-'BRAWLERS OFICIAL'!R10)/($BQ10/5)</f>
        <v>0</v>
      </c>
      <c r="S10" s="79">
        <f>((0 + 'BRAWLERS OFICIAL'!S10)-'BRAWLERS OFICIAL'!S10)/($BQ10/5)</f>
        <v>0</v>
      </c>
      <c r="T10" s="79">
        <f>((0 + 'BRAWLERS OFICIAL'!T10)-'BRAWLERS OFICIAL'!T10)/($BQ10/5)</f>
        <v>0</v>
      </c>
      <c r="U10" s="79">
        <f>((0 + 'BRAWLERS OFICIAL'!U10)-'BRAWLERS OFICIAL'!U10)/($BQ10/5)</f>
        <v>0</v>
      </c>
      <c r="V10" s="79">
        <f>((0 + 'BRAWLERS OFICIAL'!V10)-'BRAWLERS OFICIAL'!V10)/($BQ10/5)</f>
        <v>0</v>
      </c>
      <c r="W10" s="79">
        <f>(0 + 'BRAWLERS OFICIAL'!W10)-'BRAWLERS OFICIAL'!W10</f>
        <v>0</v>
      </c>
      <c r="X10" s="121">
        <f>(( 0 + 'BRAWLERS OFICIAL'!X10 + AP10 + AY10/3.5 )-'BRAWLERS OFICIAL'!X10)/($BQ10/5)</f>
        <v>0.40476190476190466</v>
      </c>
      <c r="Y10" s="80">
        <f>((0 + 'BRAWLERS OFICIAL'!Y10)-'BRAWLERS OFICIAL'!Y10)/($BQ10/5)</f>
        <v>0</v>
      </c>
      <c r="Z10" s="80">
        <f>(((0)/3 + 'BRAWLERS OFICIAL'!Z10)-'BRAWLERS OFICIAL'!Z10)</f>
        <v>0</v>
      </c>
      <c r="AA10" s="80">
        <f>((0 + 'BRAWLERS OFICIAL'!AA10)-'BRAWLERS OFICIAL'!AA10)/($BQ10/5)</f>
        <v>0</v>
      </c>
      <c r="AB10" s="80">
        <f>((0 + 'BRAWLERS OFICIAL'!AB10)-'BRAWLERS OFICIAL'!AB10)/($BQ10/5)</f>
        <v>0</v>
      </c>
      <c r="AC10" s="80">
        <f>(((0)/4 + 'BRAWLERS OFICIAL'!AC10)-'BRAWLERS OFICIAL'!AC10)/($BQ10/5)</f>
        <v>0</v>
      </c>
      <c r="AD10" s="80">
        <f>((0 + 'BRAWLERS OFICIAL'!AD10)-'BRAWLERS OFICIAL'!AD10)/($BQ10/5)</f>
        <v>0</v>
      </c>
      <c r="AE10" s="80">
        <f>((0 + 'BRAWLERS OFICIAL'!AE10)-'BRAWLERS OFICIAL'!AE10)/($BQ10/5)</f>
        <v>0</v>
      </c>
      <c r="AF10" s="80">
        <f>((0 + 'BRAWLERS OFICIAL'!AF10)-'BRAWLERS OFICIAL'!AF10)/($BQ10/5)</f>
        <v>0</v>
      </c>
      <c r="AG10" s="80">
        <f>((0 + 'BRAWLERS OFICIAL'!AG10)-'BRAWLERS OFICIAL'!AG10)</f>
        <v>0</v>
      </c>
      <c r="AH10" s="80">
        <f>((0 + 'BRAWLERS OFICIAL'!AH10)-'BRAWLERS OFICIAL'!AH10)</f>
        <v>0</v>
      </c>
      <c r="AI10" s="80">
        <f>((0 + 'BRAWLERS OFICIAL'!AI10)-'BRAWLERS OFICIAL'!AI10)</f>
        <v>0</v>
      </c>
      <c r="AJ10" s="80">
        <f>((0 + 'BRAWLERS OFICIAL'!AJ10)-'BRAWLERS OFICIAL'!AJ10)/($BQ10/5)</f>
        <v>0</v>
      </c>
      <c r="AK10" s="80">
        <f>((0 + 'BRAWLERS OFICIAL'!AK10)-'BRAWLERS OFICIAL'!AK10)/($BQ10/5)</f>
        <v>0</v>
      </c>
      <c r="AL10" s="80">
        <f>(((BK10/5+1)*AK10 + 'BRAWLERS OFICIAL'!AL10)-'BRAWLERS OFICIAL'!AL10)/($BQ10/5)</f>
        <v>0</v>
      </c>
      <c r="AM10" s="80">
        <f>IF( 0 = (1-1), (1-1), ((0 + 'BRAWLERS OFICIAL'!AM10)/1.5)-'BRAWLERS OFICIAL'!AM10 )</f>
        <v>0</v>
      </c>
      <c r="AN10" s="80">
        <f t="shared" si="0"/>
        <v>0</v>
      </c>
      <c r="AO10" s="80">
        <f>((0 + 'BRAWLERS OFICIAL'!AO10)-'BRAWLERS OFICIAL'!AO10)/($BQ10/5)</f>
        <v>0</v>
      </c>
      <c r="AP10" s="80">
        <f>((0/1000 + 'BRAWLERS OFICIAL'!AP10)-'BRAWLERS OFICIAL'!AP10)</f>
        <v>0</v>
      </c>
      <c r="AQ10" s="80">
        <f>((0 + 'BRAWLERS OFICIAL'!AQ10)-'BRAWLERS OFICIAL'!AQ10)</f>
        <v>0</v>
      </c>
      <c r="AR10" s="80">
        <f>IF( 0 = (1-1), (1-1), ((0 + 'BRAWLERS OFICIAL'!AR10)/1.5) )</f>
        <v>0</v>
      </c>
      <c r="AS10" s="80">
        <f>IF( 0 = (1-1), (1-1), ((0 + 'BRAWLERS OFICIAL'!AS10)/1.5) )</f>
        <v>0</v>
      </c>
      <c r="AT10" s="80">
        <f>IF( 0 = (1-1), (1-1), ((0 + 'BRAWLERS OFICIAL'!AT10)/2) )</f>
        <v>0</v>
      </c>
      <c r="AU10" s="80">
        <f>((0 + 'BRAWLERS OFICIAL'!AU10)-'BRAWLERS OFICIAL'!AU10)/($BQ10/5)</f>
        <v>0</v>
      </c>
      <c r="AV10" s="80">
        <f>(((0)/4 + 'BRAWLERS OFICIAL'!AV10)-'BRAWLERS OFICIAL'!AV10)</f>
        <v>0</v>
      </c>
      <c r="AW10" s="80">
        <v>0</v>
      </c>
      <c r="AX10" s="80" t="s">
        <v>390</v>
      </c>
      <c r="AY10" s="79">
        <f>((( 5 + 9 + 3 )/3 + 'BRAWLERS OFICIAL'!AY10)-'BRAWLERS OFICIAL'!AY10)</f>
        <v>5.6666666666666679</v>
      </c>
      <c r="AZ10" s="79">
        <f>((( 0 )/2 + 'BRAWLERS OFICIAL'!AZ10)-'BRAWLERS OFICIAL'!AZ10)/($BQ10/5)</f>
        <v>0</v>
      </c>
      <c r="BA10" s="79">
        <f>((( 0 )/2 + 'BRAWLERS OFICIAL'!BA10)-'BRAWLERS OFICIAL'!BA10)</f>
        <v>0</v>
      </c>
      <c r="BB10" s="79">
        <f>((( 0 )/3 + 'BRAWLERS OFICIAL'!BB10)-'BRAWLERS OFICIAL'!BB10)</f>
        <v>0</v>
      </c>
      <c r="BC10" s="79">
        <f>((( 0 )/2 + 'BRAWLERS OFICIAL'!BC10)-'BRAWLERS OFICIAL'!BC10)/($BQ10/5)</f>
        <v>0</v>
      </c>
      <c r="BD10" s="79">
        <f>((( 0 )/3 + 'BRAWLERS OFICIAL'!BD10)-'BRAWLERS OFICIAL'!BD10)</f>
        <v>0</v>
      </c>
      <c r="BE10" s="79">
        <f>((( 0 )/3 + 'BRAWLERS OFICIAL'!BE10)-'BRAWLERS OFICIAL'!BE10)</f>
        <v>0</v>
      </c>
      <c r="BF10" s="79">
        <f>((0 + 'BRAWLERS OFICIAL'!BF10)-'BRAWLERS OFICIAL'!BF10)/($BQ10/5)</f>
        <v>0</v>
      </c>
      <c r="BG10" s="79">
        <f>((0 + 'BRAWLERS OFICIAL'!BG10)-'BRAWLERS OFICIAL'!BG10)/($BQ10/5)</f>
        <v>0</v>
      </c>
      <c r="BH10" s="79">
        <f>((( 0 )/2 + 'BRAWLERS OFICIAL'!BH10)-'BRAWLERS OFICIAL'!BH10)</f>
        <v>0</v>
      </c>
      <c r="BI10" s="79">
        <f>((0 + 'BRAWLERS OFICIAL'!BI10)-'BRAWLERS OFICIAL'!BI10)/($BQ10/5)</f>
        <v>0</v>
      </c>
      <c r="BJ10" s="79">
        <f>((( 0 )/2 + 'BRAWLERS OFICIAL'!BJ10)-'BRAWLERS OFICIAL'!BJ10)</f>
        <v>0</v>
      </c>
      <c r="BK10" s="79">
        <f>((( 0 )/3 + 'BRAWLERS OFICIAL'!BK10)-'BRAWLERS OFICIAL'!BK10)</f>
        <v>0</v>
      </c>
      <c r="BL10" s="79">
        <f>((( 0 )/2 + 'BRAWLERS OFICIAL'!BL10)-'BRAWLERS OFICIAL'!BL10)</f>
        <v>0</v>
      </c>
      <c r="BM10" s="79">
        <f>((0 + 'BRAWLERS OFICIAL'!BM10)-'BRAWLERS OFICIAL'!BM10)/($BQ10/5)</f>
        <v>0</v>
      </c>
      <c r="BN10" s="79">
        <f>((0 + 'BRAWLERS OFICIAL'!BN10)-'BRAWLERS OFICIAL'!BN10)/($BQ10/5)</f>
        <v>0</v>
      </c>
      <c r="BO10" s="79">
        <f>((0 + 'BRAWLERS OFICIAL'!BO10)-'BRAWLERS OFICIAL'!BO10)/($BQ10/5)</f>
        <v>0</v>
      </c>
      <c r="BQ10" s="79">
        <v>20</v>
      </c>
    </row>
    <row r="11" spans="1:69">
      <c r="B11" s="77" t="s">
        <v>408</v>
      </c>
      <c r="C11" s="67" t="s">
        <v>15</v>
      </c>
      <c r="D11" s="131" t="s">
        <v>351</v>
      </c>
      <c r="E11" s="131" t="s">
        <v>389</v>
      </c>
      <c r="F11" s="79">
        <f>((0 + 'BRAWLERS OFICIAL'!F11)-'BRAWLERS OFICIAL'!F11)/($BQ11/5)</f>
        <v>0</v>
      </c>
      <c r="G11" s="79">
        <f>((0 + 'BRAWLERS OFICIAL'!G11)-'BRAWLERS OFICIAL'!G11)/($BQ11/5)</f>
        <v>0</v>
      </c>
      <c r="H11" s="79">
        <f>((0 + 'BRAWLERS OFICIAL'!H11)-'BRAWLERS OFICIAL'!H11)/($BQ11/5)</f>
        <v>0</v>
      </c>
      <c r="I11" s="79">
        <f>((0 + 'BRAWLERS OFICIAL'!I11)-'BRAWLERS OFICIAL'!I11)/($BQ11/5)</f>
        <v>0</v>
      </c>
      <c r="J11" s="79">
        <f>((0 + 'BRAWLERS OFICIAL'!J11)-'BRAWLERS OFICIAL'!J11)/($BQ11/5)</f>
        <v>0</v>
      </c>
      <c r="K11" s="79">
        <f>((0 + 'BRAWLERS OFICIAL'!K11)-'BRAWLERS OFICIAL'!K11)/($BQ11/5)</f>
        <v>0</v>
      </c>
      <c r="L11" s="79">
        <f>((0 + 'BRAWLERS OFICIAL'!L11)-'BRAWLERS OFICIAL'!L11)/($BQ11/5)</f>
        <v>0</v>
      </c>
      <c r="M11" s="79">
        <f>((0 + 'BRAWLERS OFICIAL'!M11)-'BRAWLERS OFICIAL'!M11)/($BQ11/5)</f>
        <v>0</v>
      </c>
      <c r="N11" s="79">
        <f>((0 + 'BRAWLERS OFICIAL'!N11)-'BRAWLERS OFICIAL'!N11)/($BQ11/5)</f>
        <v>0</v>
      </c>
      <c r="O11" s="79">
        <f>((0 + 'BRAWLERS OFICIAL'!O11)-'BRAWLERS OFICIAL'!O11)/($BQ11/5)</f>
        <v>0</v>
      </c>
      <c r="P11" s="79">
        <f>((0 + 'BRAWLERS OFICIAL'!P11)-'BRAWLERS OFICIAL'!P11)/($BQ11/5)</f>
        <v>0</v>
      </c>
      <c r="Q11" s="79">
        <f>((0 + 'BRAWLERS OFICIAL'!Q11)-'BRAWLERS OFICIAL'!Q11)/($BQ11/5)</f>
        <v>0</v>
      </c>
      <c r="R11" s="79">
        <f>((0 + 'BRAWLERS OFICIAL'!R11)-'BRAWLERS OFICIAL'!R11)/($BQ11/5)</f>
        <v>0</v>
      </c>
      <c r="S11" s="79">
        <f>((0 + 'BRAWLERS OFICIAL'!S11)-'BRAWLERS OFICIAL'!S11)/($BQ11/5)</f>
        <v>0</v>
      </c>
      <c r="T11" s="79">
        <f>((0 + 'BRAWLERS OFICIAL'!T11)-'BRAWLERS OFICIAL'!T11)/($BQ11/5)</f>
        <v>0</v>
      </c>
      <c r="U11" s="79">
        <f>((0 + 'BRAWLERS OFICIAL'!U11)-'BRAWLERS OFICIAL'!U11)/($BQ11/5)</f>
        <v>0</v>
      </c>
      <c r="V11" s="79">
        <f>((0 + 'BRAWLERS OFICIAL'!V11)-'BRAWLERS OFICIAL'!V11)/($BQ11/5)</f>
        <v>0</v>
      </c>
      <c r="W11" s="79">
        <f>(0 + 'BRAWLERS OFICIAL'!W11)-'BRAWLERS OFICIAL'!W11</f>
        <v>0</v>
      </c>
      <c r="X11" s="121">
        <f>(( 0 + 'BRAWLERS OFICIAL'!X11 + AP11 + AY11/3.5 )-'BRAWLERS OFICIAL'!X11)/($BQ11/5)</f>
        <v>0.504201680672269</v>
      </c>
      <c r="Y11" s="80">
        <f>((0 + 'BRAWLERS OFICIAL'!Y11)-'BRAWLERS OFICIAL'!Y11)/($BQ11/5)</f>
        <v>0</v>
      </c>
      <c r="Z11" s="80">
        <f>(((8 + 7+ 6)/3)-'BRAWLERS OFICIAL'!Z11)</f>
        <v>0.66666666666666696</v>
      </c>
      <c r="AA11" s="80">
        <f>((0 + 'BRAWLERS OFICIAL'!AA11)-'BRAWLERS OFICIAL'!AA11)/($BQ11/5)</f>
        <v>0</v>
      </c>
      <c r="AB11" s="80">
        <f>((0 + 'BRAWLERS OFICIAL'!AB11)-'BRAWLERS OFICIAL'!AB11)/($BQ11/5)</f>
        <v>0</v>
      </c>
      <c r="AC11" s="80">
        <f>(((0)/4 + 'BRAWLERS OFICIAL'!AC11)-'BRAWLERS OFICIAL'!AC11)/($BQ11/5)</f>
        <v>0</v>
      </c>
      <c r="AD11" s="80">
        <f>((2 + 'BRAWLERS OFICIAL'!AD11)-'BRAWLERS OFICIAL'!AD11)/($BQ11/5)</f>
        <v>0.58823529411764708</v>
      </c>
      <c r="AE11" s="80">
        <f>((0 + 'BRAWLERS OFICIAL'!AE11)-'BRAWLERS OFICIAL'!AE11)/($BQ11/5)</f>
        <v>0</v>
      </c>
      <c r="AF11" s="80">
        <f>((0 + 'BRAWLERS OFICIAL'!AF11)-'BRAWLERS OFICIAL'!AF11)/($BQ11/5)</f>
        <v>0</v>
      </c>
      <c r="AG11" s="80">
        <f>((0 + 'BRAWLERS OFICIAL'!AG11)-'BRAWLERS OFICIAL'!AG11)</f>
        <v>0</v>
      </c>
      <c r="AH11" s="80">
        <f>((0 + 'BRAWLERS OFICIAL'!AH11)-'BRAWLERS OFICIAL'!AH11)</f>
        <v>0</v>
      </c>
      <c r="AI11" s="80">
        <f>((0 + 'BRAWLERS OFICIAL'!AI11)-'BRAWLERS OFICIAL'!AI11)</f>
        <v>0</v>
      </c>
      <c r="AJ11" s="80">
        <f>((0 + 'BRAWLERS OFICIAL'!AJ11)-'BRAWLERS OFICIAL'!AJ11)/($BQ11/5)</f>
        <v>0</v>
      </c>
      <c r="AK11" s="80">
        <f>((0 + 'BRAWLERS OFICIAL'!AK11)-'BRAWLERS OFICIAL'!AK11)/($BQ11/5)</f>
        <v>0</v>
      </c>
      <c r="AL11" s="80">
        <f>(((BK11/5+1)*AK11 + 'BRAWLERS OFICIAL'!AL11)-'BRAWLERS OFICIAL'!AL11)/($BQ11/5)</f>
        <v>0</v>
      </c>
      <c r="AM11" s="80">
        <f>IF( 0 = (1-1), (1-1), ((0 + 'BRAWLERS OFICIAL'!AM11)/1.5)-'BRAWLERS OFICIAL'!AM11 )</f>
        <v>0</v>
      </c>
      <c r="AN11" s="80">
        <f t="shared" si="0"/>
        <v>0</v>
      </c>
      <c r="AO11" s="80">
        <f>((0 + 'BRAWLERS OFICIAL'!AO11)-'BRAWLERS OFICIAL'!AO11)/($BQ11/5)</f>
        <v>0</v>
      </c>
      <c r="AP11" s="80">
        <f>((0/1000 + 'BRAWLERS OFICIAL'!AP11)-'BRAWLERS OFICIAL'!AP11)</f>
        <v>0</v>
      </c>
      <c r="AQ11" s="80">
        <f>((0 + 'BRAWLERS OFICIAL'!AQ11)-'BRAWLERS OFICIAL'!AQ11)</f>
        <v>0</v>
      </c>
      <c r="AR11" s="80">
        <f>IF( 0 = (1-1), (1-1), ((0 + 'BRAWLERS OFICIAL'!AR11)/1.5) )</f>
        <v>0</v>
      </c>
      <c r="AS11" s="80">
        <f>IF( 0 = (1-1), (1-1), ((0 + 'BRAWLERS OFICIAL'!AS11)/1.5) )</f>
        <v>0</v>
      </c>
      <c r="AT11" s="80">
        <f>IF( 0 = (1-1), (1-1), ((0 + 'BRAWLERS OFICIAL'!AT11)/2) )</f>
        <v>0</v>
      </c>
      <c r="AU11" s="80">
        <f>((0 + 'BRAWLERS OFICIAL'!AU11)-'BRAWLERS OFICIAL'!AU11)/($BQ11/5)</f>
        <v>0</v>
      </c>
      <c r="AV11" s="80">
        <f>(((0)/4 + 'BRAWLERS OFICIAL'!AV11)-'BRAWLERS OFICIAL'!AV11)</f>
        <v>0</v>
      </c>
      <c r="AW11" s="80">
        <v>0</v>
      </c>
      <c r="AX11" s="80" t="s">
        <v>390</v>
      </c>
      <c r="AY11" s="79">
        <f>((( 6 + 3 + 9 )/3 + 'BRAWLERS OFICIAL'!AY11)-'BRAWLERS OFICIAL'!AY11)</f>
        <v>6</v>
      </c>
      <c r="AZ11" s="79">
        <f>((( 0 )/2 + 'BRAWLERS OFICIAL'!AZ11)-'BRAWLERS OFICIAL'!AZ11)/($BQ11/5)</f>
        <v>0</v>
      </c>
      <c r="BA11" s="79">
        <f>((( 0 )/2 + 'BRAWLERS OFICIAL'!BA11)-'BRAWLERS OFICIAL'!BA11)</f>
        <v>0</v>
      </c>
      <c r="BB11" s="79">
        <f>((( 0 )/3 + 'BRAWLERS OFICIAL'!BB11)-'BRAWLERS OFICIAL'!BB11)</f>
        <v>0</v>
      </c>
      <c r="BC11" s="79">
        <f>((( 0 )/2 + 'BRAWLERS OFICIAL'!BC11)-'BRAWLERS OFICIAL'!BC11)/($BQ11/5)</f>
        <v>0</v>
      </c>
      <c r="BD11" s="79">
        <f>((( 0 )/3 + 'BRAWLERS OFICIAL'!BD11)-'BRAWLERS OFICIAL'!BD11)</f>
        <v>0</v>
      </c>
      <c r="BE11" s="79">
        <f>((( 0 )/3 + 'BRAWLERS OFICIAL'!BE11)-'BRAWLERS OFICIAL'!BE11)</f>
        <v>0</v>
      </c>
      <c r="BF11" s="79">
        <f>((0 + 'BRAWLERS OFICIAL'!BF11)-'BRAWLERS OFICIAL'!BF11)/($BQ11/5)</f>
        <v>0</v>
      </c>
      <c r="BG11" s="79">
        <f>((0 + 'BRAWLERS OFICIAL'!BG11)-'BRAWLERS OFICIAL'!BG11)/($BQ11/5)</f>
        <v>0</v>
      </c>
      <c r="BH11" s="79">
        <f>((( 0 )/2 + 'BRAWLERS OFICIAL'!BH11)-'BRAWLERS OFICIAL'!BH11)</f>
        <v>0</v>
      </c>
      <c r="BI11" s="79">
        <f>((1 + 'BRAWLERS OFICIAL'!BI11)-'BRAWLERS OFICIAL'!BI11)/($BQ11/5)</f>
        <v>0.29411764705882354</v>
      </c>
      <c r="BJ11" s="79">
        <f>((( 0 )/2 + 'BRAWLERS OFICIAL'!BJ11)-'BRAWLERS OFICIAL'!BJ11)</f>
        <v>0</v>
      </c>
      <c r="BK11" s="79">
        <f>((( 0 )/3 + 'BRAWLERS OFICIAL'!BK11)-'BRAWLERS OFICIAL'!BK11)</f>
        <v>0</v>
      </c>
      <c r="BL11" s="79">
        <f>((( 0 )/2 + 'BRAWLERS OFICIAL'!BL11)-'BRAWLERS OFICIAL'!BL11)</f>
        <v>0</v>
      </c>
      <c r="BM11" s="79">
        <f>((2 + 'BRAWLERS OFICIAL'!BM11)-'BRAWLERS OFICIAL'!BM11)/($BQ11/5)</f>
        <v>0.58823529411764708</v>
      </c>
      <c r="BN11" s="79">
        <f>((0 + 'BRAWLERS OFICIAL'!BN11)-'BRAWLERS OFICIAL'!BN11)/($BQ11/5)</f>
        <v>0</v>
      </c>
      <c r="BO11" s="79">
        <f>((0 + 'BRAWLERS OFICIAL'!BO11)-'BRAWLERS OFICIAL'!BO11)/($BQ11/5)</f>
        <v>0</v>
      </c>
      <c r="BQ11" s="79">
        <v>17</v>
      </c>
    </row>
    <row r="12" spans="1:69">
      <c r="B12" s="77" t="s">
        <v>409</v>
      </c>
      <c r="C12" s="81" t="s">
        <v>43</v>
      </c>
      <c r="D12" s="132" t="s">
        <v>373</v>
      </c>
      <c r="E12" s="132" t="s">
        <v>374</v>
      </c>
      <c r="F12" s="79">
        <f>((0 + 'BRAWLERS OFICIAL'!F12)-'BRAWLERS OFICIAL'!F12)/($BQ12/5)</f>
        <v>0</v>
      </c>
      <c r="G12" s="79">
        <f>((0 + 'BRAWLERS OFICIAL'!G12)-'BRAWLERS OFICIAL'!G12)/($BQ12/5)</f>
        <v>0</v>
      </c>
      <c r="H12" s="79">
        <f>((0 + 'BRAWLERS OFICIAL'!H12)-'BRAWLERS OFICIAL'!H12)/($BQ12/5)</f>
        <v>0</v>
      </c>
      <c r="I12" s="79">
        <f>((0 + 'BRAWLERS OFICIAL'!I12)-'BRAWLERS OFICIAL'!I12)/($BQ12/5)</f>
        <v>0</v>
      </c>
      <c r="J12" s="79">
        <f>((0.5 + 'BRAWLERS OFICIAL'!J12)-'BRAWLERS OFICIAL'!J12)/($BQ12/5)</f>
        <v>0.15625</v>
      </c>
      <c r="K12" s="79">
        <f>((0.5 + 'BRAWLERS OFICIAL'!K12)-'BRAWLERS OFICIAL'!K12)/($BQ12/5)</f>
        <v>0.15625</v>
      </c>
      <c r="L12" s="79">
        <f>((0.5 + 'BRAWLERS OFICIAL'!L12)-'BRAWLERS OFICIAL'!L12)/($BQ12/5)</f>
        <v>0.15625</v>
      </c>
      <c r="M12" s="79">
        <f>((0 + 'BRAWLERS OFICIAL'!M12)-'BRAWLERS OFICIAL'!M12)/($BQ12/5)</f>
        <v>0</v>
      </c>
      <c r="N12" s="79">
        <f>((0 + 'BRAWLERS OFICIAL'!N12)-'BRAWLERS OFICIAL'!N12)/($BQ12/5)</f>
        <v>0</v>
      </c>
      <c r="O12" s="79">
        <f>((0 + 'BRAWLERS OFICIAL'!O12)-'BRAWLERS OFICIAL'!O12)/($BQ12/5)</f>
        <v>0</v>
      </c>
      <c r="P12" s="79">
        <f>((0 + 'BRAWLERS OFICIAL'!P12)-'BRAWLERS OFICIAL'!P12)/($BQ12/5)</f>
        <v>0</v>
      </c>
      <c r="Q12" s="79">
        <f>((0 + 'BRAWLERS OFICIAL'!Q12)-'BRAWLERS OFICIAL'!Q12)/($BQ12/5)</f>
        <v>0</v>
      </c>
      <c r="R12" s="79">
        <f>((0 + 'BRAWLERS OFICIAL'!R12)-'BRAWLERS OFICIAL'!R12)/($BQ12/5)</f>
        <v>0</v>
      </c>
      <c r="S12" s="79">
        <f>((0 + 'BRAWLERS OFICIAL'!S12)-'BRAWLERS OFICIAL'!S12)/($BQ12/5)</f>
        <v>0</v>
      </c>
      <c r="T12" s="79">
        <f>((0 + 'BRAWLERS OFICIAL'!T12)-'BRAWLERS OFICIAL'!T12)/($BQ12/5)</f>
        <v>0</v>
      </c>
      <c r="U12" s="79">
        <f>((0 + 'BRAWLERS OFICIAL'!U12)-'BRAWLERS OFICIAL'!U12)/($BQ12/5)</f>
        <v>0</v>
      </c>
      <c r="V12" s="79">
        <f>((0 + 'BRAWLERS OFICIAL'!V12)-'BRAWLERS OFICIAL'!V12)/($BQ12/5)</f>
        <v>0</v>
      </c>
      <c r="W12" s="79">
        <f>(0 + 'BRAWLERS OFICIAL'!W12)-'BRAWLERS OFICIAL'!W12</f>
        <v>0</v>
      </c>
      <c r="X12" s="121">
        <f>(( AVERAGE(200, 2000)/1400 + 'BRAWLERS OFICIAL'!X12 + AP12 + AY12/3.5 )-'BRAWLERS OFICIAL'!X12)/($BQ12/5)</f>
        <v>0.24553571428571452</v>
      </c>
      <c r="Y12" s="80">
        <f>((0 + 'BRAWLERS OFICIAL'!Y12)-'BRAWLERS OFICIAL'!Y12)/($BQ12/5)</f>
        <v>0</v>
      </c>
      <c r="Z12" s="80">
        <f>(((0)/3 + 'BRAWLERS OFICIAL'!Z12)-'BRAWLERS OFICIAL'!Z12)</f>
        <v>0</v>
      </c>
      <c r="AA12" s="80">
        <f>((0 + 'BRAWLERS OFICIAL'!AA12)-'BRAWLERS OFICIAL'!AA12)/($BQ12/5)</f>
        <v>0</v>
      </c>
      <c r="AB12" s="80">
        <f>((0 + 'BRAWLERS OFICIAL'!AB12)-'BRAWLERS OFICIAL'!AB12)/($BQ12/5)</f>
        <v>0</v>
      </c>
      <c r="AC12" s="80">
        <f>(((0)/4 + 'BRAWLERS OFICIAL'!AC12)-'BRAWLERS OFICIAL'!AC12)/($BQ12/5)</f>
        <v>0</v>
      </c>
      <c r="AD12" s="80">
        <f>((0 + 'BRAWLERS OFICIAL'!AD12)-'BRAWLERS OFICIAL'!AD12)/($BQ12/5)</f>
        <v>0</v>
      </c>
      <c r="AE12" s="80">
        <f>((0 + 'BRAWLERS OFICIAL'!AE12)-'BRAWLERS OFICIAL'!AE12)/($BQ12/5)</f>
        <v>0</v>
      </c>
      <c r="AF12" s="80">
        <f>((0 + 'BRAWLERS OFICIAL'!AF12)-'BRAWLERS OFICIAL'!AF12)/($BQ12/5)</f>
        <v>0</v>
      </c>
      <c r="AG12" s="80">
        <f>((0 + 'BRAWLERS OFICIAL'!AG12)-'BRAWLERS OFICIAL'!AG12)</f>
        <v>0</v>
      </c>
      <c r="AH12" s="80">
        <f>((0 + 'BRAWLERS OFICIAL'!AH12)-'BRAWLERS OFICIAL'!AH12)</f>
        <v>0</v>
      </c>
      <c r="AI12" s="80">
        <f>((0 + 'BRAWLERS OFICIAL'!AI12)-'BRAWLERS OFICIAL'!AI12)</f>
        <v>0</v>
      </c>
      <c r="AJ12" s="80">
        <f>((0 + 'BRAWLERS OFICIAL'!AJ12)-'BRAWLERS OFICIAL'!AJ12)/($BQ12/5)</f>
        <v>0</v>
      </c>
      <c r="AK12" s="80">
        <f>((0 + 'BRAWLERS OFICIAL'!AK12)-'BRAWLERS OFICIAL'!AK12)/($BQ12/5)</f>
        <v>0</v>
      </c>
      <c r="AL12" s="80">
        <f>(((BK12/5+1)*AK12 + 'BRAWLERS OFICIAL'!AL12)-'BRAWLERS OFICIAL'!AL12)/($BQ12/5)</f>
        <v>0</v>
      </c>
      <c r="AM12" s="80">
        <f>IF( 0 = (1-1), (1-1), ((0 + 'BRAWLERS OFICIAL'!AM12)/1.5)-'BRAWLERS OFICIAL'!AM12 )</f>
        <v>0</v>
      </c>
      <c r="AN12" s="80">
        <f t="shared" si="0"/>
        <v>0</v>
      </c>
      <c r="AO12" s="80">
        <f>((0 + 'BRAWLERS OFICIAL'!AO12)-'BRAWLERS OFICIAL'!AO12)/($BQ12/5)</f>
        <v>0</v>
      </c>
      <c r="AP12" s="80">
        <f>((0/1000 + 'BRAWLERS OFICIAL'!AP12)-'BRAWLERS OFICIAL'!AP12)</f>
        <v>0</v>
      </c>
      <c r="AQ12" s="80">
        <f>((0 + 'BRAWLERS OFICIAL'!AQ12)-'BRAWLERS OFICIAL'!AQ12)</f>
        <v>0</v>
      </c>
      <c r="AR12" s="80">
        <f>IF( 0 = (1-1), (1-1), ((0 + 'BRAWLERS OFICIAL'!AR12)/1.5) )</f>
        <v>0</v>
      </c>
      <c r="AS12" s="80">
        <f>IF( 0 = (1-1), (1-1), ((0 + 'BRAWLERS OFICIAL'!AS12)/1.5) )</f>
        <v>0</v>
      </c>
      <c r="AT12" s="80">
        <f>IF( 0 = (1-1), (1-1), ((0 + 'BRAWLERS OFICIAL'!AT12)/2) )</f>
        <v>0</v>
      </c>
      <c r="AU12" s="80">
        <f>((0 + 'BRAWLERS OFICIAL'!AU12)-'BRAWLERS OFICIAL'!AU12)/($BQ12/5)</f>
        <v>0</v>
      </c>
      <c r="AV12" s="80">
        <f>(((0)/4 + 'BRAWLERS OFICIAL'!AV12)-'BRAWLERS OFICIAL'!AV12)</f>
        <v>0</v>
      </c>
      <c r="AW12" s="80">
        <v>2.5</v>
      </c>
      <c r="AX12" s="80" t="s">
        <v>410</v>
      </c>
      <c r="AY12" s="79">
        <f>((( 0 )/3 + 'BRAWLERS OFICIAL'!AY12)-'BRAWLERS OFICIAL'!AY12)</f>
        <v>0</v>
      </c>
      <c r="AZ12" s="79">
        <f>((( 0 )/2 + 'BRAWLERS OFICIAL'!AZ12)-'BRAWLERS OFICIAL'!AZ12)/($BQ12/5)</f>
        <v>0</v>
      </c>
      <c r="BA12" s="79">
        <f>((( 0 )/2 + 'BRAWLERS OFICIAL'!BA12)-'BRAWLERS OFICIAL'!BA12)</f>
        <v>0</v>
      </c>
      <c r="BB12" s="79">
        <f>((( 0 )/3 + 'BRAWLERS OFICIAL'!BB12)-'BRAWLERS OFICIAL'!BB12)</f>
        <v>0</v>
      </c>
      <c r="BC12" s="79">
        <f>((( 0 )/2 + 'BRAWLERS OFICIAL'!BC12)-'BRAWLERS OFICIAL'!BC12)/($BQ12/5)</f>
        <v>0</v>
      </c>
      <c r="BD12" s="79">
        <f>((( 0 )/3 + 'BRAWLERS OFICIAL'!BD12)-'BRAWLERS OFICIAL'!BD12)</f>
        <v>0</v>
      </c>
      <c r="BE12" s="79">
        <f>((( 0 )/3 + 'BRAWLERS OFICIAL'!BE12)-'BRAWLERS OFICIAL'!BE12)</f>
        <v>0</v>
      </c>
      <c r="BF12" s="79">
        <f>((0 + 'BRAWLERS OFICIAL'!BF12)-'BRAWLERS OFICIAL'!BF12)/($BQ12/5)</f>
        <v>0</v>
      </c>
      <c r="BG12" s="79">
        <f>((0 + 'BRAWLERS OFICIAL'!BG12)-'BRAWLERS OFICIAL'!BG12)/($BQ12/5)</f>
        <v>0</v>
      </c>
      <c r="BH12" s="79">
        <f>((( 0 )/2 + 'BRAWLERS OFICIAL'!BH12)-'BRAWLERS OFICIAL'!BH12)</f>
        <v>0</v>
      </c>
      <c r="BI12" s="79">
        <f>((0 + 'BRAWLERS OFICIAL'!BI12)-'BRAWLERS OFICIAL'!BI12)/($BQ12/5)</f>
        <v>0</v>
      </c>
      <c r="BJ12" s="79">
        <f>((( 8 + 6 )/2 + 'BRAWLERS OFICIAL'!BJ12)-'BRAWLERS OFICIAL'!BJ12)</f>
        <v>7</v>
      </c>
      <c r="BK12" s="79">
        <f>((( 0 )/3 + 'BRAWLERS OFICIAL'!BK12)-'BRAWLERS OFICIAL'!BK12)</f>
        <v>0</v>
      </c>
      <c r="BL12" s="79">
        <f>((( 8 + 6 )/2 + 'BRAWLERS OFICIAL'!BL12)-'BRAWLERS OFICIAL'!BL12)</f>
        <v>7</v>
      </c>
      <c r="BM12" s="79">
        <f>((0 + 'BRAWLERS OFICIAL'!BM12)-'BRAWLERS OFICIAL'!BM12)/($BQ12/5)</f>
        <v>0</v>
      </c>
      <c r="BN12" s="79">
        <f>((7 + 'BRAWLERS OFICIAL'!BN12)-'BRAWLERS OFICIAL'!BN12)/($BQ12/5)</f>
        <v>2.1875</v>
      </c>
      <c r="BO12" s="79">
        <f>((0 + 'BRAWLERS OFICIAL'!BO12)-'BRAWLERS OFICIAL'!BO12)/($BQ12/5)</f>
        <v>0</v>
      </c>
      <c r="BQ12" s="79">
        <v>16</v>
      </c>
    </row>
    <row r="13" spans="1:69">
      <c r="B13" s="77" t="s">
        <v>411</v>
      </c>
      <c r="C13" s="67" t="s">
        <v>93</v>
      </c>
      <c r="D13" s="131" t="s">
        <v>364</v>
      </c>
      <c r="E13" s="131" t="s">
        <v>373</v>
      </c>
      <c r="F13" s="79">
        <f>((0 + 'BRAWLERS OFICIAL'!F13)-'BRAWLERS OFICIAL'!F13)/($BQ13/5)</f>
        <v>0</v>
      </c>
      <c r="G13" s="79">
        <f>((0 + 'BRAWLERS OFICIAL'!G13)-'BRAWLERS OFICIAL'!G13)/($BQ13/5)</f>
        <v>0</v>
      </c>
      <c r="H13" s="79">
        <f>((0 + 'BRAWLERS OFICIAL'!H13)-'BRAWLERS OFICIAL'!H13)/($BQ13/5)</f>
        <v>0</v>
      </c>
      <c r="I13" s="79">
        <f>((0 + 'BRAWLERS OFICIAL'!I13)-'BRAWLERS OFICIAL'!I13)/($BQ13/5)</f>
        <v>0</v>
      </c>
      <c r="J13" s="79">
        <f>((0 + 'BRAWLERS OFICIAL'!J13)-'BRAWLERS OFICIAL'!J13)/($BQ13/5)</f>
        <v>0</v>
      </c>
      <c r="K13" s="79">
        <f>((0 + 'BRAWLERS OFICIAL'!K13)-'BRAWLERS OFICIAL'!K13)/($BQ13/5)</f>
        <v>0</v>
      </c>
      <c r="L13" s="79">
        <f>((0 + 'BRAWLERS OFICIAL'!L13)-'BRAWLERS OFICIAL'!L13)/($BQ13/5)</f>
        <v>0</v>
      </c>
      <c r="M13" s="79">
        <f>((0 + 'BRAWLERS OFICIAL'!M13)-'BRAWLERS OFICIAL'!M13)/($BQ13/5)</f>
        <v>0</v>
      </c>
      <c r="N13" s="79">
        <f>((0 + 'BRAWLERS OFICIAL'!N13)-'BRAWLERS OFICIAL'!N13)/($BQ13/5)</f>
        <v>0</v>
      </c>
      <c r="O13" s="79">
        <f>((0 + 'BRAWLERS OFICIAL'!O13)-'BRAWLERS OFICIAL'!O13)/($BQ13/5)</f>
        <v>0</v>
      </c>
      <c r="P13" s="79">
        <f>((0 + 'BRAWLERS OFICIAL'!P13)-'BRAWLERS OFICIAL'!P13)/($BQ13/5)</f>
        <v>0</v>
      </c>
      <c r="Q13" s="79">
        <f>((0 + 'BRAWLERS OFICIAL'!Q13)-'BRAWLERS OFICIAL'!Q13)/($BQ13/5)</f>
        <v>0</v>
      </c>
      <c r="R13" s="79">
        <f>((0 + 'BRAWLERS OFICIAL'!R13)-'BRAWLERS OFICIAL'!R13)/($BQ13/5)</f>
        <v>0</v>
      </c>
      <c r="S13" s="79">
        <f>((0 + 'BRAWLERS OFICIAL'!S13)-'BRAWLERS OFICIAL'!S13)/($BQ13/5)</f>
        <v>0</v>
      </c>
      <c r="T13" s="79">
        <f>((0 + 'BRAWLERS OFICIAL'!T13)-'BRAWLERS OFICIAL'!T13)/($BQ13/5)</f>
        <v>0</v>
      </c>
      <c r="U13" s="79">
        <f>((0 + 'BRAWLERS OFICIAL'!U13)-'BRAWLERS OFICIAL'!U13)/($BQ13/5)</f>
        <v>0</v>
      </c>
      <c r="V13" s="79">
        <f>((0 + 'BRAWLERS OFICIAL'!V13)-'BRAWLERS OFICIAL'!V13)/($BQ13/5)</f>
        <v>0</v>
      </c>
      <c r="W13" s="79">
        <f>(0 + 'BRAWLERS OFICIAL'!W13)-'BRAWLERS OFICIAL'!W13</f>
        <v>0</v>
      </c>
      <c r="X13" s="121">
        <f>(( 0 + 'BRAWLERS OFICIAL'!X13 + AP13 + (7 + 8 + 5)/3/3.5 )-'BRAWLERS OFICIAL'!X13)/($BQ13/5)</f>
        <v>0.8658008658008659</v>
      </c>
      <c r="Y13" s="80">
        <f>((0 + 'BRAWLERS OFICIAL'!Y13)-'BRAWLERS OFICIAL'!Y13)/($BQ13/5)</f>
        <v>0</v>
      </c>
      <c r="Z13" s="80">
        <f>(((0)/3 + 'BRAWLERS OFICIAL'!Z13)-'BRAWLERS OFICIAL'!Z13)</f>
        <v>0</v>
      </c>
      <c r="AA13" s="80">
        <f>((0 + 'BRAWLERS OFICIAL'!AA13)-'BRAWLERS OFICIAL'!AA13)/($BQ13/5)</f>
        <v>0</v>
      </c>
      <c r="AB13" s="80">
        <f>((0 + 'BRAWLERS OFICIAL'!AB13)-'BRAWLERS OFICIAL'!AB13)/($BQ13/5)</f>
        <v>0</v>
      </c>
      <c r="AC13" s="80">
        <f>(((0)/4 + 'BRAWLERS OFICIAL'!AC13)-'BRAWLERS OFICIAL'!AC13)/($BQ13/5)</f>
        <v>0</v>
      </c>
      <c r="AD13" s="80">
        <f>((0 + 'BRAWLERS OFICIAL'!AD13)-'BRAWLERS OFICIAL'!AD13)/($BQ13/5)</f>
        <v>0</v>
      </c>
      <c r="AE13" s="80">
        <f>((0 + 'BRAWLERS OFICIAL'!AE13)-'BRAWLERS OFICIAL'!AE13)/($BQ13/5)</f>
        <v>0</v>
      </c>
      <c r="AF13" s="80">
        <f>((0 + 'BRAWLERS OFICIAL'!AF13)-'BRAWLERS OFICIAL'!AF13)/($BQ13/5)</f>
        <v>0</v>
      </c>
      <c r="AG13" s="80">
        <f>((0 + 'BRAWLERS OFICIAL'!AG13)-'BRAWLERS OFICIAL'!AG13)</f>
        <v>0</v>
      </c>
      <c r="AH13" s="80">
        <f>((0 + 'BRAWLERS OFICIAL'!AH13)-'BRAWLERS OFICIAL'!AH13)</f>
        <v>0</v>
      </c>
      <c r="AI13" s="80">
        <f>((0 + 'BRAWLERS OFICIAL'!AI13)-'BRAWLERS OFICIAL'!AI13)</f>
        <v>0</v>
      </c>
      <c r="AJ13" s="80">
        <f>((0 + 'BRAWLERS OFICIAL'!AJ13)-'BRAWLERS OFICIAL'!AJ13)/($BQ13/5)</f>
        <v>0</v>
      </c>
      <c r="AK13" s="80">
        <f>((0 + 'BRAWLERS OFICIAL'!AK13)-'BRAWLERS OFICIAL'!AK13)/($BQ13/5)</f>
        <v>0</v>
      </c>
      <c r="AL13" s="80">
        <f>(((BK13/5+1)*AK13 + 'BRAWLERS OFICIAL'!AL13)-'BRAWLERS OFICIAL'!AL13)/($BQ13/5)</f>
        <v>0</v>
      </c>
      <c r="AM13" s="80">
        <f>IF( 0 = (1-1), (1-1), ((0 + 'BRAWLERS OFICIAL'!AM13)/1.5)-'BRAWLERS OFICIAL'!AM13 )</f>
        <v>0</v>
      </c>
      <c r="AN13" s="80">
        <f t="shared" si="0"/>
        <v>0</v>
      </c>
      <c r="AO13" s="80">
        <f>((0 + 'BRAWLERS OFICIAL'!AO13)-'BRAWLERS OFICIAL'!AO13)/($BQ13/5)</f>
        <v>0</v>
      </c>
      <c r="AP13" s="80">
        <f>((0/1000 + 'BRAWLERS OFICIAL'!AP13)-'BRAWLERS OFICIAL'!AP13)</f>
        <v>0</v>
      </c>
      <c r="AQ13" s="80">
        <f>((0 + 'BRAWLERS OFICIAL'!AQ13)-'BRAWLERS OFICIAL'!AQ13)</f>
        <v>0</v>
      </c>
      <c r="AR13" s="80">
        <f>IF( 0 = (1-1), (1-1), ((0 + 'BRAWLERS OFICIAL'!AR13)/1.5) )</f>
        <v>0</v>
      </c>
      <c r="AS13" s="80">
        <f>IF( 0 = (1-1), (1-1), ((0 + 'BRAWLERS OFICIAL'!AS13)/1.5) )</f>
        <v>0</v>
      </c>
      <c r="AT13" s="80">
        <f>IF( 0 = (1-1), (1-1), ((0 + 'BRAWLERS OFICIAL'!AT13)/2) )</f>
        <v>0</v>
      </c>
      <c r="AU13" s="80">
        <f>((0 + 'BRAWLERS OFICIAL'!AU13)-'BRAWLERS OFICIAL'!AU13)/($BQ13/5)</f>
        <v>0</v>
      </c>
      <c r="AV13" s="80">
        <f>(((0)/4 + 'BRAWLERS OFICIAL'!AV13)-'BRAWLERS OFICIAL'!AV13)</f>
        <v>0</v>
      </c>
      <c r="AW13" s="80">
        <v>5</v>
      </c>
      <c r="AX13" s="80" t="s">
        <v>412</v>
      </c>
      <c r="AY13" s="79">
        <f>((( 0 )/3 + 'BRAWLERS OFICIAL'!AY13)-'BRAWLERS OFICIAL'!AY13)</f>
        <v>0</v>
      </c>
      <c r="AZ13" s="79">
        <f>((( 0 )/2 + 'BRAWLERS OFICIAL'!AZ13)-'BRAWLERS OFICIAL'!AZ13)/($BQ13/5)</f>
        <v>0</v>
      </c>
      <c r="BA13" s="79">
        <f>((( 0 )/2 + 'BRAWLERS OFICIAL'!BA13)-'BRAWLERS OFICIAL'!BA13)</f>
        <v>0</v>
      </c>
      <c r="BB13" s="79">
        <f>((( 0 )/3 + 'BRAWLERS OFICIAL'!BB13)-'BRAWLERS OFICIAL'!BB13)</f>
        <v>0</v>
      </c>
      <c r="BC13" s="79">
        <f>((( 0 )/2 + 'BRAWLERS OFICIAL'!BC13)-'BRAWLERS OFICIAL'!BC13)/($BQ13/5)</f>
        <v>0</v>
      </c>
      <c r="BD13" s="79">
        <f>((( 0 )/3 + 'BRAWLERS OFICIAL'!BD13)-'BRAWLERS OFICIAL'!BD13)</f>
        <v>0</v>
      </c>
      <c r="BE13" s="79">
        <f>((( 0 )/3 + 'BRAWLERS OFICIAL'!BE13)-'BRAWLERS OFICIAL'!BE13)</f>
        <v>0</v>
      </c>
      <c r="BF13" s="79">
        <f>((0 + 'BRAWLERS OFICIAL'!BF13)-'BRAWLERS OFICIAL'!BF13)/($BQ13/5)</f>
        <v>0</v>
      </c>
      <c r="BG13" s="79">
        <f>((0 + 'BRAWLERS OFICIAL'!BG13)-'BRAWLERS OFICIAL'!BG13)/($BQ13/5)</f>
        <v>0</v>
      </c>
      <c r="BH13" s="79">
        <f>((( 0 )/2 + 'BRAWLERS OFICIAL'!BH13)-'BRAWLERS OFICIAL'!BH13)</f>
        <v>0</v>
      </c>
      <c r="BI13" s="79">
        <f>((0 + 'BRAWLERS OFICIAL'!BI13)-'BRAWLERS OFICIAL'!BI13)/($BQ13/5)</f>
        <v>0</v>
      </c>
      <c r="BJ13" s="79">
        <f>((( 0 )/2 + 'BRAWLERS OFICIAL'!BJ13)-'BRAWLERS OFICIAL'!BJ13)</f>
        <v>0</v>
      </c>
      <c r="BK13" s="79">
        <f>((( 0 )/3 + 'BRAWLERS OFICIAL'!BK13)-'BRAWLERS OFICIAL'!BK13)</f>
        <v>0</v>
      </c>
      <c r="BL13" s="79">
        <f>((( 0 )/2 + 'BRAWLERS OFICIAL'!BL13)-'BRAWLERS OFICIAL'!BL13)</f>
        <v>0</v>
      </c>
      <c r="BM13" s="79">
        <f>((0 + 'BRAWLERS OFICIAL'!BM13)-'BRAWLERS OFICIAL'!BM13)/($BQ13/5)</f>
        <v>0</v>
      </c>
      <c r="BN13" s="79">
        <f>((-2 + 'BRAWLERS OFICIAL'!BN13)-'BRAWLERS OFICIAL'!BN13)/($BQ13/5)</f>
        <v>-0.90909090909090906</v>
      </c>
      <c r="BO13" s="79">
        <f>((0 + 'BRAWLERS OFICIAL'!BO13)-'BRAWLERS OFICIAL'!BO13)/($BQ13/5)</f>
        <v>0</v>
      </c>
      <c r="BQ13" s="79">
        <v>11</v>
      </c>
    </row>
    <row r="14" spans="1:69">
      <c r="B14" s="77" t="s">
        <v>413</v>
      </c>
      <c r="C14" s="81" t="s">
        <v>53</v>
      </c>
      <c r="D14" s="132" t="s">
        <v>325</v>
      </c>
      <c r="E14" s="132" t="s">
        <v>377</v>
      </c>
      <c r="F14" s="79">
        <f>((0 + 'BRAWLERS OFICIAL'!F14)-'BRAWLERS OFICIAL'!F14)/($BQ14/5)</f>
        <v>0</v>
      </c>
      <c r="G14" s="79">
        <f>((0 + 'BRAWLERS OFICIAL'!G14)-'BRAWLERS OFICIAL'!G14)/($BQ14/5)</f>
        <v>0</v>
      </c>
      <c r="H14" s="79">
        <f>((0 + 'BRAWLERS OFICIAL'!H14)-'BRAWLERS OFICIAL'!H14)/($BQ14/5)</f>
        <v>0</v>
      </c>
      <c r="I14" s="79">
        <f>((0 + 'BRAWLERS OFICIAL'!I14)-'BRAWLERS OFICIAL'!I14)/($BQ14/5)</f>
        <v>0</v>
      </c>
      <c r="J14" s="79">
        <f>((0 + 'BRAWLERS OFICIAL'!J14)-'BRAWLERS OFICIAL'!J14)/($BQ14/5)</f>
        <v>0</v>
      </c>
      <c r="K14" s="79">
        <f>((0 + 'BRAWLERS OFICIAL'!K14)-'BRAWLERS OFICIAL'!K14)/($BQ14/5)</f>
        <v>0</v>
      </c>
      <c r="L14" s="79">
        <f>((0 + 'BRAWLERS OFICIAL'!L14)-'BRAWLERS OFICIAL'!L14)/($BQ14/5)</f>
        <v>0</v>
      </c>
      <c r="M14" s="79">
        <f>((0 + 'BRAWLERS OFICIAL'!M14)-'BRAWLERS OFICIAL'!M14)/($BQ14/5)</f>
        <v>0</v>
      </c>
      <c r="N14" s="79">
        <f>((0 + 'BRAWLERS OFICIAL'!N14)-'BRAWLERS OFICIAL'!N14)/($BQ14/5)</f>
        <v>0</v>
      </c>
      <c r="O14" s="79">
        <f>((0 + 'BRAWLERS OFICIAL'!O14)-'BRAWLERS OFICIAL'!O14)/($BQ14/5)</f>
        <v>0</v>
      </c>
      <c r="P14" s="79">
        <f>((0 + 'BRAWLERS OFICIAL'!P14)-'BRAWLERS OFICIAL'!P14)/($BQ14/5)</f>
        <v>0</v>
      </c>
      <c r="Q14" s="79">
        <f>((0 + 'BRAWLERS OFICIAL'!Q14)-'BRAWLERS OFICIAL'!Q14)/($BQ14/5)</f>
        <v>0</v>
      </c>
      <c r="R14" s="79">
        <f>((0 + 'BRAWLERS OFICIAL'!R14)-'BRAWLERS OFICIAL'!R14)/($BQ14/5)</f>
        <v>0</v>
      </c>
      <c r="S14" s="79">
        <f>((0 + 'BRAWLERS OFICIAL'!S14)-'BRAWLERS OFICIAL'!S14)/($BQ14/5)</f>
        <v>0</v>
      </c>
      <c r="T14" s="79">
        <f>((0 + 'BRAWLERS OFICIAL'!T14)-'BRAWLERS OFICIAL'!T14)/($BQ14/5)</f>
        <v>0</v>
      </c>
      <c r="U14" s="79">
        <f>((0 + 'BRAWLERS OFICIAL'!U14)-'BRAWLERS OFICIAL'!U14)/($BQ14/5)</f>
        <v>0</v>
      </c>
      <c r="V14" s="79">
        <f>((0 + 'BRAWLERS OFICIAL'!V14)-'BRAWLERS OFICIAL'!V14)/($BQ14/5)</f>
        <v>0</v>
      </c>
      <c r="W14" s="79">
        <f>(0 + 'BRAWLERS OFICIAL'!W14)-'BRAWLERS OFICIAL'!W14</f>
        <v>0</v>
      </c>
      <c r="X14" s="121">
        <f>(( 0 + 'BRAWLERS OFICIAL'!X14 + AP14 + AY14/3.5 )-'BRAWLERS OFICIAL'!X14)/($BQ14/5)</f>
        <v>0</v>
      </c>
      <c r="Y14" s="80">
        <f>((0 + 'BRAWLERS OFICIAL'!Y14)-'BRAWLERS OFICIAL'!Y14)/($BQ14/5)</f>
        <v>0</v>
      </c>
      <c r="Z14" s="80">
        <f>(((0)/3 + 'BRAWLERS OFICIAL'!Z14)-'BRAWLERS OFICIAL'!Z14)</f>
        <v>0</v>
      </c>
      <c r="AA14" s="80">
        <f>((0 + 'BRAWLERS OFICIAL'!AA14)-'BRAWLERS OFICIAL'!AA14)/($BQ14/5)</f>
        <v>0</v>
      </c>
      <c r="AB14" s="80">
        <f>((0 + 'BRAWLERS OFICIAL'!AB14)-'BRAWLERS OFICIAL'!AB14)/($BQ14/5)</f>
        <v>0</v>
      </c>
      <c r="AC14" s="80">
        <f>(((0)/4 + 'BRAWLERS OFICIAL'!AC14)-'BRAWLERS OFICIAL'!AC14)/($BQ14/5)</f>
        <v>0</v>
      </c>
      <c r="AD14" s="80">
        <f>((0 + 'BRAWLERS OFICIAL'!AD14)-'BRAWLERS OFICIAL'!AD14)/($BQ14/5)</f>
        <v>0</v>
      </c>
      <c r="AE14" s="80">
        <f>((0 + 'BRAWLERS OFICIAL'!AE14)-'BRAWLERS OFICIAL'!AE14)/($BQ14/5)</f>
        <v>0</v>
      </c>
      <c r="AF14" s="80">
        <f>((0 + 'BRAWLERS OFICIAL'!AF14)-'BRAWLERS OFICIAL'!AF14)/($BQ14/5)</f>
        <v>0</v>
      </c>
      <c r="AG14" s="80">
        <f>((0 + 'BRAWLERS OFICIAL'!AG14)-'BRAWLERS OFICIAL'!AG14)</f>
        <v>0</v>
      </c>
      <c r="AH14" s="80">
        <f>((0 + 'BRAWLERS OFICIAL'!AH14)-'BRAWLERS OFICIAL'!AH14)</f>
        <v>0</v>
      </c>
      <c r="AI14" s="80">
        <f>((0 + 'BRAWLERS OFICIAL'!AI14)-'BRAWLERS OFICIAL'!AI14)</f>
        <v>0</v>
      </c>
      <c r="AJ14" s="80">
        <f>((4 + 'BRAWLERS OFICIAL'!AJ14)-'BRAWLERS OFICIAL'!AJ14)/($BQ14/5)</f>
        <v>1.3333333333333333</v>
      </c>
      <c r="AK14" s="80">
        <f>((0 + 'BRAWLERS OFICIAL'!AK14)-'BRAWLERS OFICIAL'!AK14)/($BQ14/5)</f>
        <v>0</v>
      </c>
      <c r="AL14" s="80">
        <f>(((BK14/5+1)*AK14 + 'BRAWLERS OFICIAL'!AL14)-'BRAWLERS OFICIAL'!AL14)/($BQ14/5)</f>
        <v>0</v>
      </c>
      <c r="AM14" s="80">
        <f>IF( 0 = (1-1), (1-1), ((0 + 'BRAWLERS OFICIAL'!AM14)/1.5)-'BRAWLERS OFICIAL'!AM14 )</f>
        <v>0</v>
      </c>
      <c r="AN14" s="80">
        <f t="shared" si="0"/>
        <v>0</v>
      </c>
      <c r="AO14" s="80">
        <f>((0 + 'BRAWLERS OFICIAL'!AO14)-'BRAWLERS OFICIAL'!AO14)/($BQ14/5)</f>
        <v>0</v>
      </c>
      <c r="AP14" s="80">
        <f>((0/1000 + 'BRAWLERS OFICIAL'!AP14)-'BRAWLERS OFICIAL'!AP14)</f>
        <v>0</v>
      </c>
      <c r="AQ14" s="80">
        <f>((0 + 'BRAWLERS OFICIAL'!AQ14)-'BRAWLERS OFICIAL'!AQ14)</f>
        <v>0</v>
      </c>
      <c r="AR14" s="80">
        <f>IF( 0 = (1-1), (1-1), ((0 + 'BRAWLERS OFICIAL'!AR14)/1.5) )</f>
        <v>0</v>
      </c>
      <c r="AS14" s="80">
        <f>IF( 0 = (1-1), (1-1), ((0 + 'BRAWLERS OFICIAL'!AS14)/1.5) )</f>
        <v>0</v>
      </c>
      <c r="AT14" s="80">
        <f>IF( 0 = (1-1), (1-1), ((0 + 'BRAWLERS OFICIAL'!AT14)/2) )</f>
        <v>0</v>
      </c>
      <c r="AU14" s="80">
        <f>((0 + 'BRAWLERS OFICIAL'!AU14)-'BRAWLERS OFICIAL'!AU14)/($BQ14/5)</f>
        <v>0</v>
      </c>
      <c r="AV14" s="80">
        <f>(((0)/4 + 'BRAWLERS OFICIAL'!AV14)-'BRAWLERS OFICIAL'!AV14)</f>
        <v>0</v>
      </c>
      <c r="AW14" s="80">
        <v>0</v>
      </c>
      <c r="AX14" s="80" t="s">
        <v>390</v>
      </c>
      <c r="AY14" s="79">
        <f>((( 0 )/3 + 'BRAWLERS OFICIAL'!AY14)-'BRAWLERS OFICIAL'!AY14)</f>
        <v>0</v>
      </c>
      <c r="AZ14" s="79">
        <f>((( 0 )/2 + 'BRAWLERS OFICIAL'!AZ14)-'BRAWLERS OFICIAL'!AZ14)/($BQ14/5)</f>
        <v>0</v>
      </c>
      <c r="BA14" s="79">
        <f>((( 0 )/2 + 'BRAWLERS OFICIAL'!BA14)-'BRAWLERS OFICIAL'!BA14)</f>
        <v>0</v>
      </c>
      <c r="BB14" s="79">
        <f>((( 0 )/3 + 'BRAWLERS OFICIAL'!BB14)-'BRAWLERS OFICIAL'!BB14)</f>
        <v>0</v>
      </c>
      <c r="BC14" s="79">
        <f>((( 0 )/2 + 'BRAWLERS OFICIAL'!BC14)-'BRAWLERS OFICIAL'!BC14)/($BQ14/5)</f>
        <v>0</v>
      </c>
      <c r="BD14" s="79">
        <f>((( 0 )/3 + 'BRAWLERS OFICIAL'!BD14)-'BRAWLERS OFICIAL'!BD14)</f>
        <v>0</v>
      </c>
      <c r="BE14" s="79">
        <f>((( 0 )/3 + 'BRAWLERS OFICIAL'!BE14)-'BRAWLERS OFICIAL'!BE14)</f>
        <v>0</v>
      </c>
      <c r="BF14" s="79">
        <f>((0 + 'BRAWLERS OFICIAL'!BF14)-'BRAWLERS OFICIAL'!BF14)/($BQ14/5)</f>
        <v>0</v>
      </c>
      <c r="BG14" s="79">
        <f>((0 + 'BRAWLERS OFICIAL'!BG14)-'BRAWLERS OFICIAL'!BG14)/($BQ14/5)</f>
        <v>0</v>
      </c>
      <c r="BH14" s="79">
        <f>((( 0 )/2 + 'BRAWLERS OFICIAL'!BH14)-'BRAWLERS OFICIAL'!BH14)</f>
        <v>0</v>
      </c>
      <c r="BI14" s="79">
        <f>((0 + 'BRAWLERS OFICIAL'!BI14)-'BRAWLERS OFICIAL'!BI14)/($BQ14/5)</f>
        <v>0</v>
      </c>
      <c r="BJ14" s="79">
        <f>((( 0 )/2 + 'BRAWLERS OFICIAL'!BJ14)-'BRAWLERS OFICIAL'!BJ14)</f>
        <v>0</v>
      </c>
      <c r="BK14" s="79">
        <f>((( 0 )/3 + 'BRAWLERS OFICIAL'!BK14)-'BRAWLERS OFICIAL'!BK14)</f>
        <v>0</v>
      </c>
      <c r="BL14" s="79">
        <f>((( 0 )/2 + 'BRAWLERS OFICIAL'!BL14)-'BRAWLERS OFICIAL'!BL14)</f>
        <v>0</v>
      </c>
      <c r="BM14" s="79">
        <f>((0 + 'BRAWLERS OFICIAL'!BM14)-'BRAWLERS OFICIAL'!BM14)/($BQ14/5)</f>
        <v>0</v>
      </c>
      <c r="BN14" s="79">
        <f>((0 + 'BRAWLERS OFICIAL'!BN14)-'BRAWLERS OFICIAL'!BN14)/($BQ14/5)</f>
        <v>0</v>
      </c>
      <c r="BO14" s="79">
        <f>((0 + 'BRAWLERS OFICIAL'!BO14)-'BRAWLERS OFICIAL'!BO14)/($BQ14/5)</f>
        <v>0</v>
      </c>
      <c r="BQ14" s="79">
        <v>15</v>
      </c>
    </row>
    <row r="15" spans="1:69">
      <c r="B15" s="77" t="s">
        <v>414</v>
      </c>
      <c r="C15" s="81" t="s">
        <v>84</v>
      </c>
      <c r="D15" s="132" t="s">
        <v>373</v>
      </c>
      <c r="E15" s="132" t="s">
        <v>374</v>
      </c>
      <c r="F15" s="79">
        <f>((0 + 'BRAWLERS OFICIAL'!F15)-'BRAWLERS OFICIAL'!F15)/($BQ15/5)</f>
        <v>0</v>
      </c>
      <c r="G15" s="79">
        <f>((0 + 'BRAWLERS OFICIAL'!G15)-'BRAWLERS OFICIAL'!G15)/($BQ15/5)</f>
        <v>0</v>
      </c>
      <c r="H15" s="79">
        <f>((0 + 'BRAWLERS OFICIAL'!H15)-'BRAWLERS OFICIAL'!H15)/($BQ15/5)</f>
        <v>0</v>
      </c>
      <c r="I15" s="79">
        <f>((0 + 'BRAWLERS OFICIAL'!I15)-'BRAWLERS OFICIAL'!I15)/($BQ15/5)</f>
        <v>0</v>
      </c>
      <c r="J15" s="79">
        <f>((3.5 + 'BRAWLERS OFICIAL'!J15)-'BRAWLERS OFICIAL'!J15)/($BQ15/5)</f>
        <v>0.97222222222222221</v>
      </c>
      <c r="K15" s="79">
        <f>((3.5 + 'BRAWLERS OFICIAL'!K15)-'BRAWLERS OFICIAL'!K15)/($BQ15/5)</f>
        <v>0.97222222222222221</v>
      </c>
      <c r="L15" s="79">
        <f>((1 + 'BRAWLERS OFICIAL'!L15)-'BRAWLERS OFICIAL'!L15)/($BQ15/5)</f>
        <v>0.27777777777777779</v>
      </c>
      <c r="M15" s="79">
        <f>((0 + 'BRAWLERS OFICIAL'!M15)-'BRAWLERS OFICIAL'!M15)/($BQ15/5)</f>
        <v>0</v>
      </c>
      <c r="N15" s="79">
        <f>((0 + 'BRAWLERS OFICIAL'!N15)-'BRAWLERS OFICIAL'!N15)/($BQ15/5)</f>
        <v>0</v>
      </c>
      <c r="O15" s="79">
        <f>((0 + 'BRAWLERS OFICIAL'!O15)-'BRAWLERS OFICIAL'!O15)/($BQ15/5)</f>
        <v>0</v>
      </c>
      <c r="P15" s="79">
        <f>((0 + 'BRAWLERS OFICIAL'!P15)-'BRAWLERS OFICIAL'!P15)/($BQ15/5)</f>
        <v>0</v>
      </c>
      <c r="Q15" s="79">
        <f>((0 + 'BRAWLERS OFICIAL'!Q15)-'BRAWLERS OFICIAL'!Q15)/($BQ15/5)</f>
        <v>0</v>
      </c>
      <c r="R15" s="79">
        <f>((0 + 'BRAWLERS OFICIAL'!R15)-'BRAWLERS OFICIAL'!R15)/($BQ15/5)</f>
        <v>0</v>
      </c>
      <c r="S15" s="79">
        <f>((0 + 'BRAWLERS OFICIAL'!S15)-'BRAWLERS OFICIAL'!S15)/($BQ15/5)</f>
        <v>0</v>
      </c>
      <c r="T15" s="79">
        <f>((0 + 'BRAWLERS OFICIAL'!T15)-'BRAWLERS OFICIAL'!T15)/($BQ15/5)</f>
        <v>0</v>
      </c>
      <c r="U15" s="79">
        <f>((0 + 'BRAWLERS OFICIAL'!U15)-'BRAWLERS OFICIAL'!U15)/($BQ15/5)</f>
        <v>0</v>
      </c>
      <c r="V15" s="79">
        <f>((0 + 'BRAWLERS OFICIAL'!V15)-'BRAWLERS OFICIAL'!V15)/($BQ15/5)</f>
        <v>0</v>
      </c>
      <c r="W15" s="79">
        <f>(0 + 'BRAWLERS OFICIAL'!W15)-'BRAWLERS OFICIAL'!W15</f>
        <v>0</v>
      </c>
      <c r="X15" s="121">
        <f>(( 0 + 'BRAWLERS OFICIAL'!X15 + AP15 + AY15/3.5 )-'BRAWLERS OFICIAL'!X15)/($BQ15/5)</f>
        <v>0.70555555555555527</v>
      </c>
      <c r="Y15" s="80">
        <f>((0 + 'BRAWLERS OFICIAL'!Y15)-'BRAWLERS OFICIAL'!Y15)/($BQ15/5)</f>
        <v>0</v>
      </c>
      <c r="Z15" s="80">
        <f>(((0)/3 + 'BRAWLERS OFICIAL'!Z15)-'BRAWLERS OFICIAL'!Z15)</f>
        <v>0</v>
      </c>
      <c r="AA15" s="80">
        <f>((0 + 'BRAWLERS OFICIAL'!AA15)-'BRAWLERS OFICIAL'!AA15)/($BQ15/5)</f>
        <v>0</v>
      </c>
      <c r="AB15" s="80">
        <f>((0 + 'BRAWLERS OFICIAL'!AB15)-'BRAWLERS OFICIAL'!AB15)/($BQ15/5)</f>
        <v>0</v>
      </c>
      <c r="AC15" s="80">
        <f>(((0)/4 + 'BRAWLERS OFICIAL'!AC15)-'BRAWLERS OFICIAL'!AC15)/($BQ15/5)</f>
        <v>0</v>
      </c>
      <c r="AD15" s="80">
        <f>((0 + 'BRAWLERS OFICIAL'!AD15)-'BRAWLERS OFICIAL'!AD15)/($BQ15/5)</f>
        <v>0</v>
      </c>
      <c r="AE15" s="80">
        <f>((0 + 'BRAWLERS OFICIAL'!AE15)-'BRAWLERS OFICIAL'!AE15)/($BQ15/5)</f>
        <v>0</v>
      </c>
      <c r="AF15" s="80">
        <f>((0 + 'BRAWLERS OFICIAL'!AF15)-'BRAWLERS OFICIAL'!AF15)/($BQ15/5)</f>
        <v>0</v>
      </c>
      <c r="AG15" s="80">
        <f>((0 + 'BRAWLERS OFICIAL'!AG15)-'BRAWLERS OFICIAL'!AG15)</f>
        <v>0</v>
      </c>
      <c r="AH15" s="80">
        <f>((0 + 'BRAWLERS OFICIAL'!AH15)-'BRAWLERS OFICIAL'!AH15)</f>
        <v>0</v>
      </c>
      <c r="AI15" s="80">
        <f>((0 + 'BRAWLERS OFICIAL'!AI15)-'BRAWLERS OFICIAL'!AI15)</f>
        <v>0</v>
      </c>
      <c r="AJ15" s="80">
        <f>((0 + 'BRAWLERS OFICIAL'!AJ15)-'BRAWLERS OFICIAL'!AJ15)/($BQ15/5)</f>
        <v>0</v>
      </c>
      <c r="AK15" s="80">
        <f>((0 + 'BRAWLERS OFICIAL'!AK15)-'BRAWLERS OFICIAL'!AK15)/($BQ15/5)</f>
        <v>0</v>
      </c>
      <c r="AL15" s="80">
        <f>(((BK15/5+1)*AK15 + 'BRAWLERS OFICIAL'!AL15)-'BRAWLERS OFICIAL'!AL15)/($BQ15/5)</f>
        <v>0</v>
      </c>
      <c r="AM15" s="80">
        <f>IF( 5.5 = (1-1), (1-1), ((5.5 + 'BRAWLERS OFICIAL'!AM15)/1.5)-'BRAWLERS OFICIAL'!AM15 )</f>
        <v>2.333333333333333</v>
      </c>
      <c r="AN15" s="80">
        <f>IF( 1 = (1-1), (1-1), ( 1 ) )</f>
        <v>1</v>
      </c>
      <c r="AO15" s="80">
        <f>((0 + 'BRAWLERS OFICIAL'!AO15)-'BRAWLERS OFICIAL'!AO15)/($BQ15/5)</f>
        <v>0</v>
      </c>
      <c r="AP15" s="80">
        <f>((2540/1000 + 'BRAWLERS OFICIAL'!AP15)-'BRAWLERS OFICIAL'!AP15)</f>
        <v>2.5399999999999991</v>
      </c>
      <c r="AQ15" s="80">
        <f>((0 + 'BRAWLERS OFICIAL'!AQ15)-'BRAWLERS OFICIAL'!AQ15)</f>
        <v>0</v>
      </c>
      <c r="AR15" s="80">
        <f>IF( 0 = (1-1), (1-1), ((0 + 'BRAWLERS OFICIAL'!AR15)/1.5) )</f>
        <v>0</v>
      </c>
      <c r="AS15" s="80">
        <f>IF( 0 = (1-1), (1-1), ((0 + 'BRAWLERS OFICIAL'!AS15)/1.5) )</f>
        <v>0</v>
      </c>
      <c r="AT15" s="80">
        <f>IF( 5 = (1-1), (1-1), ((5 + 'BRAWLERS OFICIAL'!AT15)/2) )</f>
        <v>2.5</v>
      </c>
      <c r="AU15" s="80">
        <f>((0 + 'BRAWLERS OFICIAL'!AU15)-'BRAWLERS OFICIAL'!AU15)/($BQ15/5)</f>
        <v>0</v>
      </c>
      <c r="AV15" s="80">
        <f>(((0)/4 + 'BRAWLERS OFICIAL'!AV15)-'BRAWLERS OFICIAL'!AV15)</f>
        <v>0</v>
      </c>
      <c r="AW15" s="80">
        <v>0</v>
      </c>
      <c r="AX15" s="80" t="s">
        <v>390</v>
      </c>
      <c r="AY15" s="79">
        <f>((( 0 )/3 + 'BRAWLERS OFICIAL'!AY15)-'BRAWLERS OFICIAL'!AY15)</f>
        <v>0</v>
      </c>
      <c r="AZ15" s="79">
        <f>((( 0 )/2 + 'BRAWLERS OFICIAL'!AZ15)-'BRAWLERS OFICIAL'!AZ15)/($BQ15/5)</f>
        <v>0</v>
      </c>
      <c r="BA15" s="79">
        <f>((( 0 )/2 + 'BRAWLERS OFICIAL'!BA15)-'BRAWLERS OFICIAL'!BA15)</f>
        <v>0</v>
      </c>
      <c r="BB15" s="79">
        <f>((( 0 )/3 + 'BRAWLERS OFICIAL'!BB15)-'BRAWLERS OFICIAL'!BB15)</f>
        <v>0</v>
      </c>
      <c r="BC15" s="79">
        <f>((( 0 )/2 + 'BRAWLERS OFICIAL'!BC15)-'BRAWLERS OFICIAL'!BC15)/($BQ15/5)</f>
        <v>0</v>
      </c>
      <c r="BD15" s="79">
        <f>((( 0 )/3 + 'BRAWLERS OFICIAL'!BD15)-'BRAWLERS OFICIAL'!BD15)</f>
        <v>0</v>
      </c>
      <c r="BE15" s="79">
        <f>((( 0 )/3 + 'BRAWLERS OFICIAL'!BE15)-'BRAWLERS OFICIAL'!BE15)</f>
        <v>0</v>
      </c>
      <c r="BF15" s="79">
        <f>((0 + 'BRAWLERS OFICIAL'!BF15)-'BRAWLERS OFICIAL'!BF15)/($BQ15/5)</f>
        <v>0</v>
      </c>
      <c r="BG15" s="79">
        <f>((0 + 'BRAWLERS OFICIAL'!BG15)-'BRAWLERS OFICIAL'!BG15)/($BQ15/5)</f>
        <v>0</v>
      </c>
      <c r="BH15" s="79">
        <f>((( 0 )/2 + 'BRAWLERS OFICIAL'!BH15)-'BRAWLERS OFICIAL'!BH15)</f>
        <v>0</v>
      </c>
      <c r="BI15" s="79">
        <f>((0 + 'BRAWLERS OFICIAL'!BI15)-'BRAWLERS OFICIAL'!BI15)/($BQ15/5)</f>
        <v>0</v>
      </c>
      <c r="BJ15" s="79">
        <f>((( 0 )/2 + 'BRAWLERS OFICIAL'!BJ15)-'BRAWLERS OFICIAL'!BJ15)</f>
        <v>0</v>
      </c>
      <c r="BK15" s="79">
        <f>((( 0 )/3 + 'BRAWLERS OFICIAL'!BK15)-'BRAWLERS OFICIAL'!BK15)</f>
        <v>0</v>
      </c>
      <c r="BL15" s="79">
        <f>((( 0 )/2 + 'BRAWLERS OFICIAL'!BL15)-'BRAWLERS OFICIAL'!BL15)</f>
        <v>0</v>
      </c>
      <c r="BM15" s="79">
        <f>((0 + 'BRAWLERS OFICIAL'!BM15)-'BRAWLERS OFICIAL'!BM15)/($BQ15/5)</f>
        <v>0</v>
      </c>
      <c r="BN15" s="79">
        <f>((0 + 'BRAWLERS OFICIAL'!BN15)-'BRAWLERS OFICIAL'!BN15)/($BQ15/5)</f>
        <v>0</v>
      </c>
      <c r="BO15" s="79">
        <f>((0 + 'BRAWLERS OFICIAL'!BO15)-'BRAWLERS OFICIAL'!BO15)/($BQ15/5)</f>
        <v>0</v>
      </c>
      <c r="BQ15" s="79">
        <v>18</v>
      </c>
    </row>
    <row r="16" spans="1:69">
      <c r="B16" s="77" t="s">
        <v>415</v>
      </c>
      <c r="C16" s="67" t="s">
        <v>77</v>
      </c>
      <c r="D16" s="131" t="s">
        <v>325</v>
      </c>
      <c r="E16" s="131" t="s">
        <v>375</v>
      </c>
      <c r="F16" s="79">
        <f>((0 + 'BRAWLERS OFICIAL'!F16)-'BRAWLERS OFICIAL'!F16)/($BQ16/5)</f>
        <v>0</v>
      </c>
      <c r="G16" s="79">
        <f>((0 + 'BRAWLERS OFICIAL'!G16)-'BRAWLERS OFICIAL'!G16)/($BQ16/5)</f>
        <v>0</v>
      </c>
      <c r="H16" s="79">
        <f>((0 + 'BRAWLERS OFICIAL'!H16)-'BRAWLERS OFICIAL'!H16)/($BQ16/5)</f>
        <v>0</v>
      </c>
      <c r="I16" s="79">
        <f>((0 + 'BRAWLERS OFICIAL'!I16)-'BRAWLERS OFICIAL'!I16)/($BQ16/5)</f>
        <v>0</v>
      </c>
      <c r="J16" s="79">
        <f>((1.25 + 'BRAWLERS OFICIAL'!J16)-'BRAWLERS OFICIAL'!J16)/($BQ16/5)</f>
        <v>0.41666666666666669</v>
      </c>
      <c r="K16" s="79">
        <f>((1.25 + 'BRAWLERS OFICIAL'!K16)-'BRAWLERS OFICIAL'!K16)/($BQ16/5)</f>
        <v>0.41666666666666669</v>
      </c>
      <c r="L16" s="79">
        <f>((1.25 + 'BRAWLERS OFICIAL'!L16)-'BRAWLERS OFICIAL'!L16)/($BQ16/5)</f>
        <v>0.41666666666666669</v>
      </c>
      <c r="M16" s="79">
        <f>((0 + 'BRAWLERS OFICIAL'!M16)-'BRAWLERS OFICIAL'!M16)/($BQ16/5)</f>
        <v>0</v>
      </c>
      <c r="N16" s="79">
        <f>((0 + 'BRAWLERS OFICIAL'!N16)-'BRAWLERS OFICIAL'!N16)/($BQ16/5)</f>
        <v>0</v>
      </c>
      <c r="O16" s="79">
        <f>((0 + 'BRAWLERS OFICIAL'!O16)-'BRAWLERS OFICIAL'!O16)/($BQ16/5)</f>
        <v>0</v>
      </c>
      <c r="P16" s="79">
        <f>((0 + 'BRAWLERS OFICIAL'!P16)-'BRAWLERS OFICIAL'!P16)/($BQ16/5)</f>
        <v>0</v>
      </c>
      <c r="Q16" s="79">
        <f>((0 + 'BRAWLERS OFICIAL'!Q16)-'BRAWLERS OFICIAL'!Q16)/($BQ16/5)</f>
        <v>0</v>
      </c>
      <c r="R16" s="79">
        <f>((0 + 'BRAWLERS OFICIAL'!R16)-'BRAWLERS OFICIAL'!R16)/($BQ16/5)</f>
        <v>0</v>
      </c>
      <c r="S16" s="79">
        <f>((0 + 'BRAWLERS OFICIAL'!S16)-'BRAWLERS OFICIAL'!S16)/($BQ16/5)</f>
        <v>0</v>
      </c>
      <c r="T16" s="79">
        <f>((0 + 'BRAWLERS OFICIAL'!T16)-'BRAWLERS OFICIAL'!T16)/($BQ16/5)</f>
        <v>0</v>
      </c>
      <c r="U16" s="79">
        <f>((0 + 'BRAWLERS OFICIAL'!U16)-'BRAWLERS OFICIAL'!U16)/($BQ16/5)</f>
        <v>0</v>
      </c>
      <c r="V16" s="79">
        <f>((0 + 'BRAWLERS OFICIAL'!V16)-'BRAWLERS OFICIAL'!V16)/($BQ16/5)</f>
        <v>0</v>
      </c>
      <c r="W16" s="79">
        <v>0</v>
      </c>
      <c r="X16" s="121">
        <f>(( 0 + 'BRAWLERS OFICIAL'!X16 + AP16 + AY16/3.5 )-'BRAWLERS OFICIAL'!X16)/($BQ16/5)</f>
        <v>0</v>
      </c>
      <c r="Y16" s="80">
        <f>((2 + 'BRAWLERS OFICIAL'!Y16)-'BRAWLERS OFICIAL'!Y16)/($BQ16/5)</f>
        <v>0.66666666666666663</v>
      </c>
      <c r="Z16" s="80">
        <f>(((0)/3 + 'BRAWLERS OFICIAL'!Z16)-'BRAWLERS OFICIAL'!Z16)</f>
        <v>0</v>
      </c>
      <c r="AA16" s="80">
        <f>((1 + 'BRAWLERS OFICIAL'!AA16)-'BRAWLERS OFICIAL'!AA16)/($BQ16/5)</f>
        <v>0.33333333333333331</v>
      </c>
      <c r="AB16" s="80">
        <f>((0 + 'BRAWLERS OFICIAL'!AB16)-'BRAWLERS OFICIAL'!AB16)/($BQ16/5)</f>
        <v>0</v>
      </c>
      <c r="AC16" s="80">
        <f>(((0)/4 + 'BRAWLERS OFICIAL'!AC16)-'BRAWLERS OFICIAL'!AC16)/($BQ16/5)</f>
        <v>0</v>
      </c>
      <c r="AD16" s="80">
        <f>((0 + 'BRAWLERS OFICIAL'!AD16)-'BRAWLERS OFICIAL'!AD16)/($BQ16/5)</f>
        <v>0</v>
      </c>
      <c r="AE16" s="80">
        <f>((0 + 'BRAWLERS OFICIAL'!AE16)-'BRAWLERS OFICIAL'!AE16)/($BQ16/5)</f>
        <v>0</v>
      </c>
      <c r="AF16" s="80">
        <f>((2 + 'BRAWLERS OFICIAL'!AF16)-'BRAWLERS OFICIAL'!AF16)/($BQ16/5)</f>
        <v>0.66666666666666663</v>
      </c>
      <c r="AG16" s="80">
        <f>((0 + 'BRAWLERS OFICIAL'!AG16)-'BRAWLERS OFICIAL'!AG16)</f>
        <v>0</v>
      </c>
      <c r="AH16" s="80">
        <f>((0 + 'BRAWLERS OFICIAL'!AH16)-'BRAWLERS OFICIAL'!AH16)</f>
        <v>0</v>
      </c>
      <c r="AI16" s="80">
        <f>((0 + 'BRAWLERS OFICIAL'!AI16)-'BRAWLERS OFICIAL'!AI16)</f>
        <v>0</v>
      </c>
      <c r="AJ16" s="80">
        <f>((0 + 'BRAWLERS OFICIAL'!AJ16)-'BRAWLERS OFICIAL'!AJ16)/($BQ16/5)</f>
        <v>0</v>
      </c>
      <c r="AK16" s="80">
        <f>((0 + 'BRAWLERS OFICIAL'!AK16)-'BRAWLERS OFICIAL'!AK16)/($BQ16/5)</f>
        <v>0</v>
      </c>
      <c r="AL16" s="80">
        <f>(((BK16/5+1)*AK16 + 'BRAWLERS OFICIAL'!AL16)-'BRAWLERS OFICIAL'!AL16)/($BQ16/5)</f>
        <v>0</v>
      </c>
      <c r="AM16" s="80">
        <f>IF( 0 = (1-1), (1-1), ((0 + 'BRAWLERS OFICIAL'!AM16)/1.5)-'BRAWLERS OFICIAL'!AM16 )</f>
        <v>0</v>
      </c>
      <c r="AN16" s="80">
        <f t="shared" si="0"/>
        <v>0</v>
      </c>
      <c r="AO16" s="80">
        <f>((0 + 'BRAWLERS OFICIAL'!AO16)-'BRAWLERS OFICIAL'!AO16)/($BQ16/5)</f>
        <v>0</v>
      </c>
      <c r="AP16" s="80">
        <f>((0/1000 + 'BRAWLERS OFICIAL'!AP16)-'BRAWLERS OFICIAL'!AP16)</f>
        <v>0</v>
      </c>
      <c r="AQ16" s="80">
        <f>((0 + 'BRAWLERS OFICIAL'!AQ16)-'BRAWLERS OFICIAL'!AQ16)</f>
        <v>0</v>
      </c>
      <c r="AR16" s="80">
        <f>IF( 0 = (1-1), (1-1), ((0 + 'BRAWLERS OFICIAL'!AR16)/1.5) )</f>
        <v>0</v>
      </c>
      <c r="AS16" s="80">
        <f>IF( 0 = (1-1), (1-1), ((0 + 'BRAWLERS OFICIAL'!AS16)/1.5) )</f>
        <v>0</v>
      </c>
      <c r="AT16" s="80">
        <f>IF( 0 = (1-1), (1-1), ((0 + 'BRAWLERS OFICIAL'!AT16)/2) )</f>
        <v>0</v>
      </c>
      <c r="AU16" s="80">
        <f>((0 + 'BRAWLERS OFICIAL'!AU16)-'BRAWLERS OFICIAL'!AU16)/($BQ16/5)</f>
        <v>0</v>
      </c>
      <c r="AV16" s="80">
        <f>(((0)/4 + 'BRAWLERS OFICIAL'!AV16)-'BRAWLERS OFICIAL'!AV16)</f>
        <v>0</v>
      </c>
      <c r="AW16" s="80">
        <v>0</v>
      </c>
      <c r="AX16" s="80" t="s">
        <v>390</v>
      </c>
      <c r="AY16" s="79">
        <f>((( 0 )/3 + 'BRAWLERS OFICIAL'!AY16)-'BRAWLERS OFICIAL'!AY16)</f>
        <v>0</v>
      </c>
      <c r="AZ16" s="79">
        <f>((( 0 )/2 + 'BRAWLERS OFICIAL'!AZ16)-'BRAWLERS OFICIAL'!AZ16)/($BQ16/5)</f>
        <v>0</v>
      </c>
      <c r="BA16" s="79">
        <f>((( 0 )/2 + 'BRAWLERS OFICIAL'!BA16)-'BRAWLERS OFICIAL'!BA16)</f>
        <v>0</v>
      </c>
      <c r="BB16" s="79">
        <f>((( 0 )/3 + 'BRAWLERS OFICIAL'!BB16)-'BRAWLERS OFICIAL'!BB16)</f>
        <v>0</v>
      </c>
      <c r="BC16" s="79">
        <f>((( 0 )/2 + 'BRAWLERS OFICIAL'!BC16)-'BRAWLERS OFICIAL'!BC16)/($BQ16/5)</f>
        <v>0</v>
      </c>
      <c r="BD16" s="79">
        <f>((( 0 )/3 + 'BRAWLERS OFICIAL'!BD16)-'BRAWLERS OFICIAL'!BD16)</f>
        <v>0</v>
      </c>
      <c r="BE16" s="79">
        <f>((( 0 )/3 + 'BRAWLERS OFICIAL'!BE16)-'BRAWLERS OFICIAL'!BE16)</f>
        <v>0</v>
      </c>
      <c r="BF16" s="79">
        <f>((0 + 'BRAWLERS OFICIAL'!BF16)-'BRAWLERS OFICIAL'!BF16)/($BQ16/5)</f>
        <v>0</v>
      </c>
      <c r="BG16" s="79">
        <f>((0 + 'BRAWLERS OFICIAL'!BG16)-'BRAWLERS OFICIAL'!BG16)/($BQ16/5)</f>
        <v>0</v>
      </c>
      <c r="BH16" s="79">
        <f>((( 0 )/2 + 'BRAWLERS OFICIAL'!BH16)-'BRAWLERS OFICIAL'!BH16)</f>
        <v>0</v>
      </c>
      <c r="BI16" s="79">
        <f>((0 + 'BRAWLERS OFICIAL'!BI16)-'BRAWLERS OFICIAL'!BI16)/($BQ16/5)</f>
        <v>0</v>
      </c>
      <c r="BJ16" s="79">
        <f>((( 0 )/2 + 'BRAWLERS OFICIAL'!BJ16)-'BRAWLERS OFICIAL'!BJ16)</f>
        <v>0</v>
      </c>
      <c r="BK16" s="79">
        <f>((( 0 )/3 + 'BRAWLERS OFICIAL'!BK16)-'BRAWLERS OFICIAL'!BK16)</f>
        <v>0</v>
      </c>
      <c r="BL16" s="79">
        <f>((( 0 )/2 + 'BRAWLERS OFICIAL'!BL16)-'BRAWLERS OFICIAL'!BL16)</f>
        <v>0</v>
      </c>
      <c r="BM16" s="79">
        <f>((0 + 'BRAWLERS OFICIAL'!BM16)-'BRAWLERS OFICIAL'!BM16)/($BQ16/5)</f>
        <v>0</v>
      </c>
      <c r="BN16" s="79">
        <f>((0 + 'BRAWLERS OFICIAL'!BN16)-'BRAWLERS OFICIAL'!BN16)/($BQ16/5)</f>
        <v>0</v>
      </c>
      <c r="BO16" s="79">
        <f>((0 + 'BRAWLERS OFICIAL'!BO16)-'BRAWLERS OFICIAL'!BO16)/($BQ16/5)</f>
        <v>0</v>
      </c>
      <c r="BQ16" s="79">
        <v>15</v>
      </c>
    </row>
    <row r="17" spans="2:69">
      <c r="B17" s="77" t="s">
        <v>214</v>
      </c>
      <c r="C17" s="81" t="s">
        <v>101</v>
      </c>
      <c r="D17" s="132" t="s">
        <v>383</v>
      </c>
      <c r="E17" s="132" t="s">
        <v>332</v>
      </c>
      <c r="F17" s="79">
        <f>((0 + 'BRAWLERS OFICIAL'!F17)-'BRAWLERS OFICIAL'!F17)/($BQ17/5)</f>
        <v>0</v>
      </c>
      <c r="G17" s="79">
        <f>((0 + 'BRAWLERS OFICIAL'!G17)-'BRAWLERS OFICIAL'!G17)/($BQ17/5)</f>
        <v>0</v>
      </c>
      <c r="H17" s="79">
        <f>((0 + 'BRAWLERS OFICIAL'!H17)-'BRAWLERS OFICIAL'!H17)/($BQ17/5)</f>
        <v>0</v>
      </c>
      <c r="I17" s="79">
        <f>((0 + 'BRAWLERS OFICIAL'!I17)-'BRAWLERS OFICIAL'!I17)/($BQ17/5)</f>
        <v>0</v>
      </c>
      <c r="J17" s="79">
        <f>((2*'BRAWLERS OFICIAL'!J17)-'BRAWLERS OFICIAL'!J17)/($BQ17/5)</f>
        <v>0.5</v>
      </c>
      <c r="K17" s="79">
        <f>((2*'BRAWLERS OFICIAL'!K17)-'BRAWLERS OFICIAL'!K17)/($BQ17/5)</f>
        <v>0.19999999999999998</v>
      </c>
      <c r="L17" s="79">
        <f>((2*'BRAWLERS OFICIAL'!L17)-'BRAWLERS OFICIAL'!L17)/($BQ17/5)</f>
        <v>0.39999999999999997</v>
      </c>
      <c r="M17" s="79">
        <f>((2*'BRAWLERS OFICIAL'!M17)-'BRAWLERS OFICIAL'!M17)/($BQ17/5)</f>
        <v>0.6</v>
      </c>
      <c r="N17" s="79">
        <f>((2*'BRAWLERS OFICIAL'!N17)-'BRAWLERS OFICIAL'!N17)/($BQ17/5)</f>
        <v>0.19999999999999998</v>
      </c>
      <c r="O17" s="79">
        <f>((0 + 'BRAWLERS OFICIAL'!O17)-'BRAWLERS OFICIAL'!O17)/($BQ17/5)</f>
        <v>0</v>
      </c>
      <c r="P17" s="79">
        <f>((0 + 'BRAWLERS OFICIAL'!P17)-'BRAWLERS OFICIAL'!P17)/($BQ17/5)</f>
        <v>0</v>
      </c>
      <c r="Q17" s="79">
        <f>((0 + 'BRAWLERS OFICIAL'!Q17)-'BRAWLERS OFICIAL'!Q17)/($BQ17/5)</f>
        <v>0</v>
      </c>
      <c r="R17" s="79">
        <f>((0 + 'BRAWLERS OFICIAL'!R17)-'BRAWLERS OFICIAL'!R17)/($BQ17/5)</f>
        <v>0</v>
      </c>
      <c r="S17" s="79">
        <f>((0 + 'BRAWLERS OFICIAL'!S17)-'BRAWLERS OFICIAL'!S17)/($BQ17/5)</f>
        <v>0</v>
      </c>
      <c r="T17" s="79">
        <f>((0 + 'BRAWLERS OFICIAL'!T17)-'BRAWLERS OFICIAL'!T17)/($BQ17/5)</f>
        <v>0</v>
      </c>
      <c r="U17" s="79">
        <f>((0 + 'BRAWLERS OFICIAL'!U17)-'BRAWLERS OFICIAL'!U17)/($BQ17/5)</f>
        <v>0</v>
      </c>
      <c r="V17" s="79">
        <f>((0 + 'BRAWLERS OFICIAL'!V17)-'BRAWLERS OFICIAL'!V17)/($BQ17/5)</f>
        <v>0</v>
      </c>
      <c r="W17" s="79">
        <f>(0 + 'BRAWLERS OFICIAL'!W17)-'BRAWLERS OFICIAL'!W17</f>
        <v>0</v>
      </c>
      <c r="X17" s="121">
        <f>(( 0 + 'BRAWLERS OFICIAL'!X17 + AP17 + AY17/3.5 )-'BRAWLERS OFICIAL'!X17)/($BQ17/5)</f>
        <v>0</v>
      </c>
      <c r="Y17" s="80">
        <f>((0 + 'BRAWLERS OFICIAL'!Y17)-'BRAWLERS OFICIAL'!Y17)/($BQ17/5)</f>
        <v>0</v>
      </c>
      <c r="Z17" s="80">
        <f>(((0)/3 + 'BRAWLERS OFICIAL'!Z17)-'BRAWLERS OFICIAL'!Z17)</f>
        <v>0</v>
      </c>
      <c r="AA17" s="80">
        <f>((0 + 'BRAWLERS OFICIAL'!AA17)-'BRAWLERS OFICIAL'!AA17)/($BQ17/5)</f>
        <v>0</v>
      </c>
      <c r="AB17" s="80">
        <f>((0 + 'BRAWLERS OFICIAL'!AB17)-'BRAWLERS OFICIAL'!AB17)/($BQ17/5)</f>
        <v>0</v>
      </c>
      <c r="AC17" s="80">
        <f>(((0)/4 + 'BRAWLERS OFICIAL'!AC17)-'BRAWLERS OFICIAL'!AC17)/($BQ17/5)</f>
        <v>0</v>
      </c>
      <c r="AD17" s="80">
        <f>((0 + 'BRAWLERS OFICIAL'!AD17)-'BRAWLERS OFICIAL'!AD17)/($BQ17/5)</f>
        <v>0</v>
      </c>
      <c r="AE17" s="80">
        <f>((0 + 'BRAWLERS OFICIAL'!AE17)-'BRAWLERS OFICIAL'!AE17)/($BQ17/5)</f>
        <v>0</v>
      </c>
      <c r="AF17" s="80">
        <f>((0 + 'BRAWLERS OFICIAL'!AF17)-'BRAWLERS OFICIAL'!AF17)/($BQ17/5)</f>
        <v>0</v>
      </c>
      <c r="AG17" s="80">
        <f>((0 + 'BRAWLERS OFICIAL'!AG17)-'BRAWLERS OFICIAL'!AG17)</f>
        <v>0</v>
      </c>
      <c r="AH17" s="80">
        <f>((0 + 'BRAWLERS OFICIAL'!AH17)-'BRAWLERS OFICIAL'!AH17)</f>
        <v>0</v>
      </c>
      <c r="AI17" s="80">
        <f>((0 + 'BRAWLERS OFICIAL'!AI17)-'BRAWLERS OFICIAL'!AI17)</f>
        <v>0</v>
      </c>
      <c r="AJ17" s="80">
        <f>((0 + 'BRAWLERS OFICIAL'!AJ17)-'BRAWLERS OFICIAL'!AJ17)/($BQ17/5)</f>
        <v>0</v>
      </c>
      <c r="AK17" s="80">
        <f>((0 + 'BRAWLERS OFICIAL'!AK17)-'BRAWLERS OFICIAL'!AK17)/($BQ17/5)</f>
        <v>0</v>
      </c>
      <c r="AL17" s="80">
        <f>(((BK17/5+1)*AK17 + 'BRAWLERS OFICIAL'!AL17)-'BRAWLERS OFICIAL'!AL17)/($BQ17/5)</f>
        <v>0</v>
      </c>
      <c r="AM17" s="80">
        <f>IF( 0 = (1-1), (1-1), ((0 + 'BRAWLERS OFICIAL'!AM17)/1.5)-'BRAWLERS OFICIAL'!AM17 )</f>
        <v>0</v>
      </c>
      <c r="AN17" s="80">
        <f t="shared" si="0"/>
        <v>0</v>
      </c>
      <c r="AO17" s="80">
        <f>((0 + 'BRAWLERS OFICIAL'!AO17)-'BRAWLERS OFICIAL'!AO17)/($BQ17/5)</f>
        <v>0</v>
      </c>
      <c r="AP17" s="80">
        <f>((0/1000 + 'BRAWLERS OFICIAL'!AP17)-'BRAWLERS OFICIAL'!AP17)</f>
        <v>0</v>
      </c>
      <c r="AQ17" s="80">
        <f>((0 + 'BRAWLERS OFICIAL'!AQ17)-'BRAWLERS OFICIAL'!AQ17)</f>
        <v>0</v>
      </c>
      <c r="AR17" s="80">
        <f>IF( 0 = (1-1), (1-1), ((0 + 'BRAWLERS OFICIAL'!AR17)/1.5) )</f>
        <v>0</v>
      </c>
      <c r="AS17" s="80">
        <f>IF( 0 = (1-1), (1-1), ((0 + 'BRAWLERS OFICIAL'!AS17)/1.5) )</f>
        <v>0</v>
      </c>
      <c r="AT17" s="80">
        <f>IF( 0 = (1-1), (1-1), ((0 + 'BRAWLERS OFICIAL'!AT17)/2) )</f>
        <v>0</v>
      </c>
      <c r="AU17" s="80">
        <f>((0 + 'BRAWLERS OFICIAL'!AU17)-'BRAWLERS OFICIAL'!AU17)/($BQ17/5)</f>
        <v>0</v>
      </c>
      <c r="AV17" s="80">
        <f>(((0)/4 + 'BRAWLERS OFICIAL'!AV17)-'BRAWLERS OFICIAL'!AV17)</f>
        <v>0</v>
      </c>
      <c r="AW17" s="80">
        <v>0</v>
      </c>
      <c r="AX17" s="80" t="s">
        <v>390</v>
      </c>
      <c r="AY17" s="79">
        <f>((( 0 )/3 + 'BRAWLERS OFICIAL'!AY17)-'BRAWLERS OFICIAL'!AY17)</f>
        <v>0</v>
      </c>
      <c r="AZ17" s="79">
        <f>((( 0 )/2 + 'BRAWLERS OFICIAL'!AZ17)-'BRAWLERS OFICIAL'!AZ17)/($BQ17/5)</f>
        <v>0</v>
      </c>
      <c r="BA17" s="79">
        <f>((( 0 )/2 + 'BRAWLERS OFICIAL'!BA17)-'BRAWLERS OFICIAL'!BA17)</f>
        <v>0</v>
      </c>
      <c r="BB17" s="79">
        <f>((( 0 )/3 + 'BRAWLERS OFICIAL'!BB17)-'BRAWLERS OFICIAL'!BB17)</f>
        <v>0</v>
      </c>
      <c r="BC17" s="79">
        <f>((( 0 )/2 + 'BRAWLERS OFICIAL'!BC17)-'BRAWLERS OFICIAL'!BC17)/($BQ17/5)</f>
        <v>0</v>
      </c>
      <c r="BD17" s="79">
        <f>((( 0 )/3 + 'BRAWLERS OFICIAL'!BD17)-'BRAWLERS OFICIAL'!BD17)</f>
        <v>0</v>
      </c>
      <c r="BE17" s="79">
        <f>((( 0 )/3 + 'BRAWLERS OFICIAL'!BE17)-'BRAWLERS OFICIAL'!BE17)</f>
        <v>0</v>
      </c>
      <c r="BF17" s="79">
        <f>((0 + 'BRAWLERS OFICIAL'!BF17)-'BRAWLERS OFICIAL'!BF17)/($BQ17/5)</f>
        <v>0</v>
      </c>
      <c r="BG17" s="79">
        <f>((0 + 'BRAWLERS OFICIAL'!BG17)-'BRAWLERS OFICIAL'!BG17)/($BQ17/5)</f>
        <v>0</v>
      </c>
      <c r="BH17" s="79">
        <f>((( 0 )/2 + 'BRAWLERS OFICIAL'!BH17)-'BRAWLERS OFICIAL'!BH17)</f>
        <v>0</v>
      </c>
      <c r="BI17" s="79">
        <f>((0 + 'BRAWLERS OFICIAL'!BI17)-'BRAWLERS OFICIAL'!BI17)/($BQ17/5)</f>
        <v>0</v>
      </c>
      <c r="BJ17" s="79">
        <f>((( 0 )/2 + 'BRAWLERS OFICIAL'!BJ17)-'BRAWLERS OFICIAL'!BJ17)</f>
        <v>0</v>
      </c>
      <c r="BK17" s="79">
        <f>((( 0 )/3 + 'BRAWLERS OFICIAL'!BK17)-'BRAWLERS OFICIAL'!BK17)</f>
        <v>0</v>
      </c>
      <c r="BL17" s="79">
        <f>((( 0 )/2 + 'BRAWLERS OFICIAL'!BL17)-'BRAWLERS OFICIAL'!BL17)</f>
        <v>0</v>
      </c>
      <c r="BM17" s="79">
        <f>((0 + 'BRAWLERS OFICIAL'!BM17)-'BRAWLERS OFICIAL'!BM17)/($BQ17/5)</f>
        <v>0</v>
      </c>
      <c r="BN17" s="79">
        <f>((0 + 'BRAWLERS OFICIAL'!BN17)-'BRAWLERS OFICIAL'!BN17)/($BQ17/5)</f>
        <v>0</v>
      </c>
      <c r="BO17" s="79">
        <f>((0 + 'BRAWLERS OFICIAL'!BO17)-'BRAWLERS OFICIAL'!BO17)/($BQ17/5)</f>
        <v>0</v>
      </c>
      <c r="BQ17" s="79">
        <v>15</v>
      </c>
    </row>
    <row r="18" spans="2:69">
      <c r="B18" s="77" t="s">
        <v>416</v>
      </c>
      <c r="C18" s="67" t="s">
        <v>57</v>
      </c>
      <c r="D18" s="131" t="s">
        <v>383</v>
      </c>
      <c r="E18" s="131" t="s">
        <v>332</v>
      </c>
      <c r="F18" s="79">
        <f>((0 + 'BRAWLERS OFICIAL'!F18)-'BRAWLERS OFICIAL'!F18)/($BQ18/5)</f>
        <v>0</v>
      </c>
      <c r="G18" s="79">
        <f>((0 + 'BRAWLERS OFICIAL'!G18)-'BRAWLERS OFICIAL'!G18)/($BQ18/5)</f>
        <v>0</v>
      </c>
      <c r="H18" s="79">
        <f>((0 + 'BRAWLERS OFICIAL'!H18)-'BRAWLERS OFICIAL'!H18)/($BQ18/5)</f>
        <v>0</v>
      </c>
      <c r="I18" s="79">
        <f>((0 + 'BRAWLERS OFICIAL'!I18)-'BRAWLERS OFICIAL'!I18)/($BQ18/5)</f>
        <v>0</v>
      </c>
      <c r="J18" s="79">
        <f>((0.1 + 'BRAWLERS OFICIAL'!J18)-'BRAWLERS OFICIAL'!J18)/($BQ18/5)</f>
        <v>3.5714285714285747E-2</v>
      </c>
      <c r="K18" s="79">
        <f>((0.1 + 'BRAWLERS OFICIAL'!K18)-'BRAWLERS OFICIAL'!K18)/($BQ18/5)</f>
        <v>3.5714285714285747E-2</v>
      </c>
      <c r="L18" s="79">
        <f>((0.1 + 'BRAWLERS OFICIAL'!L18)-'BRAWLERS OFICIAL'!L18)/($BQ18/5)</f>
        <v>3.5714285714285705E-2</v>
      </c>
      <c r="M18" s="79">
        <f>((0.1 + 'BRAWLERS OFICIAL'!M18)-'BRAWLERS OFICIAL'!M18)/($BQ18/5)</f>
        <v>3.5714285714285705E-2</v>
      </c>
      <c r="N18" s="79">
        <f>((0.1 + 'BRAWLERS OFICIAL'!N18)-'BRAWLERS OFICIAL'!N18)/($BQ18/5)</f>
        <v>3.5714285714285726E-2</v>
      </c>
      <c r="O18" s="79">
        <f>((0 + 'BRAWLERS OFICIAL'!O18)-'BRAWLERS OFICIAL'!O18)/($BQ18/5)</f>
        <v>0</v>
      </c>
      <c r="P18" s="79">
        <f>((0 + 'BRAWLERS OFICIAL'!P18)-'BRAWLERS OFICIAL'!P18)/($BQ18/5)</f>
        <v>0</v>
      </c>
      <c r="Q18" s="79">
        <f>((0 + 'BRAWLERS OFICIAL'!Q18)-'BRAWLERS OFICIAL'!Q18)/($BQ18/5)</f>
        <v>0</v>
      </c>
      <c r="R18" s="79">
        <f>((0 + 'BRAWLERS OFICIAL'!R18)-'BRAWLERS OFICIAL'!R18)/($BQ18/5)</f>
        <v>0</v>
      </c>
      <c r="S18" s="79">
        <f>((0 + 'BRAWLERS OFICIAL'!S18)-'BRAWLERS OFICIAL'!S18)/($BQ18/5)</f>
        <v>0</v>
      </c>
      <c r="T18" s="79">
        <f>((0 + 'BRAWLERS OFICIAL'!T18)-'BRAWLERS OFICIAL'!T18)/($BQ18/5)</f>
        <v>0</v>
      </c>
      <c r="U18" s="79">
        <f>((0 + 'BRAWLERS OFICIAL'!U18)-'BRAWLERS OFICIAL'!U18)/($BQ18/5)</f>
        <v>0</v>
      </c>
      <c r="V18" s="79">
        <f>((0 + 'BRAWLERS OFICIAL'!V18)-'BRAWLERS OFICIAL'!V18)/($BQ18/5)</f>
        <v>0</v>
      </c>
      <c r="W18" s="79">
        <v>0</v>
      </c>
      <c r="X18" s="121">
        <f>(( 0 + 'BRAWLERS OFICIAL'!X18 + AP18 + AY18/3.5 )-'BRAWLERS OFICIAL'!X18)/($BQ18/5)</f>
        <v>0</v>
      </c>
      <c r="Y18" s="80">
        <f>((0.2 + 'BRAWLERS OFICIAL'!Y18)-'BRAWLERS OFICIAL'!Y18)/($BQ18/5)</f>
        <v>7.1428571428571494E-2</v>
      </c>
      <c r="Z18" s="80">
        <f>(((0)/3 + 'BRAWLERS OFICIAL'!Z18)-'BRAWLERS OFICIAL'!Z18)</f>
        <v>0</v>
      </c>
      <c r="AA18" s="80">
        <f>((0 + 'BRAWLERS OFICIAL'!AA18)-'BRAWLERS OFICIAL'!AA18)/($BQ18/5)</f>
        <v>0</v>
      </c>
      <c r="AB18" s="80">
        <f>((0 + 'BRAWLERS OFICIAL'!AB18)-'BRAWLERS OFICIAL'!AB18)/($BQ18/5)</f>
        <v>0</v>
      </c>
      <c r="AC18" s="80">
        <f>(((0)/4 + 'BRAWLERS OFICIAL'!AC18)-'BRAWLERS OFICIAL'!AC18)/($BQ18/5)</f>
        <v>0</v>
      </c>
      <c r="AD18" s="80">
        <f>((0 + 'BRAWLERS OFICIAL'!AD18)-'BRAWLERS OFICIAL'!AD18)/($BQ18/5)</f>
        <v>0</v>
      </c>
      <c r="AE18" s="80">
        <f>((0 + 'BRAWLERS OFICIAL'!AE18)-'BRAWLERS OFICIAL'!AE18)/($BQ18/5)</f>
        <v>0</v>
      </c>
      <c r="AF18" s="80">
        <f>((0 + 'BRAWLERS OFICIAL'!AF18)-'BRAWLERS OFICIAL'!AF18)/($BQ18/5)</f>
        <v>0</v>
      </c>
      <c r="AG18" s="80">
        <f>((0 + 'BRAWLERS OFICIAL'!AG18)-'BRAWLERS OFICIAL'!AG18)</f>
        <v>0</v>
      </c>
      <c r="AH18" s="80">
        <f>((0 + 'BRAWLERS OFICIAL'!AH18)-'BRAWLERS OFICIAL'!AH18)</f>
        <v>0</v>
      </c>
      <c r="AI18" s="80">
        <f>((0 + 'BRAWLERS OFICIAL'!AI18)-'BRAWLERS OFICIAL'!AI18)</f>
        <v>0</v>
      </c>
      <c r="AJ18" s="80">
        <f>((0 + 'BRAWLERS OFICIAL'!AJ18)-'BRAWLERS OFICIAL'!AJ18)/($BQ18/5)</f>
        <v>0</v>
      </c>
      <c r="AK18" s="80">
        <f>((0 + 'BRAWLERS OFICIAL'!AK18)-'BRAWLERS OFICIAL'!AK18)/($BQ18/5)</f>
        <v>0</v>
      </c>
      <c r="AL18" s="80">
        <f>(((BK18/5+1)*AK18 + 'BRAWLERS OFICIAL'!AL18)-'BRAWLERS OFICIAL'!AL18)/($BQ18/5)</f>
        <v>0</v>
      </c>
      <c r="AM18" s="80">
        <f>IF( 0 = (1-1), (1-1), ((0 + 'BRAWLERS OFICIAL'!AM18)/1.5)-'BRAWLERS OFICIAL'!AM18 )</f>
        <v>0</v>
      </c>
      <c r="AN18" s="80">
        <f t="shared" si="0"/>
        <v>0</v>
      </c>
      <c r="AO18" s="80">
        <f>((0 + 'BRAWLERS OFICIAL'!AO18)-'BRAWLERS OFICIAL'!AO18)/($BQ18/5)</f>
        <v>0</v>
      </c>
      <c r="AP18" s="80">
        <f>((0/1000 + 'BRAWLERS OFICIAL'!AP18)-'BRAWLERS OFICIAL'!AP18)</f>
        <v>0</v>
      </c>
      <c r="AQ18" s="80">
        <f>((0 + 'BRAWLERS OFICIAL'!AQ18)-'BRAWLERS OFICIAL'!AQ18)</f>
        <v>0</v>
      </c>
      <c r="AR18" s="80">
        <f>IF( 0 = (1-1), (1-1), ((0 + 'BRAWLERS OFICIAL'!AR18)/1.5) )</f>
        <v>0</v>
      </c>
      <c r="AS18" s="80">
        <f>IF( 0 = (1-1), (1-1), ((0 + 'BRAWLERS OFICIAL'!AS18)/1.5) )</f>
        <v>0</v>
      </c>
      <c r="AT18" s="80">
        <f>IF( 0 = (1-1), (1-1), ((0 + 'BRAWLERS OFICIAL'!AT18)/2) )</f>
        <v>0</v>
      </c>
      <c r="AU18" s="80">
        <f>((0 + 'BRAWLERS OFICIAL'!AU18)-'BRAWLERS OFICIAL'!AU18)/($BQ18/5)</f>
        <v>0</v>
      </c>
      <c r="AV18" s="80">
        <f>(((0)/4 + 'BRAWLERS OFICIAL'!AV18)-'BRAWLERS OFICIAL'!AV18)</f>
        <v>0</v>
      </c>
      <c r="AW18" s="80">
        <v>0</v>
      </c>
      <c r="AX18" s="80" t="s">
        <v>390</v>
      </c>
      <c r="AY18" s="79">
        <f>((( 0 )/3 + 'BRAWLERS OFICIAL'!AY18)-'BRAWLERS OFICIAL'!AY18)</f>
        <v>0</v>
      </c>
      <c r="AZ18" s="79">
        <f>((( 0 )/2 + 'BRAWLERS OFICIAL'!AZ18)-'BRAWLERS OFICIAL'!AZ18)/($BQ18/5)</f>
        <v>0</v>
      </c>
      <c r="BA18" s="79">
        <f>((( 0 )/2 + 'BRAWLERS OFICIAL'!BA18)-'BRAWLERS OFICIAL'!BA18)</f>
        <v>0</v>
      </c>
      <c r="BB18" s="79">
        <f>((( 0 )/3 + 'BRAWLERS OFICIAL'!BB18)-'BRAWLERS OFICIAL'!BB18)</f>
        <v>0</v>
      </c>
      <c r="BC18" s="79">
        <f>((( 0 )/2 + 'BRAWLERS OFICIAL'!BC18)-'BRAWLERS OFICIAL'!BC18)/($BQ18/5)</f>
        <v>0</v>
      </c>
      <c r="BD18" s="79">
        <f>((( 0 )/3 + 'BRAWLERS OFICIAL'!BD18)-'BRAWLERS OFICIAL'!BD18)</f>
        <v>0</v>
      </c>
      <c r="BE18" s="79">
        <f>((( 0 )/3 + 'BRAWLERS OFICIAL'!BE18)-'BRAWLERS OFICIAL'!BE18)</f>
        <v>0</v>
      </c>
      <c r="BF18" s="79">
        <f>((0 + 'BRAWLERS OFICIAL'!BF18)-'BRAWLERS OFICIAL'!BF18)/($BQ18/5)</f>
        <v>0</v>
      </c>
      <c r="BG18" s="79">
        <f>((0 + 'BRAWLERS OFICIAL'!BG18)-'BRAWLERS OFICIAL'!BG18)/($BQ18/5)</f>
        <v>0</v>
      </c>
      <c r="BH18" s="79">
        <f>((( 0 )/2 + 'BRAWLERS OFICIAL'!BH18)-'BRAWLERS OFICIAL'!BH18)</f>
        <v>0</v>
      </c>
      <c r="BI18" s="79">
        <f>((0 + 'BRAWLERS OFICIAL'!BI18)-'BRAWLERS OFICIAL'!BI18)/($BQ18/5)</f>
        <v>0</v>
      </c>
      <c r="BJ18" s="79">
        <f>((( 0 )/2 + 'BRAWLERS OFICIAL'!BJ18)-'BRAWLERS OFICIAL'!BJ18)</f>
        <v>0</v>
      </c>
      <c r="BK18" s="79">
        <f>((( 7.5 + 5 + 10 )/3)-'BRAWLERS OFICIAL'!BK18)</f>
        <v>0.83333333333333304</v>
      </c>
      <c r="BL18" s="79">
        <f>((( 0 )/2 + 'BRAWLERS OFICIAL'!BL18)-'BRAWLERS OFICIAL'!BL18)</f>
        <v>0</v>
      </c>
      <c r="BM18" s="79">
        <f>((0 + 'BRAWLERS OFICIAL'!BM18)-'BRAWLERS OFICIAL'!BM18)/($BQ18/5)</f>
        <v>0</v>
      </c>
      <c r="BN18" s="79">
        <f>((0 + 'BRAWLERS OFICIAL'!BN18)-'BRAWLERS OFICIAL'!BN18)/($BQ18/5)</f>
        <v>0</v>
      </c>
      <c r="BO18" s="79">
        <f>((0 + 'BRAWLERS OFICIAL'!BO18)-'BRAWLERS OFICIAL'!BO18)/($BQ18/5)</f>
        <v>0</v>
      </c>
      <c r="BQ18" s="79">
        <v>14</v>
      </c>
    </row>
    <row r="19" spans="2:69">
      <c r="B19" s="77" t="s">
        <v>417</v>
      </c>
      <c r="C19" s="67" t="s">
        <v>40</v>
      </c>
      <c r="D19" s="131" t="s">
        <v>383</v>
      </c>
      <c r="E19" s="131" t="s">
        <v>360</v>
      </c>
      <c r="F19" s="79">
        <f>((0 + 'BRAWLERS OFICIAL'!F19)-'BRAWLERS OFICIAL'!F19)/($BQ19/5)</f>
        <v>0</v>
      </c>
      <c r="G19" s="79">
        <f>((0 + 'BRAWLERS OFICIAL'!G19)-'BRAWLERS OFICIAL'!G19)/($BQ19/5)</f>
        <v>0</v>
      </c>
      <c r="H19" s="79">
        <f>((0 + 'BRAWLERS OFICIAL'!H19)-'BRAWLERS OFICIAL'!H19)/($BQ19/5)</f>
        <v>0</v>
      </c>
      <c r="I19" s="79">
        <f>((0 + 'BRAWLERS OFICIAL'!I19)-'BRAWLERS OFICIAL'!I19)/($BQ19/5)</f>
        <v>0</v>
      </c>
      <c r="J19" s="79">
        <f>((0.4 + 'BRAWLERS OFICIAL'!J19)-'BRAWLERS OFICIAL'!J19)/($BQ19/5)</f>
        <v>0.11764705882352938</v>
      </c>
      <c r="K19" s="79">
        <f>((0.4 + 'BRAWLERS OFICIAL'!K19)-'BRAWLERS OFICIAL'!K19)/($BQ19/5)</f>
        <v>0.11764705882352938</v>
      </c>
      <c r="L19" s="79">
        <f>((0 + 'BRAWLERS OFICIAL'!L19)-'BRAWLERS OFICIAL'!L19)/($BQ19/5)</f>
        <v>0</v>
      </c>
      <c r="M19" s="79">
        <f>((0 + 'BRAWLERS OFICIAL'!M19)-'BRAWLERS OFICIAL'!M19)/($BQ19/5)</f>
        <v>0</v>
      </c>
      <c r="N19" s="79">
        <f>((0 + 'BRAWLERS OFICIAL'!N19)-'BRAWLERS OFICIAL'!N19)/($BQ19/5)</f>
        <v>0</v>
      </c>
      <c r="O19" s="79">
        <f>((0 + 'BRAWLERS OFICIAL'!O19)-'BRAWLERS OFICIAL'!O19)/($BQ19/5)</f>
        <v>0</v>
      </c>
      <c r="P19" s="79">
        <f>((0 + 'BRAWLERS OFICIAL'!P19)-'BRAWLERS OFICIAL'!P19)/($BQ19/5)</f>
        <v>0</v>
      </c>
      <c r="Q19" s="79">
        <f>((0 + 'BRAWLERS OFICIAL'!Q19)-'BRAWLERS OFICIAL'!Q19)/($BQ19/5)</f>
        <v>0</v>
      </c>
      <c r="R19" s="79">
        <f>((0 + 'BRAWLERS OFICIAL'!R19)-'BRAWLERS OFICIAL'!R19)/($BQ19/5)</f>
        <v>0</v>
      </c>
      <c r="S19" s="79">
        <f>((0 + 'BRAWLERS OFICIAL'!S19)-'BRAWLERS OFICIAL'!S19)/($BQ19/5)</f>
        <v>0</v>
      </c>
      <c r="T19" s="79">
        <f>((0 + 'BRAWLERS OFICIAL'!T19)-'BRAWLERS OFICIAL'!T19)/($BQ19/5)</f>
        <v>0</v>
      </c>
      <c r="U19" s="79">
        <f>((0 + 'BRAWLERS OFICIAL'!U19)-'BRAWLERS OFICIAL'!U19)/($BQ19/5)</f>
        <v>0</v>
      </c>
      <c r="V19" s="79">
        <f>((0 + 'BRAWLERS OFICIAL'!V19)-'BRAWLERS OFICIAL'!V19)/($BQ19/5)</f>
        <v>0</v>
      </c>
      <c r="W19" s="79">
        <f>(0 + 'BRAWLERS OFICIAL'!W19)-'BRAWLERS OFICIAL'!W19</f>
        <v>0</v>
      </c>
      <c r="X19" s="121">
        <f>(( 0 + 'BRAWLERS OFICIAL'!X19 + AP19 + AY19/3.5 )-'BRAWLERS OFICIAL'!X19)/($BQ19/5)</f>
        <v>0</v>
      </c>
      <c r="Y19" s="80">
        <f>((0 + 'BRAWLERS OFICIAL'!Y19)-'BRAWLERS OFICIAL'!Y19)/($BQ19/5)</f>
        <v>0</v>
      </c>
      <c r="Z19" s="80">
        <f>(((6.5 + 2 + 6)/3 + 'BRAWLERS OFICIAL'!Z19)-'BRAWLERS OFICIAL'!Z19)</f>
        <v>4.833333333333333</v>
      </c>
      <c r="AA19" s="80">
        <f>((0 + 'BRAWLERS OFICIAL'!AA19)-'BRAWLERS OFICIAL'!AA19)/($BQ19/5)</f>
        <v>0</v>
      </c>
      <c r="AB19" s="80">
        <f>((0 + 'BRAWLERS OFICIAL'!AB19)-'BRAWLERS OFICIAL'!AB19)/($BQ19/5)</f>
        <v>0</v>
      </c>
      <c r="AC19" s="80">
        <f>(((0)/4 + 'BRAWLERS OFICIAL'!AC19)-'BRAWLERS OFICIAL'!AC19)/($BQ19/5)</f>
        <v>0</v>
      </c>
      <c r="AD19" s="80">
        <f>((0 + 'BRAWLERS OFICIAL'!AD19)-'BRAWLERS OFICIAL'!AD19)/($BQ19/5)</f>
        <v>0</v>
      </c>
      <c r="AE19" s="80">
        <f>((0 + 'BRAWLERS OFICIAL'!AE19)-'BRAWLERS OFICIAL'!AE19)/($BQ19/5)</f>
        <v>0</v>
      </c>
      <c r="AF19" s="80">
        <f>((0 + 'BRAWLERS OFICIAL'!AF19)-'BRAWLERS OFICIAL'!AF19)/($BQ19/5)</f>
        <v>0</v>
      </c>
      <c r="AG19" s="80">
        <f>((0 + 'BRAWLERS OFICIAL'!AG19)-'BRAWLERS OFICIAL'!AG19)</f>
        <v>0</v>
      </c>
      <c r="AH19" s="80">
        <f>((0 + 'BRAWLERS OFICIAL'!AH19)-'BRAWLERS OFICIAL'!AH19)</f>
        <v>0</v>
      </c>
      <c r="AI19" s="80">
        <f>((0 + 'BRAWLERS OFICIAL'!AI19)-'BRAWLERS OFICIAL'!AI19)</f>
        <v>0</v>
      </c>
      <c r="AJ19" s="80">
        <f>((0 + 'BRAWLERS OFICIAL'!AJ19)-'BRAWLERS OFICIAL'!AJ19)/($BQ19/5)</f>
        <v>0</v>
      </c>
      <c r="AK19" s="80">
        <f>((1 + 'BRAWLERS OFICIAL'!AK19)-'BRAWLERS OFICIAL'!AK19)/($BQ19/5)</f>
        <v>0.29411764705882354</v>
      </c>
      <c r="AL19" s="80">
        <f>(((BK19/5+1)*AK19 + 'BRAWLERS OFICIAL'!AL19)-'BRAWLERS OFICIAL'!AL19)/($BQ19/5)</f>
        <v>8.6505190311418692E-2</v>
      </c>
      <c r="AM19" s="80">
        <f>IF( 5 = (1-1), (1-1), ((5 + 'BRAWLERS OFICIAL'!AM19)/1.5)-'BRAWLERS OFICIAL'!AM19 )</f>
        <v>0.66666666666666607</v>
      </c>
      <c r="AN19" s="80">
        <f>IF( 1 = (1-1), (1-1)*'BRAWLERS OFICIAL'!AN19, ( 1 ) )</f>
        <v>1</v>
      </c>
      <c r="AO19" s="80">
        <f>((1 + 'BRAWLERS OFICIAL'!AO19)-'BRAWLERS OFICIAL'!AO19)/($BQ19/5)</f>
        <v>0.29411764705882354</v>
      </c>
      <c r="AP19" s="80">
        <f>((0/1000 + 'BRAWLERS OFICIAL'!AP19)-'BRAWLERS OFICIAL'!AP19)</f>
        <v>0</v>
      </c>
      <c r="AQ19" s="80">
        <f>((0 + 'BRAWLERS OFICIAL'!AQ19)-'BRAWLERS OFICIAL'!AQ19)</f>
        <v>0</v>
      </c>
      <c r="AR19" s="80">
        <f>IF( 0 = (1-1), (1-1), ((0 + 'BRAWLERS OFICIAL'!AR19)/1.5) )</f>
        <v>0</v>
      </c>
      <c r="AS19" s="80">
        <f>IF( 0 = (1-1), (1-1), ((0 + 'BRAWLERS OFICIAL'!AS19)/1.5) )</f>
        <v>0</v>
      </c>
      <c r="AT19" s="80">
        <f>IF( 0 = (1-1), (1-1), ((0 + 'BRAWLERS OFICIAL'!AT19)/2) )</f>
        <v>0</v>
      </c>
      <c r="AU19" s="80">
        <f>((0 + 'BRAWLERS OFICIAL'!AU19)-'BRAWLERS OFICIAL'!AU19)/($BQ19/5)</f>
        <v>0</v>
      </c>
      <c r="AV19" s="80">
        <f>(((3 + 5 + 5 + 8)/4)-'BRAWLERS OFICIAL'!AV19)</f>
        <v>0.25</v>
      </c>
      <c r="AW19" s="80">
        <v>0</v>
      </c>
      <c r="AX19" s="80" t="s">
        <v>390</v>
      </c>
      <c r="AY19" s="79">
        <f>((( 0 )/3 + 'BRAWLERS OFICIAL'!AY19)-'BRAWLERS OFICIAL'!AY19)</f>
        <v>0</v>
      </c>
      <c r="AZ19" s="79">
        <f>((( 0 )/2 + 'BRAWLERS OFICIAL'!AZ19)-'BRAWLERS OFICIAL'!AZ19)/($BQ19/5)</f>
        <v>0</v>
      </c>
      <c r="BA19" s="79">
        <f>((( 0 )/2 + 'BRAWLERS OFICIAL'!BA19)-'BRAWLERS OFICIAL'!BA19)</f>
        <v>0</v>
      </c>
      <c r="BB19" s="79">
        <f>((( 0 )/3 + 'BRAWLERS OFICIAL'!BB19)-'BRAWLERS OFICIAL'!BB19)</f>
        <v>0</v>
      </c>
      <c r="BC19" s="79">
        <f>((( 0 )/2 + 'BRAWLERS OFICIAL'!BC19)-'BRAWLERS OFICIAL'!BC19)/($BQ19/5)</f>
        <v>0</v>
      </c>
      <c r="BD19" s="79">
        <f>((( 0 )/3 + 'BRAWLERS OFICIAL'!BD19)-'BRAWLERS OFICIAL'!BD19)</f>
        <v>0</v>
      </c>
      <c r="BE19" s="79">
        <f>((( 0 )/3 + 'BRAWLERS OFICIAL'!BE19)-'BRAWLERS OFICIAL'!BE19)</f>
        <v>0</v>
      </c>
      <c r="BF19" s="79">
        <f>((0 + 'BRAWLERS OFICIAL'!BF19)-'BRAWLERS OFICIAL'!BF19)/($BQ19/5)</f>
        <v>0</v>
      </c>
      <c r="BG19" s="79">
        <f>((0 + 'BRAWLERS OFICIAL'!BG19)-'BRAWLERS OFICIAL'!BG19)/($BQ19/5)</f>
        <v>0</v>
      </c>
      <c r="BH19" s="79">
        <f>((( 0 )/2 + 'BRAWLERS OFICIAL'!BH19)-'BRAWLERS OFICIAL'!BH19)</f>
        <v>0</v>
      </c>
      <c r="BI19" s="79">
        <f>((0 + 'BRAWLERS OFICIAL'!BI19)-'BRAWLERS OFICIAL'!BI19)/($BQ19/5)</f>
        <v>0</v>
      </c>
      <c r="BJ19" s="79">
        <f>((( 0 )/2 + 'BRAWLERS OFICIAL'!BJ19)-'BRAWLERS OFICIAL'!BJ19)</f>
        <v>0</v>
      </c>
      <c r="BK19" s="79">
        <f>((( 0 )/3 + 'BRAWLERS OFICIAL'!BK19)-'BRAWLERS OFICIAL'!BK19)</f>
        <v>0</v>
      </c>
      <c r="BL19" s="79">
        <f>((( 0 )/2 + 'BRAWLERS OFICIAL'!BL19)-'BRAWLERS OFICIAL'!BL19)</f>
        <v>0</v>
      </c>
      <c r="BM19" s="79">
        <f>((0 + 'BRAWLERS OFICIAL'!BM19)-'BRAWLERS OFICIAL'!BM19)/($BQ19/5)</f>
        <v>0</v>
      </c>
      <c r="BN19" s="79">
        <f>((0 + 'BRAWLERS OFICIAL'!BN19)-'BRAWLERS OFICIAL'!BN19)/($BQ19/5)</f>
        <v>0</v>
      </c>
      <c r="BO19" s="79">
        <f>((0 + 'BRAWLERS OFICIAL'!BO19)-'BRAWLERS OFICIAL'!BO19)/($BQ19/5)</f>
        <v>0</v>
      </c>
      <c r="BQ19" s="79">
        <v>17</v>
      </c>
    </row>
    <row r="20" spans="2:69">
      <c r="B20" s="78" t="s">
        <v>418</v>
      </c>
      <c r="C20" s="82" t="s">
        <v>69</v>
      </c>
      <c r="D20" s="133" t="s">
        <v>360</v>
      </c>
      <c r="E20" s="133" t="s">
        <v>309</v>
      </c>
      <c r="F20" s="79">
        <f>((0 + 'BRAWLERS OFICIAL'!F20)-'BRAWLERS OFICIAL'!F20)/($BQ20/5)</f>
        <v>0</v>
      </c>
      <c r="G20" s="79">
        <f>((0 + 'BRAWLERS OFICIAL'!G20)-'BRAWLERS OFICIAL'!G20)/($BQ20/5)</f>
        <v>0</v>
      </c>
      <c r="H20" s="79">
        <f>((0 + 'BRAWLERS OFICIAL'!H20)-'BRAWLERS OFICIAL'!H20)/($BQ20/5)</f>
        <v>0</v>
      </c>
      <c r="I20" s="79">
        <f>((0 + 'BRAWLERS OFICIAL'!I20)-'BRAWLERS OFICIAL'!I20)/($BQ20/5)</f>
        <v>0</v>
      </c>
      <c r="J20" s="79">
        <f>((0 + 'BRAWLERS OFICIAL'!J20)-'BRAWLERS OFICIAL'!J20)/($BQ20/5)</f>
        <v>0</v>
      </c>
      <c r="K20" s="79">
        <f>((0 + 'BRAWLERS OFICIAL'!K20)-'BRAWLERS OFICIAL'!K20)/($BQ20/5)</f>
        <v>0</v>
      </c>
      <c r="L20" s="79">
        <f>((0 + 'BRAWLERS OFICIAL'!L20)-'BRAWLERS OFICIAL'!L20)/($BQ20/5)</f>
        <v>0</v>
      </c>
      <c r="M20" s="79">
        <f>((0 + 'BRAWLERS OFICIAL'!M20)-'BRAWLERS OFICIAL'!M20)/($BQ20/5)</f>
        <v>0</v>
      </c>
      <c r="N20" s="79">
        <f>((0 + 'BRAWLERS OFICIAL'!N20)-'BRAWLERS OFICIAL'!N20)/($BQ20/5)</f>
        <v>0</v>
      </c>
      <c r="O20" s="79">
        <f>((0 + 'BRAWLERS OFICIAL'!O20)-'BRAWLERS OFICIAL'!O20)/($BQ20/5)</f>
        <v>0</v>
      </c>
      <c r="P20" s="79">
        <f>((0 + 'BRAWLERS OFICIAL'!P20)-'BRAWLERS OFICIAL'!P20)/($BQ20/5)</f>
        <v>0</v>
      </c>
      <c r="Q20" s="79">
        <f>((0 + 'BRAWLERS OFICIAL'!Q20)-'BRAWLERS OFICIAL'!Q20)/($BQ20/5)</f>
        <v>0</v>
      </c>
      <c r="R20" s="79">
        <f>((0 + 'BRAWLERS OFICIAL'!R20)-'BRAWLERS OFICIAL'!R20)/($BQ20/5)</f>
        <v>0</v>
      </c>
      <c r="S20" s="79">
        <f>((0 + 'BRAWLERS OFICIAL'!S20)-'BRAWLERS OFICIAL'!S20)/($BQ20/5)</f>
        <v>0</v>
      </c>
      <c r="T20" s="79">
        <f>((0 + 'BRAWLERS OFICIAL'!T20)-'BRAWLERS OFICIAL'!T20)/($BQ20/5)</f>
        <v>0</v>
      </c>
      <c r="U20" s="79">
        <f>((0 + 'BRAWLERS OFICIAL'!U20)-'BRAWLERS OFICIAL'!U20)/($BQ20/5)</f>
        <v>0</v>
      </c>
      <c r="V20" s="79">
        <f>((0 + 'BRAWLERS OFICIAL'!V20)-'BRAWLERS OFICIAL'!V20)/($BQ20/5)</f>
        <v>0</v>
      </c>
      <c r="W20" s="79">
        <f>(0 + 'BRAWLERS OFICIAL'!W20)-'BRAWLERS OFICIAL'!W20</f>
        <v>0</v>
      </c>
      <c r="X20" s="121">
        <f>(( 3000/1400 + 'BRAWLERS OFICIAL'!X20 + AP20 + AY20/3.5 )-'BRAWLERS OFICIAL'!X20)/($BQ20/5)</f>
        <v>0.71428571428571408</v>
      </c>
      <c r="Y20" s="80">
        <f>((0 + 'BRAWLERS OFICIAL'!Y20)-'BRAWLERS OFICIAL'!Y20)/($BQ20/5)</f>
        <v>0</v>
      </c>
      <c r="Z20" s="80">
        <f>(((8.5 + 4 + 7)/3)-'BRAWLERS OFICIAL'!Z20)</f>
        <v>0.83333333333333304</v>
      </c>
      <c r="AA20" s="80">
        <f>((0 + 'BRAWLERS OFICIAL'!AA20)-'BRAWLERS OFICIAL'!AA20)/($BQ20/5)</f>
        <v>0</v>
      </c>
      <c r="AB20" s="80">
        <f>((0 + 'BRAWLERS OFICIAL'!AB20)-'BRAWLERS OFICIAL'!AB20)/($BQ20/5)</f>
        <v>0</v>
      </c>
      <c r="AC20" s="80">
        <f>(((0)/4 + 'BRAWLERS OFICIAL'!AC20)-'BRAWLERS OFICIAL'!AC20)/($BQ20/5)</f>
        <v>0</v>
      </c>
      <c r="AD20" s="80">
        <f>((0 + 'BRAWLERS OFICIAL'!AD20)-'BRAWLERS OFICIAL'!AD20)/($BQ20/5)</f>
        <v>0</v>
      </c>
      <c r="AE20" s="80">
        <f>((0 + 'BRAWLERS OFICIAL'!AE20)-'BRAWLERS OFICIAL'!AE20)/($BQ20/5)</f>
        <v>0</v>
      </c>
      <c r="AF20" s="80">
        <f>((0 + 'BRAWLERS OFICIAL'!AF20)-'BRAWLERS OFICIAL'!AF20)/($BQ20/5)</f>
        <v>0</v>
      </c>
      <c r="AG20" s="80">
        <f>((0 + 'BRAWLERS OFICIAL'!AG20)-'BRAWLERS OFICIAL'!AG20)</f>
        <v>0</v>
      </c>
      <c r="AH20" s="80">
        <f>((0 + 'BRAWLERS OFICIAL'!AH20)-'BRAWLERS OFICIAL'!AH20)</f>
        <v>0</v>
      </c>
      <c r="AI20" s="80">
        <f>((0 + 'BRAWLERS OFICIAL'!AI20)-'BRAWLERS OFICIAL'!AI20)</f>
        <v>0</v>
      </c>
      <c r="AJ20" s="80">
        <f>((0 + 'BRAWLERS OFICIAL'!AJ20)-'BRAWLERS OFICIAL'!AJ20)/($BQ20/5)</f>
        <v>0</v>
      </c>
      <c r="AK20" s="80">
        <f>((3 + 'BRAWLERS OFICIAL'!AK20)-'BRAWLERS OFICIAL'!AK20)/($BQ20/5)</f>
        <v>1</v>
      </c>
      <c r="AL20" s="80">
        <f>(((BK20/5+1)*AK20 + 'BRAWLERS OFICIAL'!AL20)-'BRAWLERS OFICIAL'!AL20)/($BQ20/5)</f>
        <v>0.33333333333333331</v>
      </c>
      <c r="AM20" s="80">
        <f>IF( 0 = (1-1), (1-1), ((0 + 'BRAWLERS OFICIAL'!AM20)/1.5)-'BRAWLERS OFICIAL'!AM20 )</f>
        <v>0</v>
      </c>
      <c r="AN20" s="80">
        <f t="shared" si="0"/>
        <v>0</v>
      </c>
      <c r="AO20" s="80">
        <f>((0 + 'BRAWLERS OFICIAL'!AO20)-'BRAWLERS OFICIAL'!AO20)/($BQ20/5)</f>
        <v>0</v>
      </c>
      <c r="AP20" s="80">
        <f>((0/1000 + 'BRAWLERS OFICIAL'!AP20)-'BRAWLERS OFICIAL'!AP20)</f>
        <v>0</v>
      </c>
      <c r="AQ20" s="80">
        <f>((0 + 'BRAWLERS OFICIAL'!AQ20)-'BRAWLERS OFICIAL'!AQ20)</f>
        <v>0</v>
      </c>
      <c r="AR20" s="80">
        <f>IF( 0 = (1-1), (1-1), ((0 + 'BRAWLERS OFICIAL'!AR20)/1.5) )</f>
        <v>0</v>
      </c>
      <c r="AS20" s="80">
        <f>IF( 0 = (1-1), (1-1), ((0 + 'BRAWLERS OFICIAL'!AS20)/1.5) )</f>
        <v>0</v>
      </c>
      <c r="AT20" s="80">
        <f>IF( 0 = (1-1), (1-1), ((0 + 'BRAWLERS OFICIAL'!AT20)/2) )</f>
        <v>0</v>
      </c>
      <c r="AU20" s="80">
        <f>((0 + 'BRAWLERS OFICIAL'!AU20)-'BRAWLERS OFICIAL'!AU20)/($BQ20/5)</f>
        <v>0</v>
      </c>
      <c r="AV20" s="80">
        <f>(((0)/4 + 'BRAWLERS OFICIAL'!AV20)-'BRAWLERS OFICIAL'!AV20)</f>
        <v>0</v>
      </c>
      <c r="AW20" s="80">
        <v>0</v>
      </c>
      <c r="AX20" s="80" t="s">
        <v>390</v>
      </c>
      <c r="AY20" s="79">
        <f>((( 0 )/3 + 'BRAWLERS OFICIAL'!AY20)-'BRAWLERS OFICIAL'!AY20)</f>
        <v>0</v>
      </c>
      <c r="AZ20" s="79">
        <f>((( 0 )/2 + 'BRAWLERS OFICIAL'!AZ20)-'BRAWLERS OFICIAL'!AZ20)/($BQ20/5)</f>
        <v>0</v>
      </c>
      <c r="BA20" s="79">
        <f>((( 0 )/2 + 'BRAWLERS OFICIAL'!BA20)-'BRAWLERS OFICIAL'!BA20)</f>
        <v>0</v>
      </c>
      <c r="BB20" s="79">
        <f>((( 0 )/3 + 'BRAWLERS OFICIAL'!BB20)-'BRAWLERS OFICIAL'!BB20)</f>
        <v>0</v>
      </c>
      <c r="BC20" s="79">
        <f>((( 0 )/2 + 'BRAWLERS OFICIAL'!BC20)-'BRAWLERS OFICIAL'!BC20)/($BQ20/5)</f>
        <v>0</v>
      </c>
      <c r="BD20" s="79">
        <f>((( 0 )/3 + 'BRAWLERS OFICIAL'!BD20)-'BRAWLERS OFICIAL'!BD20)</f>
        <v>0</v>
      </c>
      <c r="BE20" s="79">
        <f>((( 0 )/3 + 'BRAWLERS OFICIAL'!BE20)-'BRAWLERS OFICIAL'!BE20)</f>
        <v>0</v>
      </c>
      <c r="BF20" s="79">
        <f>((0 + 'BRAWLERS OFICIAL'!BF20)-'BRAWLERS OFICIAL'!BF20)/($BQ20/5)</f>
        <v>0</v>
      </c>
      <c r="BG20" s="79">
        <f>((0 + 'BRAWLERS OFICIAL'!BG20)-'BRAWLERS OFICIAL'!BG20)/($BQ20/5)</f>
        <v>0</v>
      </c>
      <c r="BH20" s="79">
        <f>((( 0 )/2 + 'BRAWLERS OFICIAL'!BH20)-'BRAWLERS OFICIAL'!BH20)</f>
        <v>0</v>
      </c>
      <c r="BI20" s="79">
        <f>((0 + 'BRAWLERS OFICIAL'!BI20)-'BRAWLERS OFICIAL'!BI20)/($BQ20/5)</f>
        <v>0</v>
      </c>
      <c r="BJ20" s="79">
        <f>((( 0 )/2 + 'BRAWLERS OFICIAL'!BJ20)-'BRAWLERS OFICIAL'!BJ20)</f>
        <v>0</v>
      </c>
      <c r="BK20" s="79">
        <f>((( 0 )/3 + 'BRAWLERS OFICIAL'!BK20)-'BRAWLERS OFICIAL'!BK20)</f>
        <v>0</v>
      </c>
      <c r="BL20" s="79">
        <f>((( 0 )/2 + 'BRAWLERS OFICIAL'!BL20)-'BRAWLERS OFICIAL'!BL20)</f>
        <v>0</v>
      </c>
      <c r="BM20" s="79">
        <f>((0 + 'BRAWLERS OFICIAL'!BM20)-'BRAWLERS OFICIAL'!BM20)/($BQ20/5)</f>
        <v>0</v>
      </c>
      <c r="BN20" s="79">
        <f>((0 + 'BRAWLERS OFICIAL'!BN20)-'BRAWLERS OFICIAL'!BN20)/($BQ20/5)</f>
        <v>0</v>
      </c>
      <c r="BO20" s="79">
        <f>((0 + 'BRAWLERS OFICIAL'!BO20)-'BRAWLERS OFICIAL'!BO20)/($BQ20/5)</f>
        <v>0</v>
      </c>
      <c r="BQ20" s="79">
        <v>15</v>
      </c>
    </row>
    <row r="21" spans="2:69">
      <c r="C21" t="s">
        <v>393</v>
      </c>
    </row>
    <row r="22" spans="2:69">
      <c r="B22" t="s">
        <v>419</v>
      </c>
      <c r="C22" t="s">
        <v>420</v>
      </c>
    </row>
  </sheetData>
  <conditionalFormatting sqref="F5:I5 O5:W5 Y3:AF20 F3:W4 F6:W20 AJ3:BO20">
    <cfRule type="cellIs" dxfId="47" priority="23" operator="greaterThan">
      <formula>0</formula>
    </cfRule>
  </conditionalFormatting>
  <conditionalFormatting sqref="BQ3:BQ20">
    <cfRule type="cellIs" dxfId="46" priority="21" operator="greaterThan">
      <formula>0</formula>
    </cfRule>
  </conditionalFormatting>
  <conditionalFormatting sqref="J5:N5">
    <cfRule type="cellIs" dxfId="45" priority="20" operator="greaterThan">
      <formula>0</formula>
    </cfRule>
  </conditionalFormatting>
  <conditionalFormatting sqref="X3">
    <cfRule type="cellIs" dxfId="44" priority="19" operator="greaterThan">
      <formula>0</formula>
    </cfRule>
  </conditionalFormatting>
  <conditionalFormatting sqref="X4">
    <cfRule type="cellIs" dxfId="43" priority="18" operator="greaterThan">
      <formula>0</formula>
    </cfRule>
  </conditionalFormatting>
  <conditionalFormatting sqref="X5">
    <cfRule type="cellIs" dxfId="42" priority="17" operator="greaterThan">
      <formula>0</formula>
    </cfRule>
  </conditionalFormatting>
  <conditionalFormatting sqref="X6">
    <cfRule type="cellIs" dxfId="41" priority="16" operator="greaterThan">
      <formula>0</formula>
    </cfRule>
  </conditionalFormatting>
  <conditionalFormatting sqref="X7">
    <cfRule type="cellIs" dxfId="40" priority="15" operator="greaterThan">
      <formula>0</formula>
    </cfRule>
  </conditionalFormatting>
  <conditionalFormatting sqref="X8">
    <cfRule type="cellIs" dxfId="39" priority="14" operator="greaterThan">
      <formula>0</formula>
    </cfRule>
  </conditionalFormatting>
  <conditionalFormatting sqref="X9">
    <cfRule type="cellIs" dxfId="38" priority="13" operator="greaterThan">
      <formula>0</formula>
    </cfRule>
  </conditionalFormatting>
  <conditionalFormatting sqref="X10">
    <cfRule type="cellIs" dxfId="37" priority="12" operator="greaterThan">
      <formula>0</formula>
    </cfRule>
  </conditionalFormatting>
  <conditionalFormatting sqref="X11">
    <cfRule type="cellIs" dxfId="36" priority="11" operator="greaterThan">
      <formula>0</formula>
    </cfRule>
  </conditionalFormatting>
  <conditionalFormatting sqref="X12">
    <cfRule type="cellIs" dxfId="35" priority="10" operator="greaterThan">
      <formula>0</formula>
    </cfRule>
  </conditionalFormatting>
  <conditionalFormatting sqref="X13">
    <cfRule type="cellIs" dxfId="34" priority="9" operator="greaterThan">
      <formula>0</formula>
    </cfRule>
  </conditionalFormatting>
  <conditionalFormatting sqref="X14">
    <cfRule type="cellIs" dxfId="33" priority="8" operator="greaterThan">
      <formula>0</formula>
    </cfRule>
  </conditionalFormatting>
  <conditionalFormatting sqref="X15">
    <cfRule type="cellIs" dxfId="32" priority="7" operator="greaterThan">
      <formula>0</formula>
    </cfRule>
  </conditionalFormatting>
  <conditionalFormatting sqref="X16">
    <cfRule type="cellIs" dxfId="31" priority="6" operator="greaterThan">
      <formula>0</formula>
    </cfRule>
  </conditionalFormatting>
  <conditionalFormatting sqref="X17">
    <cfRule type="cellIs" dxfId="30" priority="5" operator="greaterThan">
      <formula>0</formula>
    </cfRule>
  </conditionalFormatting>
  <conditionalFormatting sqref="X18">
    <cfRule type="cellIs" dxfId="29" priority="4" operator="greaterThan">
      <formula>0</formula>
    </cfRule>
  </conditionalFormatting>
  <conditionalFormatting sqref="X19">
    <cfRule type="cellIs" dxfId="28" priority="3" operator="greaterThan">
      <formula>0</formula>
    </cfRule>
  </conditionalFormatting>
  <conditionalFormatting sqref="X20">
    <cfRule type="cellIs" dxfId="27" priority="2" operator="greaterThan">
      <formula>0</formula>
    </cfRule>
  </conditionalFormatting>
  <conditionalFormatting sqref="AG3:AI20">
    <cfRule type="cellIs" dxfId="26" priority="1" operator="greaterThan">
      <formula>0</formula>
    </cfRule>
  </conditionalFormatting>
  <dataValidations count="1">
    <dataValidation allowBlank="1" showInputMessage="1" showErrorMessage="1" sqref="B2:B20" xr:uid="{AAC06F12-F129-4870-A0F3-4F440123317C}"/>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DD7C56CF-9BFC-4D82-A617-27176C443B3A}">
          <x14:formula1>
            <xm:f>'BRAWLERS OFICIAL'!$F$2:$CP$2</xm:f>
          </x14:formula1>
          <xm:sqref>D3:E20</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73E58-C56A-4D33-AD2D-ABCCE2BFCE34}">
  <dimension ref="A1:BQ22"/>
  <sheetViews>
    <sheetView workbookViewId="0">
      <pane xSplit="3" topLeftCell="AS1" activePane="topRight" state="frozen"/>
      <selection pane="topRight" activeCell="AX19" sqref="AX19"/>
    </sheetView>
  </sheetViews>
  <sheetFormatPr defaultRowHeight="15"/>
  <cols>
    <col min="1" max="1" width="9.140625" style="84"/>
    <col min="2" max="2" width="22.7109375" bestFit="1" customWidth="1"/>
  </cols>
  <sheetData>
    <row r="1" spans="1:69" s="84" customFormat="1">
      <c r="A1" s="83"/>
      <c r="Z1" s="84" t="s">
        <v>397</v>
      </c>
      <c r="AG1" s="84" t="s">
        <v>397</v>
      </c>
      <c r="AH1" s="84" t="s">
        <v>397</v>
      </c>
      <c r="AI1" s="84" t="s">
        <v>397</v>
      </c>
      <c r="AM1" s="84" t="s">
        <v>397</v>
      </c>
      <c r="AN1" s="84" t="s">
        <v>397</v>
      </c>
      <c r="AP1" s="84" t="s">
        <v>397</v>
      </c>
      <c r="AQ1" s="84" t="s">
        <v>397</v>
      </c>
      <c r="AR1" s="84" t="s">
        <v>397</v>
      </c>
      <c r="AS1" s="84" t="s">
        <v>397</v>
      </c>
      <c r="AT1" s="84" t="s">
        <v>397</v>
      </c>
      <c r="AV1" s="84" t="s">
        <v>397</v>
      </c>
    </row>
    <row r="2" spans="1:69">
      <c r="B2" s="2" t="s">
        <v>398</v>
      </c>
      <c r="C2" s="2" t="s">
        <v>302</v>
      </c>
      <c r="D2" s="116" t="s">
        <v>303</v>
      </c>
      <c r="E2" s="116" t="s">
        <v>304</v>
      </c>
      <c r="F2" s="116" t="s">
        <v>305</v>
      </c>
      <c r="G2" s="116" t="s">
        <v>306</v>
      </c>
      <c r="H2" s="116" t="s">
        <v>307</v>
      </c>
      <c r="I2" s="116" t="s">
        <v>308</v>
      </c>
      <c r="J2" s="116" t="s">
        <v>309</v>
      </c>
      <c r="K2" s="116" t="s">
        <v>310</v>
      </c>
      <c r="L2" s="116" t="s">
        <v>311</v>
      </c>
      <c r="M2" s="116" t="s">
        <v>312</v>
      </c>
      <c r="N2" s="116" t="s">
        <v>313</v>
      </c>
      <c r="O2" s="116" t="s">
        <v>314</v>
      </c>
      <c r="P2" s="116" t="s">
        <v>315</v>
      </c>
      <c r="Q2" s="116" t="s">
        <v>316</v>
      </c>
      <c r="R2" s="116" t="s">
        <v>317</v>
      </c>
      <c r="S2" s="116" t="s">
        <v>318</v>
      </c>
      <c r="T2" s="116" t="s">
        <v>319</v>
      </c>
      <c r="U2" s="116" t="s">
        <v>320</v>
      </c>
      <c r="V2" s="116" t="s">
        <v>321</v>
      </c>
      <c r="W2" s="116" t="s">
        <v>322</v>
      </c>
      <c r="X2" s="2" t="s">
        <v>323</v>
      </c>
      <c r="Y2" s="2" t="s">
        <v>324</v>
      </c>
      <c r="Z2" s="2" t="s">
        <v>325</v>
      </c>
      <c r="AA2" s="2" t="s">
        <v>326</v>
      </c>
      <c r="AB2" s="2" t="s">
        <v>327</v>
      </c>
      <c r="AC2" s="2" t="s">
        <v>328</v>
      </c>
      <c r="AD2" s="2" t="s">
        <v>329</v>
      </c>
      <c r="AE2" s="2" t="s">
        <v>330</v>
      </c>
      <c r="AF2" s="2" t="s">
        <v>331</v>
      </c>
      <c r="AG2" s="2" t="s">
        <v>332</v>
      </c>
      <c r="AH2" s="2" t="s">
        <v>333</v>
      </c>
      <c r="AI2" s="116" t="s">
        <v>334</v>
      </c>
      <c r="AJ2" s="116" t="s">
        <v>335</v>
      </c>
      <c r="AK2" s="116" t="s">
        <v>336</v>
      </c>
      <c r="AL2" s="2" t="s">
        <v>337</v>
      </c>
      <c r="AM2" s="116" t="s">
        <v>338</v>
      </c>
      <c r="AN2" s="116" t="s">
        <v>339</v>
      </c>
      <c r="AO2" s="116" t="s">
        <v>340</v>
      </c>
      <c r="AP2" s="116" t="s">
        <v>341</v>
      </c>
      <c r="AQ2" s="116" t="s">
        <v>342</v>
      </c>
      <c r="AR2" s="116" t="s">
        <v>343</v>
      </c>
      <c r="AS2" s="116" t="s">
        <v>344</v>
      </c>
      <c r="AT2" s="116" t="s">
        <v>345</v>
      </c>
      <c r="AU2" s="116" t="s">
        <v>346</v>
      </c>
      <c r="AV2" s="116" t="s">
        <v>347</v>
      </c>
      <c r="AW2" s="116" t="s">
        <v>348</v>
      </c>
      <c r="AX2" s="116" t="s">
        <v>349</v>
      </c>
      <c r="AY2" s="2" t="s">
        <v>350</v>
      </c>
      <c r="AZ2" s="2" t="s">
        <v>351</v>
      </c>
      <c r="BA2" s="116" t="s">
        <v>352</v>
      </c>
      <c r="BB2" s="2" t="s">
        <v>353</v>
      </c>
      <c r="BC2" s="2" t="s">
        <v>354</v>
      </c>
      <c r="BD2" s="2" t="s">
        <v>355</v>
      </c>
      <c r="BE2" s="2" t="s">
        <v>356</v>
      </c>
      <c r="BF2" s="2" t="s">
        <v>357</v>
      </c>
      <c r="BG2" s="117" t="s">
        <v>358</v>
      </c>
      <c r="BH2" s="2" t="s">
        <v>359</v>
      </c>
      <c r="BI2" s="2" t="s">
        <v>360</v>
      </c>
      <c r="BJ2" s="116" t="s">
        <v>361</v>
      </c>
      <c r="BK2" s="116" t="s">
        <v>362</v>
      </c>
      <c r="BL2" s="2" t="s">
        <v>363</v>
      </c>
      <c r="BM2" s="2" t="s">
        <v>364</v>
      </c>
      <c r="BN2" s="116" t="s">
        <v>365</v>
      </c>
      <c r="BO2" s="2" t="s">
        <v>366</v>
      </c>
      <c r="BQ2" s="2" t="s">
        <v>399</v>
      </c>
    </row>
    <row r="3" spans="1:69">
      <c r="B3" s="77" t="s">
        <v>421</v>
      </c>
      <c r="C3" s="67" t="s">
        <v>78</v>
      </c>
      <c r="D3" s="131" t="s">
        <v>309</v>
      </c>
      <c r="E3" s="131" t="s">
        <v>352</v>
      </c>
      <c r="F3" s="79">
        <f>((0 + 'BRAWLERS OFICIAL'!F3)-'BRAWLERS OFICIAL'!F3)/($BQ3/5)</f>
        <v>0</v>
      </c>
      <c r="G3" s="79">
        <f>((0 + 'BRAWLERS OFICIAL'!G3)-'BRAWLERS OFICIAL'!G3)/($BQ3/5)</f>
        <v>0</v>
      </c>
      <c r="H3" s="79">
        <f>((0 + 'BRAWLERS OFICIAL'!H3)-'BRAWLERS OFICIAL'!H3)/($BQ3/5)</f>
        <v>0</v>
      </c>
      <c r="I3" s="79">
        <f>((0 + 'BRAWLERS OFICIAL'!I3)-'BRAWLERS OFICIAL'!I3)/($BQ3/5)</f>
        <v>0</v>
      </c>
      <c r="J3" s="79">
        <f>((0 + 'BRAWLERS OFICIAL'!J3)-'BRAWLERS OFICIAL'!J3)/($BQ3/5)</f>
        <v>0</v>
      </c>
      <c r="K3" s="79">
        <f>((0 + 'BRAWLERS OFICIAL'!K3)-'BRAWLERS OFICIAL'!K3)/($BQ3/5)</f>
        <v>0</v>
      </c>
      <c r="L3" s="79">
        <f>((0 + 'BRAWLERS OFICIAL'!L3)-'BRAWLERS OFICIAL'!L3)/($BQ3/5)</f>
        <v>0</v>
      </c>
      <c r="M3" s="79">
        <f>((0 + 'BRAWLERS OFICIAL'!M3)-'BRAWLERS OFICIAL'!M3)/($BQ3/5)</f>
        <v>0</v>
      </c>
      <c r="N3" s="79">
        <f>((0 + 'BRAWLERS OFICIAL'!N3)-'BRAWLERS OFICIAL'!N3)/($BQ3/5)</f>
        <v>0</v>
      </c>
      <c r="O3" s="79">
        <f>((0 + 'BRAWLERS OFICIAL'!O3)-'BRAWLERS OFICIAL'!O3)/($BQ3/5)</f>
        <v>0</v>
      </c>
      <c r="P3" s="79">
        <f>((0 + 'BRAWLERS OFICIAL'!P3)-'BRAWLERS OFICIAL'!P3)/($BQ3/5)</f>
        <v>0</v>
      </c>
      <c r="Q3" s="79">
        <f>((0 + 'BRAWLERS OFICIAL'!Q3)-'BRAWLERS OFICIAL'!Q3)/($BQ3/5)</f>
        <v>0</v>
      </c>
      <c r="R3" s="79">
        <f>((0 + 'BRAWLERS OFICIAL'!R3)-'BRAWLERS OFICIAL'!R3)/($BQ3/5)</f>
        <v>0</v>
      </c>
      <c r="S3" s="79">
        <f>((0 + 'BRAWLERS OFICIAL'!S3)-'BRAWLERS OFICIAL'!S3)/($BQ3/5)</f>
        <v>0</v>
      </c>
      <c r="T3" s="79">
        <f>((0 + 'BRAWLERS OFICIAL'!T3)-'BRAWLERS OFICIAL'!T3)/($BQ3/5)</f>
        <v>0</v>
      </c>
      <c r="U3" s="79">
        <f>((0 + 'BRAWLERS OFICIAL'!U3)-'BRAWLERS OFICIAL'!U3)/($BQ3/5)</f>
        <v>0</v>
      </c>
      <c r="V3" s="79">
        <f>((0 + 'BRAWLERS OFICIAL'!V3)-'BRAWLERS OFICIAL'!V3)/($BQ3/5)</f>
        <v>0</v>
      </c>
      <c r="W3" s="79">
        <f>(AVERAGE(200, 3500))-'BRAWLERS OFICIAL'!W3</f>
        <v>1850</v>
      </c>
      <c r="X3" s="121">
        <f>(( W3/1400 + 'BRAWLERS OFICIAL'!X3 + AP3 + AY3/3.5 )-'BRAWLERS OFICIAL'!X3)/($BQ3/5)</f>
        <v>0.38865546218487401</v>
      </c>
      <c r="Y3" s="80">
        <f>((0 + 'BRAWLERS OFICIAL'!Y3)-'BRAWLERS OFICIAL'!Y3)/($BQ3/5)</f>
        <v>0</v>
      </c>
      <c r="Z3" s="80">
        <f>(((0)/3 + 'BRAWLERS OFICIAL'!Z3)-'BRAWLERS OFICIAL'!Z3)</f>
        <v>0</v>
      </c>
      <c r="AA3" s="80">
        <f>((0 + 'BRAWLERS OFICIAL'!AA3)-'BRAWLERS OFICIAL'!AA3)/($BQ3/5)</f>
        <v>0</v>
      </c>
      <c r="AB3" s="80">
        <f>((0 + 'BRAWLERS OFICIAL'!AB3)-'BRAWLERS OFICIAL'!AB3)/($BQ3/5)</f>
        <v>0</v>
      </c>
      <c r="AC3" s="80">
        <f>(((0)/4 + 'BRAWLERS OFICIAL'!AC3)-'BRAWLERS OFICIAL'!AC3)/($BQ3/5)</f>
        <v>0</v>
      </c>
      <c r="AD3" s="80">
        <f>((0 + 'BRAWLERS OFICIAL'!AD3)-'BRAWLERS OFICIAL'!AD3)/($BQ3/5)</f>
        <v>0</v>
      </c>
      <c r="AE3" s="80">
        <f>((0 + 'BRAWLERS OFICIAL'!AE3)-'BRAWLERS OFICIAL'!AE3)/($BQ3/5)</f>
        <v>0</v>
      </c>
      <c r="AF3" s="80">
        <f>((0 + 'BRAWLERS OFICIAL'!AF3)-'BRAWLERS OFICIAL'!AF3)/($BQ3/5)</f>
        <v>0</v>
      </c>
      <c r="AG3" s="80">
        <f>((0 + 'BRAWLERS OFICIAL'!AG3)-'BRAWLERS OFICIAL'!AG3)</f>
        <v>0</v>
      </c>
      <c r="AH3" s="80">
        <f>((0 + 'BRAWLERS OFICIAL'!AH3)-'BRAWLERS OFICIAL'!AH3)</f>
        <v>0</v>
      </c>
      <c r="AI3" s="80">
        <f>((0 + 'BRAWLERS OFICIAL'!AI3)-'BRAWLERS OFICIAL'!AI3)</f>
        <v>0</v>
      </c>
      <c r="AJ3" s="80">
        <f>((0 + 'BRAWLERS OFICIAL'!AJ3)-'BRAWLERS OFICIAL'!AJ3)/($BQ3/5)</f>
        <v>0</v>
      </c>
      <c r="AK3" s="80">
        <f>((0 + 'BRAWLERS OFICIAL'!AK3)-'BRAWLERS OFICIAL'!AK3)/($BQ3/5)</f>
        <v>0</v>
      </c>
      <c r="AL3" s="80">
        <f>(((BK3/5+1)*AK3 + 'BRAWLERS OFICIAL'!AL3)-'BRAWLERS OFICIAL'!AL3)/($BQ3/5)</f>
        <v>0</v>
      </c>
      <c r="AM3" s="80">
        <f>IF( 0 = (1-1), (1-1), ((0 + 'BRAWLERS OFICIAL'!AM3)/1.5)-'BRAWLERS OFICIAL'!AM3 )</f>
        <v>0</v>
      </c>
      <c r="AN3" s="80">
        <f>IF( 0 = (1-1), (1-1), ( 0 ) )</f>
        <v>0</v>
      </c>
      <c r="AO3" s="80">
        <f>((0 + 'BRAWLERS OFICIAL'!AO3)-'BRAWLERS OFICIAL'!AO3)/($BQ3/5)</f>
        <v>0</v>
      </c>
      <c r="AP3" s="80">
        <f>((0/1000 + 'BRAWLERS OFICIAL'!AP3)-'BRAWLERS OFICIAL'!AP3)</f>
        <v>0</v>
      </c>
      <c r="AQ3" s="80">
        <f>((0 + 'BRAWLERS OFICIAL'!AQ3)-'BRAWLERS OFICIAL'!AQ3)</f>
        <v>0</v>
      </c>
      <c r="AR3" s="80">
        <f>IF( 0 = (1-1), (1-1), ((0 + 'BRAWLERS OFICIAL'!AR3)/1.5) )</f>
        <v>0</v>
      </c>
      <c r="AS3" s="80">
        <f>IF( 0 = (1-1), (1-1), ((0 + 'BRAWLERS OFICIAL'!AS3)/1.5) )</f>
        <v>0</v>
      </c>
      <c r="AT3" s="80">
        <f>IF( 0 = (1-1), (1-1), ((0 + 'BRAWLERS OFICIAL'!AT3)/2) )</f>
        <v>0</v>
      </c>
      <c r="AU3" s="80">
        <f>((0 + 'BRAWLERS OFICIAL'!AU3)-'BRAWLERS OFICIAL'!AU3)/($BQ3/5)</f>
        <v>0</v>
      </c>
      <c r="AV3" s="80">
        <f>(((0)/4 + 'BRAWLERS OFICIAL'!AV3)-'BRAWLERS OFICIAL'!AV3)</f>
        <v>0</v>
      </c>
      <c r="AW3" s="80">
        <v>5</v>
      </c>
      <c r="AX3" s="80" t="s">
        <v>422</v>
      </c>
      <c r="AY3" s="79">
        <f>((( 0 )/3 + 'BRAWLERS OFICIAL'!AY3)-'BRAWLERS OFICIAL'!AY3)</f>
        <v>0</v>
      </c>
      <c r="AZ3" s="79">
        <f>((( 0 )/2 + 'BRAWLERS OFICIAL'!AZ3)-'BRAWLERS OFICIAL'!AZ3)/($BQ3/5)</f>
        <v>0</v>
      </c>
      <c r="BA3" s="79">
        <f>((( 0 )/2 + 'BRAWLERS OFICIAL'!BA3)-'BRAWLERS OFICIAL'!BA3)</f>
        <v>0</v>
      </c>
      <c r="BB3" s="79">
        <f>((( 0 )/3 + 'BRAWLERS OFICIAL'!BB3)-'BRAWLERS OFICIAL'!BB3)</f>
        <v>0</v>
      </c>
      <c r="BC3" s="79">
        <f>((( 0 )/2 + 'BRAWLERS OFICIAL'!BC3)-'BRAWLERS OFICIAL'!BC3)/($BQ3/5)</f>
        <v>0</v>
      </c>
      <c r="BD3" s="79">
        <f>((( 0 )/3 + 'BRAWLERS OFICIAL'!BD3)-'BRAWLERS OFICIAL'!BD3)</f>
        <v>0</v>
      </c>
      <c r="BE3" s="79">
        <f>((( 0 )/3 + 'BRAWLERS OFICIAL'!BE3)-'BRAWLERS OFICIAL'!BE3)</f>
        <v>0</v>
      </c>
      <c r="BF3" s="79">
        <f>((0 + 'BRAWLERS OFICIAL'!BF3)-'BRAWLERS OFICIAL'!BF3)/($BQ3/5)</f>
        <v>0</v>
      </c>
      <c r="BG3" s="79">
        <f>((0 + 'BRAWLERS OFICIAL'!BG3)-'BRAWLERS OFICIAL'!BG3)/($BQ3/5)</f>
        <v>0</v>
      </c>
      <c r="BH3" s="79">
        <f>((( 0 )/2 + 'BRAWLERS OFICIAL'!BH3)-'BRAWLERS OFICIAL'!BH3)</f>
        <v>0</v>
      </c>
      <c r="BI3" s="79">
        <f>((0 + 'BRAWLERS OFICIAL'!BI3)-'BRAWLERS OFICIAL'!BI3)/($BQ3/5)</f>
        <v>0</v>
      </c>
      <c r="BJ3" s="79">
        <f>((( 0 )/2 + 'BRAWLERS OFICIAL'!BJ3)-'BRAWLERS OFICIAL'!BJ3)</f>
        <v>0</v>
      </c>
      <c r="BK3" s="79">
        <f>((( 0 )/3 + 'BRAWLERS OFICIAL'!BK3)-'BRAWLERS OFICIAL'!BK3)</f>
        <v>0</v>
      </c>
      <c r="BL3" s="79">
        <f>((( 0 )/2 + 'BRAWLERS OFICIAL'!BL3)-'BRAWLERS OFICIAL'!BL3)</f>
        <v>0</v>
      </c>
      <c r="BM3" s="79">
        <f>((0 + 'BRAWLERS OFICIAL'!BM3)-'BRAWLERS OFICIAL'!BM3)/($BQ3/5)</f>
        <v>0</v>
      </c>
      <c r="BN3" s="79">
        <f>((0 + 'BRAWLERS OFICIAL'!BN3)-'BRAWLERS OFICIAL'!BN3)/($BQ3/5)</f>
        <v>0</v>
      </c>
      <c r="BO3" s="79">
        <f>((0 + 'BRAWLERS OFICIAL'!BO3)-'BRAWLERS OFICIAL'!BO3)/($BQ3/5)</f>
        <v>0</v>
      </c>
      <c r="BQ3" s="79">
        <v>17</v>
      </c>
    </row>
    <row r="4" spans="1:69">
      <c r="B4" s="77" t="s">
        <v>423</v>
      </c>
      <c r="C4" s="67" t="s">
        <v>10</v>
      </c>
      <c r="D4" s="131" t="s">
        <v>383</v>
      </c>
      <c r="E4" s="131" t="s">
        <v>384</v>
      </c>
      <c r="F4" s="79">
        <f>((0 + 'BRAWLERS OFICIAL'!F4)-'BRAWLERS OFICIAL'!F4)/($BQ4/5)</f>
        <v>0</v>
      </c>
      <c r="G4" s="79">
        <f>((0 + 'BRAWLERS OFICIAL'!G4)-'BRAWLERS OFICIAL'!G4)/($BQ4/5)</f>
        <v>0</v>
      </c>
      <c r="H4" s="79">
        <f>((0 + 'BRAWLERS OFICIAL'!H4)-'BRAWLERS OFICIAL'!H4)/($BQ4/5)</f>
        <v>0</v>
      </c>
      <c r="I4" s="79">
        <f>((0 + 'BRAWLERS OFICIAL'!I4)-'BRAWLERS OFICIAL'!I4)/($BQ4/5)</f>
        <v>0</v>
      </c>
      <c r="J4" s="79">
        <f>((0 + 'BRAWLERS OFICIAL'!J4)-'BRAWLERS OFICIAL'!J4)/($BQ4/5)</f>
        <v>0</v>
      </c>
      <c r="K4" s="79">
        <f>((0 + 'BRAWLERS OFICIAL'!K4)-'BRAWLERS OFICIAL'!K4)/($BQ4/5)</f>
        <v>0</v>
      </c>
      <c r="L4" s="79">
        <f>((0 + 'BRAWLERS OFICIAL'!L4)-'BRAWLERS OFICIAL'!L4)/($BQ4/5)</f>
        <v>0</v>
      </c>
      <c r="M4" s="79">
        <f>((0 + 'BRAWLERS OFICIAL'!M4)-'BRAWLERS OFICIAL'!M4)/($BQ4/5)</f>
        <v>0</v>
      </c>
      <c r="N4" s="79">
        <f>((0 + 'BRAWLERS OFICIAL'!N4)-'BRAWLERS OFICIAL'!N4)/($BQ4/5)</f>
        <v>0</v>
      </c>
      <c r="O4" s="79">
        <f>((0 + 'BRAWLERS OFICIAL'!O4)-'BRAWLERS OFICIAL'!O4)/($BQ4/5)</f>
        <v>0</v>
      </c>
      <c r="P4" s="79">
        <f>((0 + 'BRAWLERS OFICIAL'!P4)-'BRAWLERS OFICIAL'!P4)/($BQ4/5)</f>
        <v>0</v>
      </c>
      <c r="Q4" s="79">
        <f>((0 + 'BRAWLERS OFICIAL'!Q4)-'BRAWLERS OFICIAL'!Q4)/($BQ4/5)</f>
        <v>0</v>
      </c>
      <c r="R4" s="79">
        <f>((0 + 'BRAWLERS OFICIAL'!R4)-'BRAWLERS OFICIAL'!R4)/($BQ4/5)</f>
        <v>0</v>
      </c>
      <c r="S4" s="79">
        <f>((0 + 'BRAWLERS OFICIAL'!S4)-'BRAWLERS OFICIAL'!S4)/($BQ4/5)</f>
        <v>0</v>
      </c>
      <c r="T4" s="79">
        <f>((0 + 'BRAWLERS OFICIAL'!T4)-'BRAWLERS OFICIAL'!T4)/($BQ4/5)</f>
        <v>0</v>
      </c>
      <c r="U4" s="79">
        <f>((0 + 'BRAWLERS OFICIAL'!U4)-'BRAWLERS OFICIAL'!U4)/($BQ4/5)</f>
        <v>0</v>
      </c>
      <c r="V4" s="79">
        <f>((0 + 'BRAWLERS OFICIAL'!V4)-'BRAWLERS OFICIAL'!V4)/($BQ4/5)</f>
        <v>0</v>
      </c>
      <c r="W4" s="79">
        <f>(0 + 'BRAWLERS OFICIAL'!W4)-'BRAWLERS OFICIAL'!W4</f>
        <v>0</v>
      </c>
      <c r="X4" s="121">
        <f>(( 0 + 'BRAWLERS OFICIAL'!X4 + AP4 + AY4/3.5 )-'BRAWLERS OFICIAL'!X4)/($BQ4/5)</f>
        <v>0</v>
      </c>
      <c r="Y4" s="80">
        <f>((0 + 'BRAWLERS OFICIAL'!Y4)-'BRAWLERS OFICIAL'!Y4)/($BQ4/5)</f>
        <v>0</v>
      </c>
      <c r="Z4" s="80">
        <f>(((0)/3 + 'BRAWLERS OFICIAL'!Z4)-'BRAWLERS OFICIAL'!Z4)</f>
        <v>0</v>
      </c>
      <c r="AA4" s="80">
        <f>((1 + 'BRAWLERS OFICIAL'!AA4)-'BRAWLERS OFICIAL'!AA4)/($BQ4/5)</f>
        <v>0.27777777777777779</v>
      </c>
      <c r="AB4" s="80">
        <f>((2.5 + 'BRAWLERS OFICIAL'!AB4)-'BRAWLERS OFICIAL'!AB4)/($BQ4/5)</f>
        <v>0.69444444444444442</v>
      </c>
      <c r="AC4" s="80">
        <f>(((0)/4 + 'BRAWLERS OFICIAL'!AC4)-'BRAWLERS OFICIAL'!AC4)/($BQ4/5)</f>
        <v>0</v>
      </c>
      <c r="AD4" s="80">
        <f>((0 + 'BRAWLERS OFICIAL'!AD4)-'BRAWLERS OFICIAL'!AD4)/($BQ4/5)</f>
        <v>0</v>
      </c>
      <c r="AE4" s="80">
        <f>((0 + 'BRAWLERS OFICIAL'!AE4)-'BRAWLERS OFICIAL'!AE4)/($BQ4/5)</f>
        <v>0</v>
      </c>
      <c r="AF4" s="80">
        <f>((0 + 'BRAWLERS OFICIAL'!AF4)-'BRAWLERS OFICIAL'!AF4)/($BQ4/5)</f>
        <v>0</v>
      </c>
      <c r="AG4" s="80">
        <f>((0 + 'BRAWLERS OFICIAL'!AG4)-'BRAWLERS OFICIAL'!AG4)</f>
        <v>0</v>
      </c>
      <c r="AH4" s="80">
        <f>((0 + 'BRAWLERS OFICIAL'!AH4)-'BRAWLERS OFICIAL'!AH4)</f>
        <v>0</v>
      </c>
      <c r="AI4" s="80">
        <f>((0 + 'BRAWLERS OFICIAL'!AI4)-'BRAWLERS OFICIAL'!AI4)</f>
        <v>0</v>
      </c>
      <c r="AJ4" s="80">
        <f>((0 + 'BRAWLERS OFICIAL'!AJ4)-'BRAWLERS OFICIAL'!AJ4)/($BQ4/5)</f>
        <v>0</v>
      </c>
      <c r="AK4" s="80">
        <f>((0 + 'BRAWLERS OFICIAL'!AK4)-'BRAWLERS OFICIAL'!AK4)/($BQ4/5)</f>
        <v>0</v>
      </c>
      <c r="AL4" s="80">
        <f>(((BK4/5+1)*AK4 + 'BRAWLERS OFICIAL'!AL4)-'BRAWLERS OFICIAL'!AL4)/($BQ4/5)</f>
        <v>0</v>
      </c>
      <c r="AM4" s="80">
        <f>IF( 0 = (1-1), (1-1), ((0 + 'BRAWLERS OFICIAL'!AM4)/1.5)-'BRAWLERS OFICIAL'!AM4 )</f>
        <v>0</v>
      </c>
      <c r="AN4" s="80">
        <f t="shared" ref="AN4:AN20" si="0">IF( 0 = (1-1), (1-1), ( 0 ) )</f>
        <v>0</v>
      </c>
      <c r="AO4" s="80">
        <f>((0 + 'BRAWLERS OFICIAL'!AO4)-'BRAWLERS OFICIAL'!AO4)/($BQ4/5)</f>
        <v>0</v>
      </c>
      <c r="AP4" s="80">
        <f>((0/1000 + 'BRAWLERS OFICIAL'!AP4)-'BRAWLERS OFICIAL'!AP4)</f>
        <v>0</v>
      </c>
      <c r="AQ4" s="80">
        <f>((0 + 'BRAWLERS OFICIAL'!AQ4)-'BRAWLERS OFICIAL'!AQ4)</f>
        <v>0</v>
      </c>
      <c r="AR4" s="80">
        <f>IF( 0 = (1-1), (1-1), ((0 + 'BRAWLERS OFICIAL'!AR4)/1.5) )</f>
        <v>0</v>
      </c>
      <c r="AS4" s="80">
        <f>IF( 0 = (1-1), (1-1), ((0 + 'BRAWLERS OFICIAL'!AS4)/1.5) )</f>
        <v>0</v>
      </c>
      <c r="AT4" s="80">
        <f>IF( 0 = (1-1), (1-1), ((0 + 'BRAWLERS OFICIAL'!AT4)/2) )</f>
        <v>0</v>
      </c>
      <c r="AU4" s="80">
        <f>((0 + 'BRAWLERS OFICIAL'!AU4)-'BRAWLERS OFICIAL'!AU4)/($BQ4/5)</f>
        <v>0</v>
      </c>
      <c r="AV4" s="80">
        <f>(((0)/4 + 'BRAWLERS OFICIAL'!AV4)-'BRAWLERS OFICIAL'!AV4)</f>
        <v>0</v>
      </c>
      <c r="AW4" s="80">
        <v>0</v>
      </c>
      <c r="AX4" s="80" t="s">
        <v>390</v>
      </c>
      <c r="AY4" s="79">
        <f>((( 0 )/3 + 'BRAWLERS OFICIAL'!AY4)-'BRAWLERS OFICIAL'!AY4)</f>
        <v>0</v>
      </c>
      <c r="AZ4" s="79">
        <f>((( 0 )/2 + 'BRAWLERS OFICIAL'!AZ4)-'BRAWLERS OFICIAL'!AZ4)/($BQ4/5)</f>
        <v>0</v>
      </c>
      <c r="BA4" s="79">
        <f>((( 0 )/2 + 'BRAWLERS OFICIAL'!BA4)-'BRAWLERS OFICIAL'!BA4)</f>
        <v>0</v>
      </c>
      <c r="BB4" s="79">
        <f>((( 0 )/3 + 'BRAWLERS OFICIAL'!BB4)-'BRAWLERS OFICIAL'!BB4)</f>
        <v>0</v>
      </c>
      <c r="BC4" s="79">
        <f>((( 0 )/2 + 'BRAWLERS OFICIAL'!BC4)-'BRAWLERS OFICIAL'!BC4)/($BQ4/5)</f>
        <v>0</v>
      </c>
      <c r="BD4" s="79">
        <f>((( 0 )/3 + 'BRAWLERS OFICIAL'!BD4)-'BRAWLERS OFICIAL'!BD4)</f>
        <v>0</v>
      </c>
      <c r="BE4" s="79">
        <f>((( 0 )/3 + 'BRAWLERS OFICIAL'!BE4)-'BRAWLERS OFICIAL'!BE4)</f>
        <v>0</v>
      </c>
      <c r="BF4" s="79">
        <f>((0 + 'BRAWLERS OFICIAL'!BF4)-'BRAWLERS OFICIAL'!BF4)/($BQ4/5)</f>
        <v>0</v>
      </c>
      <c r="BG4" s="79">
        <f>((0 + 'BRAWLERS OFICIAL'!BG4)-'BRAWLERS OFICIAL'!BG4)/($BQ4/5)</f>
        <v>0</v>
      </c>
      <c r="BH4" s="79">
        <f>((( 0 )/2 + 'BRAWLERS OFICIAL'!BH4)-'BRAWLERS OFICIAL'!BH4)</f>
        <v>0</v>
      </c>
      <c r="BI4" s="79">
        <f>((0 + 'BRAWLERS OFICIAL'!BI4)-'BRAWLERS OFICIAL'!BI4)/($BQ4/5)</f>
        <v>0</v>
      </c>
      <c r="BJ4" s="79">
        <f>((( 0 )/2 + 'BRAWLERS OFICIAL'!BJ4)-'BRAWLERS OFICIAL'!BJ4)</f>
        <v>0</v>
      </c>
      <c r="BK4" s="79">
        <f>((( 0 )/3 + 'BRAWLERS OFICIAL'!BK4)-'BRAWLERS OFICIAL'!BK4)</f>
        <v>0</v>
      </c>
      <c r="BL4" s="79">
        <f>((( 0 )/2 + 'BRAWLERS OFICIAL'!BL4)-'BRAWLERS OFICIAL'!BL4)</f>
        <v>0</v>
      </c>
      <c r="BM4" s="79">
        <f>((0 + 'BRAWLERS OFICIAL'!BM4)-'BRAWLERS OFICIAL'!BM4)/($BQ4/5)</f>
        <v>0</v>
      </c>
      <c r="BN4" s="79">
        <f>((0 + 'BRAWLERS OFICIAL'!BN4)-'BRAWLERS OFICIAL'!BN4)/($BQ4/5)</f>
        <v>0</v>
      </c>
      <c r="BO4" s="79">
        <f>((0 + 'BRAWLERS OFICIAL'!BO4)-'BRAWLERS OFICIAL'!BO4)/($BQ4/5)</f>
        <v>0</v>
      </c>
      <c r="BQ4" s="79">
        <v>18</v>
      </c>
    </row>
    <row r="5" spans="1:69">
      <c r="B5" s="77" t="s">
        <v>424</v>
      </c>
      <c r="C5" s="81" t="s">
        <v>88</v>
      </c>
      <c r="D5" s="132" t="s">
        <v>332</v>
      </c>
      <c r="E5" s="132" t="s">
        <v>383</v>
      </c>
      <c r="F5" s="79">
        <f>((0 + 'BRAWLERS OFICIAL'!F5)-'BRAWLERS OFICIAL'!F5)/($BQ5/5)</f>
        <v>0</v>
      </c>
      <c r="G5" s="79">
        <f>((0 + 'BRAWLERS OFICIAL'!G5)-'BRAWLERS OFICIAL'!G5)/($BQ5/5)</f>
        <v>0</v>
      </c>
      <c r="H5" s="79">
        <f>((0 + 'BRAWLERS OFICIAL'!H5)-'BRAWLERS OFICIAL'!H5)/($BQ5/5)</f>
        <v>0</v>
      </c>
      <c r="I5" s="79">
        <f>((0 + 'BRAWLERS OFICIAL'!I5)-'BRAWLERS OFICIAL'!I5)/($BQ5/5)</f>
        <v>0</v>
      </c>
      <c r="J5" s="79">
        <f>((0 + 'BRAWLERS OFICIAL'!J5)-'BRAWLERS OFICIAL'!J5)/($BQ5/5)</f>
        <v>0</v>
      </c>
      <c r="K5" s="79">
        <f>((0 + 'BRAWLERS OFICIAL'!K5)-'BRAWLERS OFICIAL'!K5)/($BQ5/5)</f>
        <v>0</v>
      </c>
      <c r="L5" s="79">
        <f>((0 + 'BRAWLERS OFICIAL'!L5)-'BRAWLERS OFICIAL'!L5)/($BQ5/5)</f>
        <v>0</v>
      </c>
      <c r="M5" s="79">
        <f>((0 + 'BRAWLERS OFICIAL'!M5)-'BRAWLERS OFICIAL'!M5)/($BQ5/5)</f>
        <v>0</v>
      </c>
      <c r="N5" s="79">
        <f>((0 + 'BRAWLERS OFICIAL'!N5)-'BRAWLERS OFICIAL'!N5)/($BQ5/5)</f>
        <v>0</v>
      </c>
      <c r="O5" s="79">
        <f>((0 + 'BRAWLERS OFICIAL'!O5)-'BRAWLERS OFICIAL'!O5)/($BQ5/5)</f>
        <v>0</v>
      </c>
      <c r="P5" s="79">
        <f>((0 + 'BRAWLERS OFICIAL'!P5)-'BRAWLERS OFICIAL'!P5)/($BQ5/5)</f>
        <v>0</v>
      </c>
      <c r="Q5" s="79">
        <f>((0 + 'BRAWLERS OFICIAL'!Q5)-'BRAWLERS OFICIAL'!Q5)/($BQ5/5)</f>
        <v>0</v>
      </c>
      <c r="R5" s="79">
        <f>((0 + 'BRAWLERS OFICIAL'!R5)-'BRAWLERS OFICIAL'!R5)/($BQ5/5)</f>
        <v>0</v>
      </c>
      <c r="S5" s="79">
        <f>((0 + 'BRAWLERS OFICIAL'!S5)-'BRAWLERS OFICIAL'!S5)/($BQ5/5)</f>
        <v>0</v>
      </c>
      <c r="T5" s="79">
        <f>((0 + 'BRAWLERS OFICIAL'!T5)-'BRAWLERS OFICIAL'!T5)/($BQ5/5)</f>
        <v>0</v>
      </c>
      <c r="U5" s="79">
        <f>((0 + 'BRAWLERS OFICIAL'!U5)-'BRAWLERS OFICIAL'!U5)/($BQ5/5)</f>
        <v>0</v>
      </c>
      <c r="V5" s="79">
        <f>((0 + 'BRAWLERS OFICIAL'!V5)-'BRAWLERS OFICIAL'!V5)/($BQ5/5)</f>
        <v>0</v>
      </c>
      <c r="W5" s="79">
        <f>(0 + 'BRAWLERS OFICIAL'!W5)-'BRAWLERS OFICIAL'!W5</f>
        <v>0</v>
      </c>
      <c r="X5" s="121">
        <f>(( 1920/1400 + 'BRAWLERS OFICIAL'!X5 + AP5 + AY5/3.5 )-'BRAWLERS OFICIAL'!X5)/($BQ5/5)</f>
        <v>0.40336134453781503</v>
      </c>
      <c r="Y5" s="80">
        <f>((0 + 'BRAWLERS OFICIAL'!Y5)-'BRAWLERS OFICIAL'!Y5)/($BQ5/5)</f>
        <v>0</v>
      </c>
      <c r="Z5" s="80">
        <f>(((0)/3 + 'BRAWLERS OFICIAL'!Z5)-'BRAWLERS OFICIAL'!Z5)</f>
        <v>0</v>
      </c>
      <c r="AA5" s="80">
        <f>((0 + 'BRAWLERS OFICIAL'!AA5)-'BRAWLERS OFICIAL'!AA5)/($BQ5/5)</f>
        <v>0</v>
      </c>
      <c r="AB5" s="80">
        <f>((0 + 'BRAWLERS OFICIAL'!AB5)-'BRAWLERS OFICIAL'!AB5)/($BQ5/5)</f>
        <v>0</v>
      </c>
      <c r="AC5" s="80">
        <f>(((0)/4 + 'BRAWLERS OFICIAL'!AC5)-'BRAWLERS OFICIAL'!AC5)/($BQ5/5)</f>
        <v>0</v>
      </c>
      <c r="AD5" s="80">
        <f>((0 + 'BRAWLERS OFICIAL'!AD5)-'BRAWLERS OFICIAL'!AD5)/($BQ5/5)</f>
        <v>0</v>
      </c>
      <c r="AE5" s="80">
        <f>((0 + 'BRAWLERS OFICIAL'!AE5)-'BRAWLERS OFICIAL'!AE5)/($BQ5/5)</f>
        <v>0</v>
      </c>
      <c r="AF5" s="80">
        <f>((0 + 'BRAWLERS OFICIAL'!AF5)-'BRAWLERS OFICIAL'!AF5)/($BQ5/5)</f>
        <v>0</v>
      </c>
      <c r="AG5" s="80">
        <f>((0 + 'BRAWLERS OFICIAL'!AG5)-'BRAWLERS OFICIAL'!AG5)</f>
        <v>0</v>
      </c>
      <c r="AH5" s="80">
        <f>((0 + 'BRAWLERS OFICIAL'!AH5)-'BRAWLERS OFICIAL'!AH5)</f>
        <v>0</v>
      </c>
      <c r="AI5" s="80">
        <f>((0 + 'BRAWLERS OFICIAL'!AI5)-'BRAWLERS OFICIAL'!AI5)</f>
        <v>0</v>
      </c>
      <c r="AJ5" s="80">
        <f>((0 + 'BRAWLERS OFICIAL'!AJ5)-'BRAWLERS OFICIAL'!AJ5)/($BQ5/5)</f>
        <v>0</v>
      </c>
      <c r="AK5" s="80">
        <f>((0 + 'BRAWLERS OFICIAL'!AK5)-'BRAWLERS OFICIAL'!AK5)/($BQ5/5)</f>
        <v>0</v>
      </c>
      <c r="AL5" s="80">
        <f>(((BK5/5+1)*AK5 + 'BRAWLERS OFICIAL'!AL5)-'BRAWLERS OFICIAL'!AL5)/($BQ5/5)</f>
        <v>0</v>
      </c>
      <c r="AM5" s="80">
        <f>IF( 0 = (1-1), (1-1), ((0 + 'BRAWLERS OFICIAL'!AM5)/1.5)-'BRAWLERS OFICIAL'!AM5 )</f>
        <v>0</v>
      </c>
      <c r="AN5" s="80">
        <f t="shared" si="0"/>
        <v>0</v>
      </c>
      <c r="AO5" s="80">
        <f>((0 + 'BRAWLERS OFICIAL'!AO5)-'BRAWLERS OFICIAL'!AO5)/($BQ5/5)</f>
        <v>0</v>
      </c>
      <c r="AP5" s="80">
        <f>((0/1000 + 'BRAWLERS OFICIAL'!AP5)-'BRAWLERS OFICIAL'!AP5)</f>
        <v>0</v>
      </c>
      <c r="AQ5" s="80">
        <f>((0 + 'BRAWLERS OFICIAL'!AQ5)-'BRAWLERS OFICIAL'!AQ5)</f>
        <v>0</v>
      </c>
      <c r="AR5" s="80">
        <f>IF( 0 = (1-1), (1-1), ((0 + 'BRAWLERS OFICIAL'!AR5)/1.5) )</f>
        <v>0</v>
      </c>
      <c r="AS5" s="80">
        <f>IF( 0 = (1-1), (1-1), ((0 + 'BRAWLERS OFICIAL'!AS5)/1.5) )</f>
        <v>0</v>
      </c>
      <c r="AT5" s="80">
        <f>IF( 0 = (1-1), (1-1), ((0 + 'BRAWLERS OFICIAL'!AT5)/2) )</f>
        <v>0</v>
      </c>
      <c r="AU5" s="80">
        <f>((0 + 'BRAWLERS OFICIAL'!AU5)-'BRAWLERS OFICIAL'!AU5)/($BQ5/5)</f>
        <v>0</v>
      </c>
      <c r="AV5" s="80">
        <f>(((0)/4 + 'BRAWLERS OFICIAL'!AV5)-'BRAWLERS OFICIAL'!AV5)</f>
        <v>0</v>
      </c>
      <c r="AW5" s="80">
        <v>2.5</v>
      </c>
      <c r="AX5" s="80" t="s">
        <v>425</v>
      </c>
      <c r="AY5" s="79">
        <f>((( 0 )/3 + 'BRAWLERS OFICIAL'!AY5)-'BRAWLERS OFICIAL'!AY5)</f>
        <v>0</v>
      </c>
      <c r="AZ5" s="79">
        <f>((( 0 )/2 + 'BRAWLERS OFICIAL'!AZ5)-'BRAWLERS OFICIAL'!AZ5)/($BQ5/5)</f>
        <v>0</v>
      </c>
      <c r="BA5" s="79">
        <f>((( 0 )/2 + 'BRAWLERS OFICIAL'!BA5)-'BRAWLERS OFICIAL'!BA5)</f>
        <v>0</v>
      </c>
      <c r="BB5" s="79">
        <f>((( 0 )/3 + 'BRAWLERS OFICIAL'!BB5)-'BRAWLERS OFICIAL'!BB5)</f>
        <v>0</v>
      </c>
      <c r="BC5" s="79">
        <f>((( 0 )/2 + 'BRAWLERS OFICIAL'!BC5)-'BRAWLERS OFICIAL'!BC5)/($BQ5/5)</f>
        <v>0</v>
      </c>
      <c r="BD5" s="79">
        <f>((( 0 )/3 + 'BRAWLERS OFICIAL'!BD5)-'BRAWLERS OFICIAL'!BD5)</f>
        <v>0</v>
      </c>
      <c r="BE5" s="79">
        <f>((( 0 )/3 + 'BRAWLERS OFICIAL'!BE5)-'BRAWLERS OFICIAL'!BE5)</f>
        <v>0</v>
      </c>
      <c r="BF5" s="79">
        <f>((0 + 'BRAWLERS OFICIAL'!BF5)-'BRAWLERS OFICIAL'!BF5)/($BQ5/5)</f>
        <v>0</v>
      </c>
      <c r="BG5" s="79">
        <f>((0 + 'BRAWLERS OFICIAL'!BG5)-'BRAWLERS OFICIAL'!BG5)/($BQ5/5)</f>
        <v>0</v>
      </c>
      <c r="BH5" s="79">
        <f>((( 0 )/2 + 'BRAWLERS OFICIAL'!BH5)-'BRAWLERS OFICIAL'!BH5)</f>
        <v>0</v>
      </c>
      <c r="BI5" s="79">
        <f>((0 + 'BRAWLERS OFICIAL'!BI5)-'BRAWLERS OFICIAL'!BI5)/($BQ5/5)</f>
        <v>0</v>
      </c>
      <c r="BJ5" s="79">
        <f>((( 0 )/2 + 'BRAWLERS OFICIAL'!BJ5)-'BRAWLERS OFICIAL'!BJ5)</f>
        <v>0</v>
      </c>
      <c r="BK5" s="79">
        <f>((( 0 )/3 + 'BRAWLERS OFICIAL'!BK5)-'BRAWLERS OFICIAL'!BK5)</f>
        <v>0</v>
      </c>
      <c r="BL5" s="79">
        <f>((( 0 )/2 + 'BRAWLERS OFICIAL'!BL5)-'BRAWLERS OFICIAL'!BL5)</f>
        <v>0</v>
      </c>
      <c r="BM5" s="79">
        <f>((0 + 'BRAWLERS OFICIAL'!BM5)-'BRAWLERS OFICIAL'!BM5)/($BQ5/5)</f>
        <v>0</v>
      </c>
      <c r="BN5" s="79">
        <f>((0 + 'BRAWLERS OFICIAL'!BN5)-'BRAWLERS OFICIAL'!BN5)/($BQ5/5)</f>
        <v>0</v>
      </c>
      <c r="BO5" s="79">
        <f>((0 + 'BRAWLERS OFICIAL'!BO5)-'BRAWLERS OFICIAL'!BO5)/($BQ5/5)</f>
        <v>0</v>
      </c>
      <c r="BQ5" s="79">
        <v>17</v>
      </c>
    </row>
    <row r="6" spans="1:69">
      <c r="B6" s="77" t="s">
        <v>426</v>
      </c>
      <c r="C6" s="67" t="s">
        <v>96</v>
      </c>
      <c r="D6" s="131" t="s">
        <v>389</v>
      </c>
      <c r="E6" s="131" t="s">
        <v>326</v>
      </c>
      <c r="F6" s="79">
        <f>((0 + 'BRAWLERS OFICIAL'!F6)-'BRAWLERS OFICIAL'!F6)/($BQ6/5)</f>
        <v>0</v>
      </c>
      <c r="G6" s="79">
        <f>((0 + 'BRAWLERS OFICIAL'!G6)-'BRAWLERS OFICIAL'!G6)/($BQ6/5)</f>
        <v>0</v>
      </c>
      <c r="H6" s="79">
        <f>((0 + 'BRAWLERS OFICIAL'!H6)-'BRAWLERS OFICIAL'!H6)/($BQ6/5)</f>
        <v>0</v>
      </c>
      <c r="I6" s="79">
        <f>((0 + 'BRAWLERS OFICIAL'!I6)-'BRAWLERS OFICIAL'!I6)/($BQ6/5)</f>
        <v>0</v>
      </c>
      <c r="J6" s="79">
        <f>((0 + 'BRAWLERS OFICIAL'!J6)-'BRAWLERS OFICIAL'!J6)/($BQ6/5)</f>
        <v>0</v>
      </c>
      <c r="K6" s="79">
        <f>((0 + 'BRAWLERS OFICIAL'!K6)-'BRAWLERS OFICIAL'!K6)/($BQ6/5)</f>
        <v>0</v>
      </c>
      <c r="L6" s="79">
        <f>((0 + 'BRAWLERS OFICIAL'!L6)-'BRAWLERS OFICIAL'!L6)/($BQ6/5)</f>
        <v>0</v>
      </c>
      <c r="M6" s="79">
        <f>((0 + 'BRAWLERS OFICIAL'!M6)-'BRAWLERS OFICIAL'!M6)/($BQ6/5)</f>
        <v>0</v>
      </c>
      <c r="N6" s="79">
        <f>((0 + 'BRAWLERS OFICIAL'!N6)-'BRAWLERS OFICIAL'!N6)/($BQ6/5)</f>
        <v>0</v>
      </c>
      <c r="O6" s="79">
        <f>((0 + 'BRAWLERS OFICIAL'!O6)-'BRAWLERS OFICIAL'!O6)/($BQ6/5)</f>
        <v>0</v>
      </c>
      <c r="P6" s="79">
        <f>((0 + 'BRAWLERS OFICIAL'!P6)-'BRAWLERS OFICIAL'!P6)/($BQ6/5)</f>
        <v>0</v>
      </c>
      <c r="Q6" s="79">
        <f>((0 + 'BRAWLERS OFICIAL'!Q6)-'BRAWLERS OFICIAL'!Q6)/($BQ6/5)</f>
        <v>0</v>
      </c>
      <c r="R6" s="79">
        <f>((0 + 'BRAWLERS OFICIAL'!R6)-'BRAWLERS OFICIAL'!R6)/($BQ6/5)</f>
        <v>0</v>
      </c>
      <c r="S6" s="79">
        <f>((0 + 'BRAWLERS OFICIAL'!S6)-'BRAWLERS OFICIAL'!S6)/($BQ6/5)</f>
        <v>0</v>
      </c>
      <c r="T6" s="79">
        <f>((0 + 'BRAWLERS OFICIAL'!T6)-'BRAWLERS OFICIAL'!T6)/($BQ6/5)</f>
        <v>0</v>
      </c>
      <c r="U6" s="79">
        <f>((0 + 'BRAWLERS OFICIAL'!U6)-'BRAWLERS OFICIAL'!U6)/($BQ6/5)</f>
        <v>0</v>
      </c>
      <c r="V6" s="79">
        <f>((0 + 'BRAWLERS OFICIAL'!V6)-'BRAWLERS OFICIAL'!V6)/($BQ6/5)</f>
        <v>0</v>
      </c>
      <c r="W6" s="79">
        <f>(1200/2 + 'BRAWLERS OFICIAL'!W6)-'BRAWLERS OFICIAL'!W6</f>
        <v>600</v>
      </c>
      <c r="X6" s="121">
        <f>(( 0 + 'BRAWLERS OFICIAL'!X6 + AP6 + AY6/3.5 )-'BRAWLERS OFICIAL'!X6)/($BQ6/5)</f>
        <v>1.3035714285714286</v>
      </c>
      <c r="Y6" s="80">
        <f>((0 + 'BRAWLERS OFICIAL'!Y6)-'BRAWLERS OFICIAL'!Y6)/($BQ6/5)</f>
        <v>0</v>
      </c>
      <c r="Z6" s="80">
        <f>(((6 + 3 + 3)/3)-'BRAWLERS OFICIAL'!Z6)</f>
        <v>4</v>
      </c>
      <c r="AA6" s="80">
        <f>((9 + 'BRAWLERS OFICIAL'!AA6)-'BRAWLERS OFICIAL'!AA6)/($BQ6/5)</f>
        <v>2.25</v>
      </c>
      <c r="AB6" s="80">
        <f>((0 + 'BRAWLERS OFICIAL'!AB6)-'BRAWLERS OFICIAL'!AB6)/($BQ6/5)</f>
        <v>0</v>
      </c>
      <c r="AC6" s="80">
        <f>(((3 + 1 + 10 + 3)/4 + 'BRAWLERS OFICIAL'!AC6)-'BRAWLERS OFICIAL'!AC6)/($BQ6/5)</f>
        <v>1.0625</v>
      </c>
      <c r="AD6" s="80">
        <f>((3 + 'BRAWLERS OFICIAL'!AD6)-'BRAWLERS OFICIAL'!AD6)/($BQ6/5)</f>
        <v>0.75</v>
      </c>
      <c r="AE6" s="80">
        <f>((0 + 'BRAWLERS OFICIAL'!AE6)-'BRAWLERS OFICIAL'!AE6)/($BQ6/5)</f>
        <v>0</v>
      </c>
      <c r="AF6" s="80">
        <f>((0 + 'BRAWLERS OFICIAL'!AF6)-'BRAWLERS OFICIAL'!AF6)/($BQ6/5)</f>
        <v>0</v>
      </c>
      <c r="AG6" s="80">
        <f>((0 + 'BRAWLERS OFICIAL'!AG6)-'BRAWLERS OFICIAL'!AG6)</f>
        <v>0</v>
      </c>
      <c r="AH6" s="80">
        <f>((0 + 'BRAWLERS OFICIAL'!AH6)-'BRAWLERS OFICIAL'!AH6)</f>
        <v>0</v>
      </c>
      <c r="AI6" s="80">
        <f>((0 + 'BRAWLERS OFICIAL'!AI6)-'BRAWLERS OFICIAL'!AI6)</f>
        <v>0</v>
      </c>
      <c r="AJ6" s="80">
        <f>((0 + 'BRAWLERS OFICIAL'!AJ6)-'BRAWLERS OFICIAL'!AJ6)/($BQ6/5)</f>
        <v>0</v>
      </c>
      <c r="AK6" s="80">
        <f>((0 + 'BRAWLERS OFICIAL'!AK6)-'BRAWLERS OFICIAL'!AK6)/($BQ6/5)</f>
        <v>0</v>
      </c>
      <c r="AL6" s="80">
        <f>(((BK6/5+1)*AK6 + 'BRAWLERS OFICIAL'!AL6)-'BRAWLERS OFICIAL'!AL6)/($BQ6/5)</f>
        <v>0</v>
      </c>
      <c r="AM6" s="80">
        <f>IF( 5 = (1-1), (1-1), ((5 + 'BRAWLERS OFICIAL'!AM6)/1.5)-'BRAWLERS OFICIAL'!AM6 )</f>
        <v>3.3333333333333335</v>
      </c>
      <c r="AN6" s="80">
        <f>IF( 1 = (1-1), (1-1), ( 1 ) )</f>
        <v>1</v>
      </c>
      <c r="AO6" s="80">
        <f>((0 + 'BRAWLERS OFICIAL'!AO6)-'BRAWLERS OFICIAL'!AO6)/($BQ6/5)</f>
        <v>0</v>
      </c>
      <c r="AP6" s="80">
        <f>((3500/1000 + 'BRAWLERS OFICIAL'!AP6)-'BRAWLERS OFICIAL'!AP6)</f>
        <v>3.5</v>
      </c>
      <c r="AQ6" s="80">
        <f>((3 + 'BRAWLERS OFICIAL'!AQ6)-'BRAWLERS OFICIAL'!AQ6)</f>
        <v>3</v>
      </c>
      <c r="AR6" s="80">
        <f>IF( 4 = (1-1), (1-1), ((4 + 'BRAWLERS OFICIAL'!AR6)/1.5) )</f>
        <v>2.6666666666666665</v>
      </c>
      <c r="AS6" s="80">
        <f>IF( 0 = (1-1), (1-1), ((0 + 'BRAWLERS OFICIAL'!AS6)/1.5) )</f>
        <v>0</v>
      </c>
      <c r="AT6" s="80">
        <f>IF( 5 = (1-1), (1-1), ((5 + 'BRAWLERS OFICIAL'!AT6)/2) )</f>
        <v>2.5</v>
      </c>
      <c r="AU6" s="80">
        <f>((0 + 'BRAWLERS OFICIAL'!AU6)-'BRAWLERS OFICIAL'!AU6)/($BQ6/5)</f>
        <v>0</v>
      </c>
      <c r="AV6" s="80">
        <f>(((6 + 3 + 3 + 5)/4 + 'BRAWLERS OFICIAL'!AV6)-'BRAWLERS OFICIAL'!AV6)</f>
        <v>4.25</v>
      </c>
      <c r="AW6" s="80">
        <v>0</v>
      </c>
      <c r="AX6" s="80" t="s">
        <v>390</v>
      </c>
      <c r="AY6" s="79">
        <f>(((5 + 4 + 9)/3 + 'BRAWLERS OFICIAL'!AY6)-'BRAWLERS OFICIAL'!AY6)</f>
        <v>6</v>
      </c>
      <c r="AZ6" s="79">
        <f>((( 0 )/2 + 'BRAWLERS OFICIAL'!AZ6)-'BRAWLERS OFICIAL'!AZ6)/($BQ6/5)</f>
        <v>0</v>
      </c>
      <c r="BA6" s="79">
        <f>((( 0 )/2 + 'BRAWLERS OFICIAL'!BA6)-'BRAWLERS OFICIAL'!BA6)</f>
        <v>0</v>
      </c>
      <c r="BB6" s="79">
        <f>((( 0 )/3 + 'BRAWLERS OFICIAL'!BB6)-'BRAWLERS OFICIAL'!BB6)</f>
        <v>0</v>
      </c>
      <c r="BC6" s="79">
        <f>((( 0 )/2 + 'BRAWLERS OFICIAL'!BC6)-'BRAWLERS OFICIAL'!BC6)/($BQ6/5)</f>
        <v>0</v>
      </c>
      <c r="BD6" s="79">
        <f>((( 0 )/3 + 'BRAWLERS OFICIAL'!BD6)-'BRAWLERS OFICIAL'!BD6)</f>
        <v>0</v>
      </c>
      <c r="BE6" s="79">
        <f>((( 0 )/3 + 'BRAWLERS OFICIAL'!BE6)-'BRAWLERS OFICIAL'!BE6)</f>
        <v>0</v>
      </c>
      <c r="BF6" s="79">
        <f>((0 + 'BRAWLERS OFICIAL'!BF6)-'BRAWLERS OFICIAL'!BF6)/($BQ6/5)</f>
        <v>0</v>
      </c>
      <c r="BG6" s="79">
        <f>((0 + 'BRAWLERS OFICIAL'!BG6)-'BRAWLERS OFICIAL'!BG6)/($BQ6/5)</f>
        <v>0</v>
      </c>
      <c r="BH6" s="79">
        <f>((( 0 )/2 + 'BRAWLERS OFICIAL'!BH6)-'BRAWLERS OFICIAL'!BH6)</f>
        <v>0</v>
      </c>
      <c r="BI6" s="79">
        <f>((0 + 'BRAWLERS OFICIAL'!BI6)-'BRAWLERS OFICIAL'!BI6)/($BQ6/5)</f>
        <v>0</v>
      </c>
      <c r="BJ6" s="79">
        <f>((( 0 )/2 + 'BRAWLERS OFICIAL'!BJ6)-'BRAWLERS OFICIAL'!BJ6)</f>
        <v>0</v>
      </c>
      <c r="BK6" s="79">
        <f>((( 0 )/3 + 'BRAWLERS OFICIAL'!BK6)-'BRAWLERS OFICIAL'!BK6)</f>
        <v>0</v>
      </c>
      <c r="BL6" s="79">
        <f>((( 0 )/2 + 'BRAWLERS OFICIAL'!BL6)-'BRAWLERS OFICIAL'!BL6)</f>
        <v>0</v>
      </c>
      <c r="BM6" s="79">
        <f>((3 + 'BRAWLERS OFICIAL'!BM6)-'BRAWLERS OFICIAL'!BM6)/($BQ6/5)</f>
        <v>0.75</v>
      </c>
      <c r="BN6" s="79">
        <f>((0 + 'BRAWLERS OFICIAL'!BN6)-'BRAWLERS OFICIAL'!BN6)/($BQ6/5)</f>
        <v>0</v>
      </c>
      <c r="BO6" s="79">
        <f>((0 + 'BRAWLERS OFICIAL'!BO6)-'BRAWLERS OFICIAL'!BO6)/($BQ6/5)</f>
        <v>0</v>
      </c>
      <c r="BQ6" s="79">
        <v>20</v>
      </c>
    </row>
    <row r="7" spans="1:69">
      <c r="B7" s="77" t="s">
        <v>427</v>
      </c>
      <c r="C7" s="67" t="s">
        <v>62</v>
      </c>
      <c r="D7" s="131" t="s">
        <v>386</v>
      </c>
      <c r="E7" s="131" t="s">
        <v>358</v>
      </c>
      <c r="F7" s="79">
        <f>((0 + 'BRAWLERS OFICIAL'!F7)-'BRAWLERS OFICIAL'!F7)/($BQ7/5)</f>
        <v>0</v>
      </c>
      <c r="G7" s="79">
        <f>((0 + 'BRAWLERS OFICIAL'!G7)-'BRAWLERS OFICIAL'!G7)/($BQ7/5)</f>
        <v>0</v>
      </c>
      <c r="H7" s="79">
        <f>((0 + 'BRAWLERS OFICIAL'!H7)-'BRAWLERS OFICIAL'!H7)/($BQ7/5)</f>
        <v>0</v>
      </c>
      <c r="I7" s="79">
        <f>((0 + 'BRAWLERS OFICIAL'!I7)-'BRAWLERS OFICIAL'!I7)/($BQ7/5)</f>
        <v>0</v>
      </c>
      <c r="J7" s="79">
        <f>((0 + 'BRAWLERS OFICIAL'!J7)-'BRAWLERS OFICIAL'!J7)/($BQ7/5)</f>
        <v>0</v>
      </c>
      <c r="K7" s="79">
        <f>((0 + 'BRAWLERS OFICIAL'!K7)-'BRAWLERS OFICIAL'!K7)/($BQ7/5)</f>
        <v>0</v>
      </c>
      <c r="L7" s="79">
        <f>((0 + 'BRAWLERS OFICIAL'!L7)-'BRAWLERS OFICIAL'!L7)/($BQ7/5)</f>
        <v>0</v>
      </c>
      <c r="M7" s="79">
        <f>((0 + 'BRAWLERS OFICIAL'!M7)-'BRAWLERS OFICIAL'!M7)/($BQ7/5)</f>
        <v>0</v>
      </c>
      <c r="N7" s="79">
        <f>((0 + 'BRAWLERS OFICIAL'!N7)-'BRAWLERS OFICIAL'!N7)/($BQ7/5)</f>
        <v>0</v>
      </c>
      <c r="O7" s="79">
        <f>((0 + 'BRAWLERS OFICIAL'!O7)-'BRAWLERS OFICIAL'!O7)/($BQ7/5)</f>
        <v>0</v>
      </c>
      <c r="P7" s="79">
        <f>((0 + 'BRAWLERS OFICIAL'!P7)-'BRAWLERS OFICIAL'!P7)/($BQ7/5)</f>
        <v>0</v>
      </c>
      <c r="Q7" s="79">
        <f>((0 + 'BRAWLERS OFICIAL'!Q7)-'BRAWLERS OFICIAL'!Q7)/($BQ7/5)</f>
        <v>0</v>
      </c>
      <c r="R7" s="79">
        <f>((0 + 'BRAWLERS OFICIAL'!R7)-'BRAWLERS OFICIAL'!R7)/($BQ7/5)</f>
        <v>0</v>
      </c>
      <c r="S7" s="79">
        <f>((0 + 'BRAWLERS OFICIAL'!S7)-'BRAWLERS OFICIAL'!S7)/($BQ7/5)</f>
        <v>0</v>
      </c>
      <c r="T7" s="79">
        <f>((0 + 'BRAWLERS OFICIAL'!T7)-'BRAWLERS OFICIAL'!T7)/($BQ7/5)</f>
        <v>0</v>
      </c>
      <c r="U7" s="79">
        <f>((0 + 'BRAWLERS OFICIAL'!U7)-'BRAWLERS OFICIAL'!U7)/($BQ7/5)</f>
        <v>0</v>
      </c>
      <c r="V7" s="79">
        <f>((0 + 'BRAWLERS OFICIAL'!V7)-'BRAWLERS OFICIAL'!V7)/($BQ7/5)</f>
        <v>0</v>
      </c>
      <c r="W7" s="79">
        <f>(0 + 'BRAWLERS OFICIAL'!W7)-'BRAWLERS OFICIAL'!W7</f>
        <v>0</v>
      </c>
      <c r="X7" s="121">
        <f>(( 0 + 'BRAWLERS OFICIAL'!X7 + AP7 + AY7/3.5 )-'BRAWLERS OFICIAL'!X7)/($BQ7/5)</f>
        <v>0.75</v>
      </c>
      <c r="Y7" s="80">
        <f>((0 + 'BRAWLERS OFICIAL'!Y7)-'BRAWLERS OFICIAL'!Y7)/($BQ7/5)</f>
        <v>0</v>
      </c>
      <c r="Z7" s="80">
        <f>(((7.5 + 8 + 5)/3)-'BRAWLERS OFICIAL'!Z7)</f>
        <v>0.83333333333333304</v>
      </c>
      <c r="AA7" s="80">
        <f>((0 + 'BRAWLERS OFICIAL'!AA7)-'BRAWLERS OFICIAL'!AA7)/($BQ7/5)</f>
        <v>0</v>
      </c>
      <c r="AB7" s="80">
        <f>((0 + 'BRAWLERS OFICIAL'!AB7)-'BRAWLERS OFICIAL'!AB7)/($BQ7/5)</f>
        <v>0</v>
      </c>
      <c r="AC7" s="80">
        <f>(((6 + 7 + 5 + 7)/4 + 'BRAWLERS OFICIAL'!AC7)-'BRAWLERS OFICIAL'!AC7)/($BQ7/5)</f>
        <v>1.5625</v>
      </c>
      <c r="AD7" s="80">
        <f>((0 + 'BRAWLERS OFICIAL'!AD7)-'BRAWLERS OFICIAL'!AD7)/($BQ7/5)</f>
        <v>0</v>
      </c>
      <c r="AE7" s="80">
        <f>((0 + 'BRAWLERS OFICIAL'!AE7)-'BRAWLERS OFICIAL'!AE7)/($BQ7/5)</f>
        <v>0</v>
      </c>
      <c r="AF7" s="80">
        <f>((0 + 'BRAWLERS OFICIAL'!AF7)-'BRAWLERS OFICIAL'!AF7)/($BQ7/5)</f>
        <v>0</v>
      </c>
      <c r="AG7" s="80">
        <f>((0 + 'BRAWLERS OFICIAL'!AG7)-'BRAWLERS OFICIAL'!AG7)</f>
        <v>0</v>
      </c>
      <c r="AH7" s="80">
        <f>((0 + 'BRAWLERS OFICIAL'!AH7)-'BRAWLERS OFICIAL'!AH7)</f>
        <v>0</v>
      </c>
      <c r="AI7" s="80">
        <f>((0 + 'BRAWLERS OFICIAL'!AI7)-'BRAWLERS OFICIAL'!AI7)</f>
        <v>0</v>
      </c>
      <c r="AJ7" s="80">
        <f>((0 + 'BRAWLERS OFICIAL'!AJ7)-'BRAWLERS OFICIAL'!AJ7)/($BQ7/5)</f>
        <v>0</v>
      </c>
      <c r="AK7" s="80">
        <f>((4 + 'BRAWLERS OFICIAL'!AK7)-'BRAWLERS OFICIAL'!AK7)/($BQ7/5)</f>
        <v>1</v>
      </c>
      <c r="AL7" s="80">
        <f>(((BK7/5+1)*AK7 + 'BRAWLERS OFICIAL'!AL7)-'BRAWLERS OFICIAL'!AL7)/($BQ7/5)</f>
        <v>0.25</v>
      </c>
      <c r="AM7" s="80">
        <f>IF( 5 = (1-1), (1-1), ((5 + 'BRAWLERS OFICIAL'!AM7)/1.5)-'BRAWLERS OFICIAL'!AM7 )</f>
        <v>3.3333333333333335</v>
      </c>
      <c r="AN7" s="80">
        <f>IF( 1 = (1-1), (1-1), ( 1 ) )</f>
        <v>1</v>
      </c>
      <c r="AO7" s="80">
        <f>((1 + 'BRAWLERS OFICIAL'!AO7)-'BRAWLERS OFICIAL'!AO7)/($BQ7/5)</f>
        <v>0.25</v>
      </c>
      <c r="AP7" s="80">
        <f>((3000/1000 + 'BRAWLERS OFICIAL'!AP7)-'BRAWLERS OFICIAL'!AP7)</f>
        <v>3</v>
      </c>
      <c r="AQ7" s="80">
        <f>((0 + 'BRAWLERS OFICIAL'!AQ7)-'BRAWLERS OFICIAL'!AQ7)</f>
        <v>0</v>
      </c>
      <c r="AR7" s="80">
        <f>IF( 0 = (1-1), (1-1), ((0 + 'BRAWLERS OFICIAL'!AR7)/1.5) )</f>
        <v>0</v>
      </c>
      <c r="AS7" s="80">
        <f>IF( 0 = (1-1), (1-1), ((0 + 'BRAWLERS OFICIAL'!AS7)/1.5) )</f>
        <v>0</v>
      </c>
      <c r="AT7" s="80">
        <f>IF( 7.5 = (1-1), (1-1), ((7.5 + 'BRAWLERS OFICIAL'!AT7)/2) )</f>
        <v>3.75</v>
      </c>
      <c r="AU7" s="80">
        <f>((0 + 'BRAWLERS OFICIAL'!AU7)-'BRAWLERS OFICIAL'!AU7)/($BQ7/5)</f>
        <v>0</v>
      </c>
      <c r="AV7" s="80">
        <f>(((0)/4 + 'BRAWLERS OFICIAL'!AV7)-'BRAWLERS OFICIAL'!AV7)</f>
        <v>0</v>
      </c>
      <c r="AW7" s="80">
        <v>0</v>
      </c>
      <c r="AX7" s="80" t="s">
        <v>390</v>
      </c>
      <c r="AY7" s="79">
        <f>((( 0 )/3 + 'BRAWLERS OFICIAL'!AY7)-'BRAWLERS OFICIAL'!AY7)</f>
        <v>0</v>
      </c>
      <c r="AZ7" s="79">
        <f>((( 0 )/2 + 'BRAWLERS OFICIAL'!AZ7)-'BRAWLERS OFICIAL'!AZ7)/($BQ7/5)</f>
        <v>0</v>
      </c>
      <c r="BA7" s="79">
        <f>((( 0 )/2 + 'BRAWLERS OFICIAL'!BA7)-'BRAWLERS OFICIAL'!BA7)</f>
        <v>0</v>
      </c>
      <c r="BB7" s="79">
        <f>((( 0 )/3 + 'BRAWLERS OFICIAL'!BB7)-'BRAWLERS OFICIAL'!BB7)</f>
        <v>0</v>
      </c>
      <c r="BC7" s="79">
        <f>((( 0 )/2 + 'BRAWLERS OFICIAL'!BC7)-'BRAWLERS OFICIAL'!BC7)/($BQ7/5)</f>
        <v>0</v>
      </c>
      <c r="BD7" s="79">
        <f>((( 5 + 5 + 5 )/3 + 'BRAWLERS OFICIAL'!BD7)-'BRAWLERS OFICIAL'!BD7)</f>
        <v>5</v>
      </c>
      <c r="BE7" s="79">
        <f>((( 5 + 5 + 5 )/3 + 'BRAWLERS OFICIAL'!BE7)-'BRAWLERS OFICIAL'!BE7)</f>
        <v>5</v>
      </c>
      <c r="BF7" s="79">
        <f>((0 + 'BRAWLERS OFICIAL'!BF7)-'BRAWLERS OFICIAL'!BF7)/($BQ7/5)</f>
        <v>0</v>
      </c>
      <c r="BG7" s="79">
        <f>((0 + 'BRAWLERS OFICIAL'!BG7)-'BRAWLERS OFICIAL'!BG7)/($BQ7/5)</f>
        <v>0</v>
      </c>
      <c r="BH7" s="79">
        <f>((( 0 )/2 + 'BRAWLERS OFICIAL'!BH7)-'BRAWLERS OFICIAL'!BH7)</f>
        <v>0</v>
      </c>
      <c r="BI7" s="79">
        <f>((0 + 'BRAWLERS OFICIAL'!BI7)-'BRAWLERS OFICIAL'!BI7)/($BQ7/5)</f>
        <v>0</v>
      </c>
      <c r="BJ7" s="79">
        <f>((( 0 )/2 + 'BRAWLERS OFICIAL'!BJ7)-'BRAWLERS OFICIAL'!BJ7)</f>
        <v>0</v>
      </c>
      <c r="BK7" s="79">
        <f>((( 0 )/3 + 'BRAWLERS OFICIAL'!BK7)-'BRAWLERS OFICIAL'!BK7)</f>
        <v>0</v>
      </c>
      <c r="BL7" s="79">
        <f>((( 0 )/2 + 'BRAWLERS OFICIAL'!BL7)-'BRAWLERS OFICIAL'!BL7)</f>
        <v>0</v>
      </c>
      <c r="BM7" s="79">
        <f>((0 + 'BRAWLERS OFICIAL'!BM7)-'BRAWLERS OFICIAL'!BM7)/($BQ7/5)</f>
        <v>0</v>
      </c>
      <c r="BN7" s="79">
        <f>((0 + 'BRAWLERS OFICIAL'!BN7)-'BRAWLERS OFICIAL'!BN7)/($BQ7/5)</f>
        <v>0</v>
      </c>
      <c r="BO7" s="79">
        <f>((0 + 'BRAWLERS OFICIAL'!BO7)-'BRAWLERS OFICIAL'!BO7)/($BQ7/5)</f>
        <v>0</v>
      </c>
      <c r="BQ7" s="79">
        <v>20</v>
      </c>
    </row>
    <row r="8" spans="1:69">
      <c r="B8" s="77" t="s">
        <v>428</v>
      </c>
      <c r="C8" s="67" t="s">
        <v>44</v>
      </c>
      <c r="D8" s="131" t="s">
        <v>378</v>
      </c>
      <c r="E8" s="131" t="s">
        <v>377</v>
      </c>
      <c r="F8" s="79">
        <f>((0 + 'BRAWLERS OFICIAL'!F8)-'BRAWLERS OFICIAL'!F8)/($BQ8/5)</f>
        <v>0</v>
      </c>
      <c r="G8" s="79">
        <f>((0 + 'BRAWLERS OFICIAL'!G8)-'BRAWLERS OFICIAL'!G8)/($BQ8/5)</f>
        <v>0</v>
      </c>
      <c r="H8" s="79">
        <f>((0 + 'BRAWLERS OFICIAL'!H8)-'BRAWLERS OFICIAL'!H8)/($BQ8/5)</f>
        <v>0</v>
      </c>
      <c r="I8" s="79">
        <f>((0 + 'BRAWLERS OFICIAL'!I8)-'BRAWLERS OFICIAL'!I8)/($BQ8/5)</f>
        <v>0</v>
      </c>
      <c r="J8" s="79">
        <f>((0 + 'BRAWLERS OFICIAL'!J8)-'BRAWLERS OFICIAL'!J8)/($BQ8/5)</f>
        <v>0</v>
      </c>
      <c r="K8" s="79">
        <f>((0 + 'BRAWLERS OFICIAL'!K8)-'BRAWLERS OFICIAL'!K8)/($BQ8/5)</f>
        <v>0</v>
      </c>
      <c r="L8" s="79">
        <f>((0 + 'BRAWLERS OFICIAL'!L8)-'BRAWLERS OFICIAL'!L8)/($BQ8/5)</f>
        <v>0</v>
      </c>
      <c r="M8" s="79">
        <f>((0 + 'BRAWLERS OFICIAL'!M8)-'BRAWLERS OFICIAL'!M8)/($BQ8/5)</f>
        <v>0</v>
      </c>
      <c r="N8" s="79">
        <f>((0 + 'BRAWLERS OFICIAL'!N8)-'BRAWLERS OFICIAL'!N8)/($BQ8/5)</f>
        <v>0</v>
      </c>
      <c r="O8" s="79">
        <f>((0 + 'BRAWLERS OFICIAL'!O8)-'BRAWLERS OFICIAL'!O8)/($BQ8/5)</f>
        <v>0</v>
      </c>
      <c r="P8" s="79">
        <f>((0 + 'BRAWLERS OFICIAL'!P8)-'BRAWLERS OFICIAL'!P8)/($BQ8/5)</f>
        <v>0</v>
      </c>
      <c r="Q8" s="79">
        <f>((0 + 'BRAWLERS OFICIAL'!Q8)-'BRAWLERS OFICIAL'!Q8)/($BQ8/5)</f>
        <v>0</v>
      </c>
      <c r="R8" s="79">
        <f>((0 + 'BRAWLERS OFICIAL'!R8)-'BRAWLERS OFICIAL'!R8)/($BQ8/5)</f>
        <v>0</v>
      </c>
      <c r="S8" s="79">
        <f>((0 + 'BRAWLERS OFICIAL'!S8)-'BRAWLERS OFICIAL'!S8)/($BQ8/5)</f>
        <v>0</v>
      </c>
      <c r="T8" s="79">
        <f>((0 + 'BRAWLERS OFICIAL'!T8)-'BRAWLERS OFICIAL'!T8)/($BQ8/5)</f>
        <v>0</v>
      </c>
      <c r="U8" s="79">
        <f>((0 + 'BRAWLERS OFICIAL'!U8)-'BRAWLERS OFICIAL'!U8)/($BQ8/5)</f>
        <v>0</v>
      </c>
      <c r="V8" s="79">
        <f>((0 + 'BRAWLERS OFICIAL'!V8)-'BRAWLERS OFICIAL'!V8)/($BQ8/5)</f>
        <v>0</v>
      </c>
      <c r="W8" s="79">
        <f>(0 + 'BRAWLERS OFICIAL'!W8)-'BRAWLERS OFICIAL'!W8</f>
        <v>0</v>
      </c>
      <c r="X8" s="121">
        <f>(( 0 + 'BRAWLERS OFICIAL'!X8 + AP8 + AY8/3.5 )-'BRAWLERS OFICIAL'!X8)/($BQ8/5)</f>
        <v>0</v>
      </c>
      <c r="Y8" s="80">
        <f>((0 + 'BRAWLERS OFICIAL'!Y8)-'BRAWLERS OFICIAL'!Y8)/($BQ8/5)</f>
        <v>0</v>
      </c>
      <c r="Z8" s="80">
        <f>(((7.5 + 7 + 4)/3)-'BRAWLERS OFICIAL'!Z8)</f>
        <v>0.83333333333333393</v>
      </c>
      <c r="AA8" s="80">
        <f>((0 + 'BRAWLERS OFICIAL'!AA8)-'BRAWLERS OFICIAL'!AA8)/($BQ8/5)</f>
        <v>0</v>
      </c>
      <c r="AB8" s="80">
        <f>((0 + 'BRAWLERS OFICIAL'!AB8)-'BRAWLERS OFICIAL'!AB8)/($BQ8/5)</f>
        <v>0</v>
      </c>
      <c r="AC8" s="80">
        <f>(((9 + 2 + 6 + 1)/4 + 'BRAWLERS OFICIAL'!AC8)-'BRAWLERS OFICIAL'!AC8)/($BQ8/5)</f>
        <v>1.0714285714285714</v>
      </c>
      <c r="AD8" s="80">
        <f>((1 + 'BRAWLERS OFICIAL'!AD8)-'BRAWLERS OFICIAL'!AD8)/($BQ8/5)</f>
        <v>0.23809523809523808</v>
      </c>
      <c r="AE8" s="80">
        <f>((0 + 'BRAWLERS OFICIAL'!AE8)-'BRAWLERS OFICIAL'!AE8)/($BQ8/5)</f>
        <v>0</v>
      </c>
      <c r="AF8" s="80">
        <f>((0 + 'BRAWLERS OFICIAL'!AF8)-'BRAWLERS OFICIAL'!AF8)/($BQ8/5)</f>
        <v>0</v>
      </c>
      <c r="AG8" s="80">
        <f>((0 + 'BRAWLERS OFICIAL'!AG8)-'BRAWLERS OFICIAL'!AG8)</f>
        <v>0</v>
      </c>
      <c r="AH8" s="80">
        <f>((0 + 'BRAWLERS OFICIAL'!AH8)-'BRAWLERS OFICIAL'!AH8)</f>
        <v>0</v>
      </c>
      <c r="AI8" s="80">
        <f>((0 + 'BRAWLERS OFICIAL'!AI8)-'BRAWLERS OFICIAL'!AI8)</f>
        <v>0</v>
      </c>
      <c r="AJ8" s="80">
        <f>((0 + 'BRAWLERS OFICIAL'!AJ8)-'BRAWLERS OFICIAL'!AJ8)/($BQ8/5)</f>
        <v>0</v>
      </c>
      <c r="AK8" s="80">
        <f>((0 + 'BRAWLERS OFICIAL'!AK8)-'BRAWLERS OFICIAL'!AK8)/($BQ8/5)</f>
        <v>0</v>
      </c>
      <c r="AL8" s="80">
        <f>(((BK8/5+1)*AK8 + 'BRAWLERS OFICIAL'!AL8)-'BRAWLERS OFICIAL'!AL8)/($BQ8/5)</f>
        <v>0</v>
      </c>
      <c r="AM8" s="80">
        <f>IF( 0 = (1-1), (1-1), ((0 + 'BRAWLERS OFICIAL'!AM8)/1.5)-'BRAWLERS OFICIAL'!AM8 )</f>
        <v>0</v>
      </c>
      <c r="AN8" s="80">
        <f t="shared" si="0"/>
        <v>0</v>
      </c>
      <c r="AO8" s="80">
        <f>((0 + 'BRAWLERS OFICIAL'!AO8)-'BRAWLERS OFICIAL'!AO8)/($BQ8/5)</f>
        <v>0</v>
      </c>
      <c r="AP8" s="80">
        <f>((0/1000 + 'BRAWLERS OFICIAL'!AP8)-'BRAWLERS OFICIAL'!AP8)</f>
        <v>0</v>
      </c>
      <c r="AQ8" s="80">
        <f>((0 + 'BRAWLERS OFICIAL'!AQ8)-'BRAWLERS OFICIAL'!AQ8)</f>
        <v>0</v>
      </c>
      <c r="AR8" s="80">
        <f>IF( 0 = (1-1), (1-1), ((0 + 'BRAWLERS OFICIAL'!AR8)/1.5) )</f>
        <v>0</v>
      </c>
      <c r="AS8" s="80">
        <f>IF( 0 = (1-1), (1-1), ((0 + 'BRAWLERS OFICIAL'!AS8)/1.5) )</f>
        <v>0</v>
      </c>
      <c r="AT8" s="80">
        <f>IF( 0 = (1-1), (1-1), ((0 + 'BRAWLERS OFICIAL'!AT8)/2) )</f>
        <v>0</v>
      </c>
      <c r="AU8" s="80">
        <f>((0 + 'BRAWLERS OFICIAL'!AU8)-'BRAWLERS OFICIAL'!AU8)/($BQ8/5)</f>
        <v>0</v>
      </c>
      <c r="AV8" s="80">
        <f>(((0)/4 + 'BRAWLERS OFICIAL'!AV8)-'BRAWLERS OFICIAL'!AV8)</f>
        <v>0</v>
      </c>
      <c r="AW8" s="80">
        <v>0</v>
      </c>
      <c r="AX8" s="80" t="s">
        <v>390</v>
      </c>
      <c r="AY8" s="79">
        <f>((( 0 )/3 + 'BRAWLERS OFICIAL'!AY8)-'BRAWLERS OFICIAL'!AY8)</f>
        <v>0</v>
      </c>
      <c r="AZ8" s="79">
        <f>((( 0 )/2 + 'BRAWLERS OFICIAL'!AZ8)-'BRAWLERS OFICIAL'!AZ8)/($BQ8/5)</f>
        <v>0</v>
      </c>
      <c r="BA8" s="79">
        <f>((( 0 )/2 + 'BRAWLERS OFICIAL'!BA8)-'BRAWLERS OFICIAL'!BA8)</f>
        <v>0</v>
      </c>
      <c r="BB8" s="79">
        <f>((( 0 )/3 + 'BRAWLERS OFICIAL'!BB8)-'BRAWLERS OFICIAL'!BB8)</f>
        <v>0</v>
      </c>
      <c r="BC8" s="79">
        <f>((( 0 )/2 + 'BRAWLERS OFICIAL'!BC8)-'BRAWLERS OFICIAL'!BC8)/($BQ8/5)</f>
        <v>0</v>
      </c>
      <c r="BD8" s="79">
        <f>((( 0 )/3 + 'BRAWLERS OFICIAL'!BD8)-'BRAWLERS OFICIAL'!BD8)</f>
        <v>0</v>
      </c>
      <c r="BE8" s="79">
        <f>((( 0 )/3 + 'BRAWLERS OFICIAL'!BE8)-'BRAWLERS OFICIAL'!BE8)</f>
        <v>0</v>
      </c>
      <c r="BF8" s="79">
        <f>((0 + 'BRAWLERS OFICIAL'!BF8)-'BRAWLERS OFICIAL'!BF8)/($BQ8/5)</f>
        <v>0</v>
      </c>
      <c r="BG8" s="79">
        <f>((0 + 'BRAWLERS OFICIAL'!BG8)-'BRAWLERS OFICIAL'!BG8)/($BQ8/5)</f>
        <v>0</v>
      </c>
      <c r="BH8" s="79">
        <f>((( 0 )/2 + 'BRAWLERS OFICIAL'!BH8)-'BRAWLERS OFICIAL'!BH8)</f>
        <v>0</v>
      </c>
      <c r="BI8" s="79">
        <f>((0 + 'BRAWLERS OFICIAL'!BI8)-'BRAWLERS OFICIAL'!BI8)/($BQ8/5)</f>
        <v>0</v>
      </c>
      <c r="BJ8" s="79">
        <f>((( 0 )/2 + 'BRAWLERS OFICIAL'!BJ8)-'BRAWLERS OFICIAL'!BJ8)</f>
        <v>0</v>
      </c>
      <c r="BK8" s="79">
        <f>((( 0 )/3 + 'BRAWLERS OFICIAL'!BK8)-'BRAWLERS OFICIAL'!BK8)</f>
        <v>0</v>
      </c>
      <c r="BL8" s="79">
        <f>((( 0 )/2 + 'BRAWLERS OFICIAL'!BL8)-'BRAWLERS OFICIAL'!BL8)</f>
        <v>0</v>
      </c>
      <c r="BM8" s="79">
        <f>((0 + 'BRAWLERS OFICIAL'!BM8)-'BRAWLERS OFICIAL'!BM8)/($BQ8/5)</f>
        <v>0</v>
      </c>
      <c r="BN8" s="79">
        <f>((0 + 'BRAWLERS OFICIAL'!BN8)-'BRAWLERS OFICIAL'!BN8)/($BQ8/5)</f>
        <v>0</v>
      </c>
      <c r="BO8" s="79">
        <f>((0 + 'BRAWLERS OFICIAL'!BO8)-'BRAWLERS OFICIAL'!BO8)/($BQ8/5)</f>
        <v>0</v>
      </c>
      <c r="BQ8" s="79">
        <v>21</v>
      </c>
    </row>
    <row r="9" spans="1:69">
      <c r="B9" s="77" t="s">
        <v>429</v>
      </c>
      <c r="C9" s="81" t="s">
        <v>95</v>
      </c>
      <c r="D9" s="132" t="s">
        <v>363</v>
      </c>
      <c r="E9" s="132" t="s">
        <v>383</v>
      </c>
      <c r="F9" s="79">
        <f>((0 + 'BRAWLERS OFICIAL'!F9)-'BRAWLERS OFICIAL'!F9)/($BQ9/5)</f>
        <v>0</v>
      </c>
      <c r="G9" s="79">
        <f>((0 + 'BRAWLERS OFICIAL'!G9)-'BRAWLERS OFICIAL'!G9)/($BQ9/5)</f>
        <v>0</v>
      </c>
      <c r="H9" s="79">
        <f>((0 + 'BRAWLERS OFICIAL'!H9)-'BRAWLERS OFICIAL'!H9)/($BQ9/5)</f>
        <v>0</v>
      </c>
      <c r="I9" s="79">
        <f>((0 + 'BRAWLERS OFICIAL'!I9)-'BRAWLERS OFICIAL'!I9)/($BQ9/5)</f>
        <v>0</v>
      </c>
      <c r="J9" s="79">
        <f>((0 + 'BRAWLERS OFICIAL'!J9)-'BRAWLERS OFICIAL'!J9)/($BQ9/5)</f>
        <v>0</v>
      </c>
      <c r="K9" s="79">
        <f>((0 + 'BRAWLERS OFICIAL'!K9)-'BRAWLERS OFICIAL'!K9)/($BQ9/5)</f>
        <v>0</v>
      </c>
      <c r="L9" s="79">
        <f>((5)-'BRAWLERS OFICIAL'!L9)/($BQ9/5)</f>
        <v>0.55555555555555558</v>
      </c>
      <c r="M9" s="79">
        <f>((2.5)-'BRAWLERS OFICIAL'!M9)/($BQ9/5)</f>
        <v>0.27777777777777779</v>
      </c>
      <c r="N9" s="79">
        <f>((2)-'BRAWLERS OFICIAL'!N9)/($BQ9/5)</f>
        <v>0.55555555555555558</v>
      </c>
      <c r="O9" s="79">
        <f>((0 + 'BRAWLERS OFICIAL'!O9)-'BRAWLERS OFICIAL'!O9)/($BQ9/5)</f>
        <v>0</v>
      </c>
      <c r="P9" s="79">
        <f>((0 + 'BRAWLERS OFICIAL'!P9)-'BRAWLERS OFICIAL'!P9)/($BQ9/5)</f>
        <v>0</v>
      </c>
      <c r="Q9" s="79">
        <f>((0 + 'BRAWLERS OFICIAL'!Q9)-'BRAWLERS OFICIAL'!Q9)/($BQ9/5)</f>
        <v>0</v>
      </c>
      <c r="R9" s="79">
        <f>((0 + 'BRAWLERS OFICIAL'!R9)-'BRAWLERS OFICIAL'!R9)/($BQ9/5)</f>
        <v>0</v>
      </c>
      <c r="S9" s="79">
        <f>((0 + 'BRAWLERS OFICIAL'!S9)-'BRAWLERS OFICIAL'!S9)/($BQ9/5)</f>
        <v>0</v>
      </c>
      <c r="T9" s="79">
        <f>((0 + 'BRAWLERS OFICIAL'!T9)-'BRAWLERS OFICIAL'!T9)/($BQ9/5)</f>
        <v>0</v>
      </c>
      <c r="U9" s="79">
        <f>((0 + 'BRAWLERS OFICIAL'!U9)-'BRAWLERS OFICIAL'!U9)/($BQ9/5)</f>
        <v>0</v>
      </c>
      <c r="V9" s="79">
        <f>((0 + 'BRAWLERS OFICIAL'!V9)-'BRAWLERS OFICIAL'!V9)/($BQ9/5)</f>
        <v>0</v>
      </c>
      <c r="W9" s="79">
        <f>(0 + 'BRAWLERS OFICIAL'!W9)-'BRAWLERS OFICIAL'!W9</f>
        <v>0</v>
      </c>
      <c r="X9" s="121">
        <f>(( 0 + 'BRAWLERS OFICIAL'!X9 + AP9 + AY9/3.5 )-'BRAWLERS OFICIAL'!X9)/($BQ9/5)</f>
        <v>0</v>
      </c>
      <c r="Y9" s="80">
        <f>((2 + 'BRAWLERS OFICIAL'!Y9)-'BRAWLERS OFICIAL'!Y9)/($BQ9/5)</f>
        <v>0.55555555555555558</v>
      </c>
      <c r="Z9" s="80">
        <f>(((0)/3 + 'BRAWLERS OFICIAL'!Z9)-'BRAWLERS OFICIAL'!Z9)</f>
        <v>0</v>
      </c>
      <c r="AA9" s="80">
        <f>((0 + 'BRAWLERS OFICIAL'!AA9)-'BRAWLERS OFICIAL'!AA9)/($BQ9/5)</f>
        <v>0</v>
      </c>
      <c r="AB9" s="80">
        <f>((0 + 'BRAWLERS OFICIAL'!AB9)-'BRAWLERS OFICIAL'!AB9)/($BQ9/5)</f>
        <v>0</v>
      </c>
      <c r="AC9" s="80">
        <f>(((0)/4 + 'BRAWLERS OFICIAL'!AC9)-'BRAWLERS OFICIAL'!AC9)/($BQ9/5)</f>
        <v>0</v>
      </c>
      <c r="AD9" s="80">
        <f>((0 + 'BRAWLERS OFICIAL'!AD9)-'BRAWLERS OFICIAL'!AD9)/($BQ9/5)</f>
        <v>0</v>
      </c>
      <c r="AE9" s="80">
        <f>((0 + 'BRAWLERS OFICIAL'!AE9)-'BRAWLERS OFICIAL'!AE9)/($BQ9/5)</f>
        <v>0</v>
      </c>
      <c r="AF9" s="80">
        <f>((0 + 'BRAWLERS OFICIAL'!AF9)-'BRAWLERS OFICIAL'!AF9)/($BQ9/5)</f>
        <v>0</v>
      </c>
      <c r="AG9" s="80">
        <f>((0 + 'BRAWLERS OFICIAL'!AG9)-'BRAWLERS OFICIAL'!AG9)</f>
        <v>0</v>
      </c>
      <c r="AH9" s="80">
        <f>((0 + 'BRAWLERS OFICIAL'!AH9)-'BRAWLERS OFICIAL'!AH9)</f>
        <v>0</v>
      </c>
      <c r="AI9" s="80">
        <f>((0 + 'BRAWLERS OFICIAL'!AI9)-'BRAWLERS OFICIAL'!AI9)</f>
        <v>0</v>
      </c>
      <c r="AJ9" s="80">
        <f>((0 + 'BRAWLERS OFICIAL'!AJ9)-'BRAWLERS OFICIAL'!AJ9)/($BQ9/5)</f>
        <v>0</v>
      </c>
      <c r="AK9" s="80">
        <f>((0 + 'BRAWLERS OFICIAL'!AK9)-'BRAWLERS OFICIAL'!AK9)/($BQ9/5)</f>
        <v>0</v>
      </c>
      <c r="AL9" s="80">
        <f>(((BK9/5+1)*AK9 + 'BRAWLERS OFICIAL'!AL9)-'BRAWLERS OFICIAL'!AL9)/($BQ9/5)</f>
        <v>0</v>
      </c>
      <c r="AM9" s="80">
        <f>IF( 0 = (1-1), (1-1), ((0 + 'BRAWLERS OFICIAL'!AM9)/1.5)-'BRAWLERS OFICIAL'!AM9 )</f>
        <v>0</v>
      </c>
      <c r="AN9" s="80">
        <f t="shared" si="0"/>
        <v>0</v>
      </c>
      <c r="AO9" s="80">
        <f>((0 + 'BRAWLERS OFICIAL'!AO9)-'BRAWLERS OFICIAL'!AO9)/($BQ9/5)</f>
        <v>0</v>
      </c>
      <c r="AP9" s="80">
        <f>((0/1000 + 'BRAWLERS OFICIAL'!AP9)-'BRAWLERS OFICIAL'!AP9)</f>
        <v>0</v>
      </c>
      <c r="AQ9" s="80">
        <f>((0 + 'BRAWLERS OFICIAL'!AQ9)-'BRAWLERS OFICIAL'!AQ9)</f>
        <v>0</v>
      </c>
      <c r="AR9" s="80">
        <f>IF( 0 = (1-1), (1-1), ((0 + 'BRAWLERS OFICIAL'!AR9)/1.5) )</f>
        <v>0</v>
      </c>
      <c r="AS9" s="80">
        <f>IF( 0 = (1-1), (1-1), ((0 + 'BRAWLERS OFICIAL'!AS9)/1.5) )</f>
        <v>0</v>
      </c>
      <c r="AT9" s="80">
        <f>IF( 0 = (1-1), (1-1), ((0 + 'BRAWLERS OFICIAL'!AT9)/2) )</f>
        <v>0</v>
      </c>
      <c r="AU9" s="80">
        <f>((0 + 'BRAWLERS OFICIAL'!AU9)-'BRAWLERS OFICIAL'!AU9)/($BQ9/5)</f>
        <v>0</v>
      </c>
      <c r="AV9" s="80">
        <f>(((0)/4 + 'BRAWLERS OFICIAL'!AV9)-'BRAWLERS OFICIAL'!AV9)</f>
        <v>0</v>
      </c>
      <c r="AW9" s="80">
        <v>0</v>
      </c>
      <c r="AX9" s="80" t="s">
        <v>390</v>
      </c>
      <c r="AY9" s="79">
        <f>((( 0 )/3 + 'BRAWLERS OFICIAL'!AY9)-'BRAWLERS OFICIAL'!AY9)</f>
        <v>0</v>
      </c>
      <c r="AZ9" s="79">
        <f>((( 0 )/2 + 'BRAWLERS OFICIAL'!AZ9)-'BRAWLERS OFICIAL'!AZ9)/($BQ9/5)</f>
        <v>0</v>
      </c>
      <c r="BA9" s="79">
        <f>((( 0 )/2 + 'BRAWLERS OFICIAL'!BA9)-'BRAWLERS OFICIAL'!BA9)</f>
        <v>0</v>
      </c>
      <c r="BB9" s="79">
        <f>((( 0 )/3 + 'BRAWLERS OFICIAL'!BB9)-'BRAWLERS OFICIAL'!BB9)</f>
        <v>0</v>
      </c>
      <c r="BC9" s="79">
        <f>((( 0 )/2 + 'BRAWLERS OFICIAL'!BC9)-'BRAWLERS OFICIAL'!BC9)/($BQ9/5)</f>
        <v>0</v>
      </c>
      <c r="BD9" s="79">
        <f>((( 0 )/3 + 'BRAWLERS OFICIAL'!BD9)-'BRAWLERS OFICIAL'!BD9)</f>
        <v>0</v>
      </c>
      <c r="BE9" s="79">
        <f>((( 0 )/3 + 'BRAWLERS OFICIAL'!BE9)-'BRAWLERS OFICIAL'!BE9)</f>
        <v>0</v>
      </c>
      <c r="BF9" s="79">
        <f>((0 + 'BRAWLERS OFICIAL'!BF9)-'BRAWLERS OFICIAL'!BF9)/($BQ9/5)</f>
        <v>0</v>
      </c>
      <c r="BG9" s="79">
        <f>((0 + 'BRAWLERS OFICIAL'!BG9)-'BRAWLERS OFICIAL'!BG9)/($BQ9/5)</f>
        <v>0</v>
      </c>
      <c r="BH9" s="79">
        <f>((( 0 )/2 + 'BRAWLERS OFICIAL'!BH9)-'BRAWLERS OFICIAL'!BH9)</f>
        <v>0</v>
      </c>
      <c r="BI9" s="79">
        <f>((0 + 'BRAWLERS OFICIAL'!BI9)-'BRAWLERS OFICIAL'!BI9)/($BQ9/5)</f>
        <v>0</v>
      </c>
      <c r="BJ9" s="79">
        <f>((( 0 )/2 + 'BRAWLERS OFICIAL'!BJ9)-'BRAWLERS OFICIAL'!BJ9)</f>
        <v>0</v>
      </c>
      <c r="BK9" s="79">
        <f>((( 5.5 + 5 + 3 )/3 + 'BRAWLERS OFICIAL'!BK9)-'BRAWLERS OFICIAL'!BK9)</f>
        <v>4.5</v>
      </c>
      <c r="BL9" s="79">
        <f>((( 0 )/2 + 'BRAWLERS OFICIAL'!BL9)-'BRAWLERS OFICIAL'!BL9)</f>
        <v>0</v>
      </c>
      <c r="BM9" s="79">
        <f>((0 + 'BRAWLERS OFICIAL'!BM9)-'BRAWLERS OFICIAL'!BM9)/($BQ9/5)</f>
        <v>0</v>
      </c>
      <c r="BN9" s="79">
        <f>((0 + 'BRAWLERS OFICIAL'!BN9)-'BRAWLERS OFICIAL'!BN9)/($BQ9/5)</f>
        <v>0</v>
      </c>
      <c r="BO9" s="79">
        <f>((0 + 'BRAWLERS OFICIAL'!BO9)-'BRAWLERS OFICIAL'!BO9)/($BQ9/5)</f>
        <v>0</v>
      </c>
      <c r="BQ9" s="79">
        <v>18</v>
      </c>
    </row>
    <row r="10" spans="1:69">
      <c r="B10" s="77" t="s">
        <v>430</v>
      </c>
      <c r="C10" s="81" t="s">
        <v>87</v>
      </c>
      <c r="D10" s="132" t="s">
        <v>390</v>
      </c>
      <c r="E10" s="132" t="s">
        <v>389</v>
      </c>
      <c r="F10" s="79">
        <f>((0 + 'BRAWLERS OFICIAL'!F10)-'BRAWLERS OFICIAL'!F10)/($BQ10/5)</f>
        <v>0</v>
      </c>
      <c r="G10" s="79">
        <f>((0 + 'BRAWLERS OFICIAL'!G10)-'BRAWLERS OFICIAL'!G10)/($BQ10/5)</f>
        <v>0</v>
      </c>
      <c r="H10" s="79">
        <f>((0 + 'BRAWLERS OFICIAL'!H10)-'BRAWLERS OFICIAL'!H10)/($BQ10/5)</f>
        <v>0</v>
      </c>
      <c r="I10" s="79">
        <f>((0 + 'BRAWLERS OFICIAL'!I10)-'BRAWLERS OFICIAL'!I10)/($BQ10/5)</f>
        <v>0</v>
      </c>
      <c r="J10" s="79">
        <f>((0 + 'BRAWLERS OFICIAL'!J10)-'BRAWLERS OFICIAL'!J10)/($BQ10/5)</f>
        <v>0</v>
      </c>
      <c r="K10" s="79">
        <f>((0 + 'BRAWLERS OFICIAL'!K10)-'BRAWLERS OFICIAL'!K10)/($BQ10/5)</f>
        <v>0</v>
      </c>
      <c r="L10" s="79">
        <f>((0 + 'BRAWLERS OFICIAL'!L10)-'BRAWLERS OFICIAL'!L10)/($BQ10/5)</f>
        <v>0</v>
      </c>
      <c r="M10" s="79">
        <f>((0 + 'BRAWLERS OFICIAL'!M10)-'BRAWLERS OFICIAL'!M10)/($BQ10/5)</f>
        <v>0</v>
      </c>
      <c r="N10" s="79">
        <f>((0 + 'BRAWLERS OFICIAL'!N10)-'BRAWLERS OFICIAL'!N10)/($BQ10/5)</f>
        <v>0</v>
      </c>
      <c r="O10" s="79">
        <f>((0 + 'BRAWLERS OFICIAL'!O10)-'BRAWLERS OFICIAL'!O10)/($BQ10/5)</f>
        <v>0</v>
      </c>
      <c r="P10" s="79">
        <f>((0 + 'BRAWLERS OFICIAL'!P10)-'BRAWLERS OFICIAL'!P10)/($BQ10/5)</f>
        <v>0</v>
      </c>
      <c r="Q10" s="79">
        <f>((0 + 'BRAWLERS OFICIAL'!Q10)-'BRAWLERS OFICIAL'!Q10)/($BQ10/5)</f>
        <v>0</v>
      </c>
      <c r="R10" s="79">
        <f>((0 + 'BRAWLERS OFICIAL'!R10)-'BRAWLERS OFICIAL'!R10)/($BQ10/5)</f>
        <v>0</v>
      </c>
      <c r="S10" s="79">
        <f>((0 + 'BRAWLERS OFICIAL'!S10)-'BRAWLERS OFICIAL'!S10)/($BQ10/5)</f>
        <v>0</v>
      </c>
      <c r="T10" s="79">
        <f>((0 + 'BRAWLERS OFICIAL'!T10)-'BRAWLERS OFICIAL'!T10)/($BQ10/5)</f>
        <v>0</v>
      </c>
      <c r="U10" s="79">
        <f>((0 + 'BRAWLERS OFICIAL'!U10)-'BRAWLERS OFICIAL'!U10)/($BQ10/5)</f>
        <v>0</v>
      </c>
      <c r="V10" s="79">
        <f>((0 + 'BRAWLERS OFICIAL'!V10)-'BRAWLERS OFICIAL'!V10)/($BQ10/5)</f>
        <v>0</v>
      </c>
      <c r="W10" s="79">
        <f>(0 + 'BRAWLERS OFICIAL'!W10)-'BRAWLERS OFICIAL'!W10</f>
        <v>0</v>
      </c>
      <c r="X10" s="121">
        <f>(( 0 + 'BRAWLERS OFICIAL'!X10 + AP10 + AY10/3.5 )-'BRAWLERS OFICIAL'!X10)/($BQ10/5)</f>
        <v>0</v>
      </c>
      <c r="Y10" s="80">
        <f>((0 + 'BRAWLERS OFICIAL'!Y10)-'BRAWLERS OFICIAL'!Y10)/($BQ10/5)</f>
        <v>0</v>
      </c>
      <c r="Z10" s="80">
        <f>(((0)/3 + 'BRAWLERS OFICIAL'!Z10)-'BRAWLERS OFICIAL'!Z10)</f>
        <v>0</v>
      </c>
      <c r="AA10" s="80">
        <f>((0 + 'BRAWLERS OFICIAL'!AA10)-'BRAWLERS OFICIAL'!AA10)/($BQ10/5)</f>
        <v>0</v>
      </c>
      <c r="AB10" s="80">
        <f>((0 + 'BRAWLERS OFICIAL'!AB10)-'BRAWLERS OFICIAL'!AB10)/($BQ10/5)</f>
        <v>0</v>
      </c>
      <c r="AC10" s="80">
        <f>(((0)/4 + 'BRAWLERS OFICIAL'!AC10)-'BRAWLERS OFICIAL'!AC10)/($BQ10/5)</f>
        <v>0</v>
      </c>
      <c r="AD10" s="80">
        <f>((0 + 'BRAWLERS OFICIAL'!AD10)-'BRAWLERS OFICIAL'!AD10)/($BQ10/5)</f>
        <v>0</v>
      </c>
      <c r="AE10" s="80">
        <f>((0 + 'BRAWLERS OFICIAL'!AE10)-'BRAWLERS OFICIAL'!AE10)/($BQ10/5)</f>
        <v>0</v>
      </c>
      <c r="AF10" s="80">
        <f>((0 + 'BRAWLERS OFICIAL'!AF10)-'BRAWLERS OFICIAL'!AF10)/($BQ10/5)</f>
        <v>0</v>
      </c>
      <c r="AG10" s="80">
        <f>((0 + 'BRAWLERS OFICIAL'!AG10)-'BRAWLERS OFICIAL'!AG10)</f>
        <v>0</v>
      </c>
      <c r="AH10" s="80">
        <f>((0 + 'BRAWLERS OFICIAL'!AH10)-'BRAWLERS OFICIAL'!AH10)</f>
        <v>0</v>
      </c>
      <c r="AI10" s="80">
        <f>((0 + 'BRAWLERS OFICIAL'!AI10)-'BRAWLERS OFICIAL'!AI10)</f>
        <v>0</v>
      </c>
      <c r="AJ10" s="80">
        <f>((0 + 'BRAWLERS OFICIAL'!AJ10)-'BRAWLERS OFICIAL'!AJ10)/($BQ10/5)</f>
        <v>0</v>
      </c>
      <c r="AK10" s="80">
        <f>((0 + 'BRAWLERS OFICIAL'!AK10)-'BRAWLERS OFICIAL'!AK10)/($BQ10/5)</f>
        <v>0</v>
      </c>
      <c r="AL10" s="80">
        <f>(((BK10/5+1)*AK10 + 'BRAWLERS OFICIAL'!AL10)-'BRAWLERS OFICIAL'!AL10)/($BQ10/5)</f>
        <v>0</v>
      </c>
      <c r="AM10" s="80">
        <f>IF( 0 = (1-1), (1-1), ((0 + 'BRAWLERS OFICIAL'!AM10)/1.5)-'BRAWLERS OFICIAL'!AM10 )</f>
        <v>0</v>
      </c>
      <c r="AN10" s="80">
        <f t="shared" si="0"/>
        <v>0</v>
      </c>
      <c r="AO10" s="80">
        <f>((0 + 'BRAWLERS OFICIAL'!AO10)-'BRAWLERS OFICIAL'!AO10)/($BQ10/5)</f>
        <v>0</v>
      </c>
      <c r="AP10" s="80">
        <f>((0/1000 + 'BRAWLERS OFICIAL'!AP10)-'BRAWLERS OFICIAL'!AP10)</f>
        <v>0</v>
      </c>
      <c r="AQ10" s="80">
        <f>((0 + 'BRAWLERS OFICIAL'!AQ10)-'BRAWLERS OFICIAL'!AQ10)</f>
        <v>0</v>
      </c>
      <c r="AR10" s="80">
        <f>IF( 0 = (1-1), (1-1), ((0 + 'BRAWLERS OFICIAL'!AR10)/1.5) )</f>
        <v>0</v>
      </c>
      <c r="AS10" s="80">
        <f>IF( 0 = (1-1), (1-1), ((0 + 'BRAWLERS OFICIAL'!AS10)/1.5) )</f>
        <v>0</v>
      </c>
      <c r="AT10" s="80">
        <f>IF( 0 = (1-1), (1-1), ((0 + 'BRAWLERS OFICIAL'!AT10)/2) )</f>
        <v>0</v>
      </c>
      <c r="AU10" s="80">
        <f>((0 + 'BRAWLERS OFICIAL'!AU10)-'BRAWLERS OFICIAL'!AU10)/($BQ10/5)</f>
        <v>0</v>
      </c>
      <c r="AV10" s="80">
        <f>(((0)/4 + 'BRAWLERS OFICIAL'!AV10)-'BRAWLERS OFICIAL'!AV10)</f>
        <v>0</v>
      </c>
      <c r="AW10" s="80">
        <v>0</v>
      </c>
      <c r="AX10" s="80" t="s">
        <v>390</v>
      </c>
      <c r="AY10" s="79">
        <f>((( 0 )/3 + 'BRAWLERS OFICIAL'!AY10)-'BRAWLERS OFICIAL'!AY10)</f>
        <v>0</v>
      </c>
      <c r="AZ10" s="79">
        <f>((( 0 )/2 + 'BRAWLERS OFICIAL'!AZ10)-'BRAWLERS OFICIAL'!AZ10)/($BQ10/5)</f>
        <v>0</v>
      </c>
      <c r="BA10" s="79">
        <f>((( 0 )/2 + 'BRAWLERS OFICIAL'!BA10)-'BRAWLERS OFICIAL'!BA10)</f>
        <v>0</v>
      </c>
      <c r="BB10" s="79">
        <f>((( 0 )/3 + 'BRAWLERS OFICIAL'!BB10)-'BRAWLERS OFICIAL'!BB10)</f>
        <v>0</v>
      </c>
      <c r="BC10" s="79">
        <f>((( 0 )/2 + 'BRAWLERS OFICIAL'!BC10)-'BRAWLERS OFICIAL'!BC10)/($BQ10/5)</f>
        <v>0</v>
      </c>
      <c r="BD10" s="79">
        <f>((( 0 )/3 + 'BRAWLERS OFICIAL'!BD10)-'BRAWLERS OFICIAL'!BD10)</f>
        <v>0</v>
      </c>
      <c r="BE10" s="79">
        <f>((( 0 )/3 + 'BRAWLERS OFICIAL'!BE10)-'BRAWLERS OFICIAL'!BE10)</f>
        <v>0</v>
      </c>
      <c r="BF10" s="79">
        <f>((0 + 'BRAWLERS OFICIAL'!BF10)-'BRAWLERS OFICIAL'!BF10)/($BQ10/5)</f>
        <v>0</v>
      </c>
      <c r="BG10" s="79">
        <f>((0 + 'BRAWLERS OFICIAL'!BG10)-'BRAWLERS OFICIAL'!BG10)/($BQ10/5)</f>
        <v>0</v>
      </c>
      <c r="BH10" s="79">
        <f>((( 10 + 5.5 )/2 + 'BRAWLERS OFICIAL'!BH10)-'BRAWLERS OFICIAL'!BH10)</f>
        <v>7.75</v>
      </c>
      <c r="BI10" s="79">
        <f>((0 + 'BRAWLERS OFICIAL'!BI10)-'BRAWLERS OFICIAL'!BI10)/($BQ10/5)</f>
        <v>0</v>
      </c>
      <c r="BJ10" s="79">
        <f>((( 10 + 5.5 )/2 + 'BRAWLERS OFICIAL'!BJ10)-'BRAWLERS OFICIAL'!BJ10)</f>
        <v>7.75</v>
      </c>
      <c r="BK10" s="79">
        <f>((( 0 )/3 + 'BRAWLERS OFICIAL'!BK10)-'BRAWLERS OFICIAL'!BK10)</f>
        <v>0</v>
      </c>
      <c r="BL10" s="79">
        <f>((( 10 + 5.5 )/2 + 'BRAWLERS OFICIAL'!BL10)-'BRAWLERS OFICIAL'!BL10)</f>
        <v>7.75</v>
      </c>
      <c r="BM10" s="79">
        <f>((0 + 'BRAWLERS OFICIAL'!BM10)-'BRAWLERS OFICIAL'!BM10)/($BQ10/5)</f>
        <v>0</v>
      </c>
      <c r="BN10" s="79">
        <f>((0 + 'BRAWLERS OFICIAL'!BN10)-'BRAWLERS OFICIAL'!BN10)/($BQ10/5)</f>
        <v>0</v>
      </c>
      <c r="BO10" s="79">
        <f>((0 + 'BRAWLERS OFICIAL'!BO10)-'BRAWLERS OFICIAL'!BO10)/($BQ10/5)</f>
        <v>0</v>
      </c>
      <c r="BQ10" s="79">
        <v>18</v>
      </c>
    </row>
    <row r="11" spans="1:69">
      <c r="B11" s="77" t="s">
        <v>431</v>
      </c>
      <c r="C11" s="67" t="s">
        <v>15</v>
      </c>
      <c r="D11" s="131" t="s">
        <v>384</v>
      </c>
      <c r="E11" s="131" t="s">
        <v>351</v>
      </c>
      <c r="F11" s="79">
        <f>((0 + 'BRAWLERS OFICIAL'!F11)-'BRAWLERS OFICIAL'!F11)/($BQ11/5)</f>
        <v>0</v>
      </c>
      <c r="G11" s="79">
        <f>((0 + 'BRAWLERS OFICIAL'!G11)-'BRAWLERS OFICIAL'!G11)/($BQ11/5)</f>
        <v>0</v>
      </c>
      <c r="H11" s="79">
        <f>((0 + 'BRAWLERS OFICIAL'!H11)-'BRAWLERS OFICIAL'!H11)/($BQ11/5)</f>
        <v>0</v>
      </c>
      <c r="I11" s="79">
        <f>((0 + 'BRAWLERS OFICIAL'!I11)-'BRAWLERS OFICIAL'!I11)/($BQ11/5)</f>
        <v>0</v>
      </c>
      <c r="J11" s="79">
        <f>((2*'BRAWLERS OFICIAL'!J11)-'BRAWLERS OFICIAL'!J11)/($BQ11/5)</f>
        <v>2.5</v>
      </c>
      <c r="K11" s="79">
        <f>((0 + 'BRAWLERS OFICIAL'!K11)-'BRAWLERS OFICIAL'!K11)/($BQ11/5)</f>
        <v>0</v>
      </c>
      <c r="L11" s="79">
        <f>((0 + 'BRAWLERS OFICIAL'!L11)-'BRAWLERS OFICIAL'!L11)/($BQ11/5)</f>
        <v>0</v>
      </c>
      <c r="M11" s="79">
        <f>((0 + 'BRAWLERS OFICIAL'!M11)-'BRAWLERS OFICIAL'!M11)/($BQ11/5)</f>
        <v>0</v>
      </c>
      <c r="N11" s="79">
        <f>((0 + 'BRAWLERS OFICIAL'!N11)-'BRAWLERS OFICIAL'!N11)/($BQ11/5)</f>
        <v>0</v>
      </c>
      <c r="O11" s="79">
        <f>((0 + 'BRAWLERS OFICIAL'!O11)-'BRAWLERS OFICIAL'!O11)/($BQ11/5)</f>
        <v>0</v>
      </c>
      <c r="P11" s="79">
        <f>((0 + 'BRAWLERS OFICIAL'!P11)-'BRAWLERS OFICIAL'!P11)/($BQ11/5)</f>
        <v>0</v>
      </c>
      <c r="Q11" s="79">
        <f>((0 + 'BRAWLERS OFICIAL'!Q11)-'BRAWLERS OFICIAL'!Q11)/($BQ11/5)</f>
        <v>0</v>
      </c>
      <c r="R11" s="79">
        <f>((0 + 'BRAWLERS OFICIAL'!R11)-'BRAWLERS OFICIAL'!R11)/($BQ11/5)</f>
        <v>0</v>
      </c>
      <c r="S11" s="79">
        <f>((0 + 'BRAWLERS OFICIAL'!S11)-'BRAWLERS OFICIAL'!S11)/($BQ11/5)</f>
        <v>0</v>
      </c>
      <c r="T11" s="79">
        <f>((0 + 'BRAWLERS OFICIAL'!T11)-'BRAWLERS OFICIAL'!T11)/($BQ11/5)</f>
        <v>0</v>
      </c>
      <c r="U11" s="79">
        <f>((0 + 'BRAWLERS OFICIAL'!U11)-'BRAWLERS OFICIAL'!U11)/($BQ11/5)</f>
        <v>0</v>
      </c>
      <c r="V11" s="79">
        <f>((0 + 'BRAWLERS OFICIAL'!V11)-'BRAWLERS OFICIAL'!V11)/($BQ11/5)</f>
        <v>0</v>
      </c>
      <c r="W11" s="79">
        <v>0</v>
      </c>
      <c r="X11" s="121">
        <f>(( 0 + 'BRAWLERS OFICIAL'!X11 + AP11 + AY11/3.5 )-'BRAWLERS OFICIAL'!X11)/($BQ11/5)</f>
        <v>1.0119047619047616</v>
      </c>
      <c r="Y11" s="80">
        <f>((0 + 'BRAWLERS OFICIAL'!Y11)-'BRAWLERS OFICIAL'!Y11)/($BQ11/5)</f>
        <v>0</v>
      </c>
      <c r="Z11" s="80">
        <f>(((0)/3 + 'BRAWLERS OFICIAL'!Z11)-'BRAWLERS OFICIAL'!Z11)</f>
        <v>0</v>
      </c>
      <c r="AA11" s="80">
        <f>((0 + 'BRAWLERS OFICIAL'!AA11)-'BRAWLERS OFICIAL'!AA11)/($BQ11/5)</f>
        <v>0</v>
      </c>
      <c r="AB11" s="80">
        <f>((0 + 'BRAWLERS OFICIAL'!AB11)-'BRAWLERS OFICIAL'!AB11)/($BQ11/5)</f>
        <v>0</v>
      </c>
      <c r="AC11" s="80">
        <f>(((6 + 1 + 12 + 5)/4)-'BRAWLERS OFICIAL'!AC11)/($BQ11/5)</f>
        <v>0.625</v>
      </c>
      <c r="AD11" s="80">
        <f>((0 + 'BRAWLERS OFICIAL'!AD11)-'BRAWLERS OFICIAL'!AD11)/($BQ11/5)</f>
        <v>0</v>
      </c>
      <c r="AE11" s="80">
        <f>((0 + 'BRAWLERS OFICIAL'!AE11)-'BRAWLERS OFICIAL'!AE11)/($BQ11/5)</f>
        <v>0</v>
      </c>
      <c r="AF11" s="80">
        <f>((0 + 'BRAWLERS OFICIAL'!AF11)-'BRAWLERS OFICIAL'!AF11)/($BQ11/5)</f>
        <v>0</v>
      </c>
      <c r="AG11" s="80">
        <f>((0 + 'BRAWLERS OFICIAL'!AG11)-'BRAWLERS OFICIAL'!AG11)</f>
        <v>0</v>
      </c>
      <c r="AH11" s="80">
        <f>((0 + 'BRAWLERS OFICIAL'!AH11)-'BRAWLERS OFICIAL'!AH11)</f>
        <v>0</v>
      </c>
      <c r="AI11" s="80">
        <f>((0 + 'BRAWLERS OFICIAL'!AI11)-'BRAWLERS OFICIAL'!AI11)</f>
        <v>0</v>
      </c>
      <c r="AJ11" s="80">
        <f>((0 + 'BRAWLERS OFICIAL'!AJ11)-'BRAWLERS OFICIAL'!AJ11)/($BQ11/5)</f>
        <v>0</v>
      </c>
      <c r="AK11" s="80">
        <f>((0 + 'BRAWLERS OFICIAL'!AK11)-'BRAWLERS OFICIAL'!AK11)/($BQ11/5)</f>
        <v>0</v>
      </c>
      <c r="AL11" s="80">
        <f>(((BK11/5+1)*AK11 + 'BRAWLERS OFICIAL'!AL11)-'BRAWLERS OFICIAL'!AL11)/($BQ11/5)</f>
        <v>0</v>
      </c>
      <c r="AM11" s="80">
        <f>IF( 0 = (1-1), (1-1), ((0 + 'BRAWLERS OFICIAL'!AM11)/1.5)-'BRAWLERS OFICIAL'!AM11 )</f>
        <v>0</v>
      </c>
      <c r="AN11" s="80">
        <f t="shared" si="0"/>
        <v>0</v>
      </c>
      <c r="AO11" s="80">
        <f>((0 + 'BRAWLERS OFICIAL'!AO11)-'BRAWLERS OFICIAL'!AO11)/($BQ11/5)</f>
        <v>0</v>
      </c>
      <c r="AP11" s="80">
        <f>((0/1000 + 'BRAWLERS OFICIAL'!AP11)-'BRAWLERS OFICIAL'!AP11)</f>
        <v>0</v>
      </c>
      <c r="AQ11" s="80">
        <f>((0 + 'BRAWLERS OFICIAL'!AQ11)-'BRAWLERS OFICIAL'!AQ11)</f>
        <v>0</v>
      </c>
      <c r="AR11" s="80">
        <f>IF( 0 = (1-1), (1-1), ((0 + 'BRAWLERS OFICIAL'!AR11)/1.5) )</f>
        <v>0</v>
      </c>
      <c r="AS11" s="80">
        <f>IF( 0 = (1-1), (1-1), ((0 + 'BRAWLERS OFICIAL'!AS11)/1.5) )</f>
        <v>0</v>
      </c>
      <c r="AT11" s="80">
        <f>IF( 0 = (1-1), (1-1), ((0 + 'BRAWLERS OFICIAL'!AT11)/2) )</f>
        <v>0</v>
      </c>
      <c r="AU11" s="80">
        <f>((0 + 'BRAWLERS OFICIAL'!AU11)-'BRAWLERS OFICIAL'!AU11)/($BQ11/5)</f>
        <v>0</v>
      </c>
      <c r="AV11" s="80">
        <f>(((0)/4 + 'BRAWLERS OFICIAL'!AV11)-'BRAWLERS OFICIAL'!AV11)</f>
        <v>0</v>
      </c>
      <c r="AW11" s="80">
        <v>0</v>
      </c>
      <c r="AX11" s="80" t="s">
        <v>390</v>
      </c>
      <c r="AY11" s="79">
        <f>((( 6.5 + 16 + 3 )/3 + 'BRAWLERS OFICIAL'!AY11)-'BRAWLERS OFICIAL'!AY11)</f>
        <v>8.5</v>
      </c>
      <c r="AZ11" s="79">
        <f>((( 0 )/2 + 'BRAWLERS OFICIAL'!AZ11)-'BRAWLERS OFICIAL'!AZ11)/($BQ11/5)</f>
        <v>0</v>
      </c>
      <c r="BA11" s="79">
        <f>((( 0 )/2 + 'BRAWLERS OFICIAL'!BA11)-'BRAWLERS OFICIAL'!BA11)</f>
        <v>0</v>
      </c>
      <c r="BB11" s="79">
        <f>((( 0 )/3 + 'BRAWLERS OFICIAL'!BB11)-'BRAWLERS OFICIAL'!BB11)</f>
        <v>0</v>
      </c>
      <c r="BC11" s="79">
        <f>((( 0 )/2 + 'BRAWLERS OFICIAL'!BC11)-'BRAWLERS OFICIAL'!BC11)/($BQ11/5)</f>
        <v>0</v>
      </c>
      <c r="BD11" s="79">
        <f>((( 0 )/3 + 'BRAWLERS OFICIAL'!BD11)-'BRAWLERS OFICIAL'!BD11)</f>
        <v>0</v>
      </c>
      <c r="BE11" s="79">
        <f>((( 0 )/3 + 'BRAWLERS OFICIAL'!BE11)-'BRAWLERS OFICIAL'!BE11)</f>
        <v>0</v>
      </c>
      <c r="BF11" s="79">
        <f>((0 + 'BRAWLERS OFICIAL'!BF11)-'BRAWLERS OFICIAL'!BF11)/($BQ11/5)</f>
        <v>0</v>
      </c>
      <c r="BG11" s="79">
        <f>((0 + 'BRAWLERS OFICIAL'!BG11)-'BRAWLERS OFICIAL'!BG11)/($BQ11/5)</f>
        <v>0</v>
      </c>
      <c r="BH11" s="79">
        <f>((( 0 )/2 + 'BRAWLERS OFICIAL'!BH11)-'BRAWLERS OFICIAL'!BH11)</f>
        <v>0</v>
      </c>
      <c r="BI11" s="79">
        <f>((0 + 'BRAWLERS OFICIAL'!BI11)-'BRAWLERS OFICIAL'!BI11)/($BQ11/5)</f>
        <v>0</v>
      </c>
      <c r="BJ11" s="79">
        <f>((( 0 )/2 + 'BRAWLERS OFICIAL'!BJ11)-'BRAWLERS OFICIAL'!BJ11)</f>
        <v>0</v>
      </c>
      <c r="BK11" s="79">
        <f>((( 0 )/3 + 'BRAWLERS OFICIAL'!BK11)-'BRAWLERS OFICIAL'!BK11)</f>
        <v>0</v>
      </c>
      <c r="BL11" s="79">
        <f>((( 0 )/2 + 'BRAWLERS OFICIAL'!BL11)-'BRAWLERS OFICIAL'!BL11)</f>
        <v>0</v>
      </c>
      <c r="BM11" s="79">
        <f>((0 + 'BRAWLERS OFICIAL'!BM11)-'BRAWLERS OFICIAL'!BM11)/($BQ11/5)</f>
        <v>0</v>
      </c>
      <c r="BN11" s="79">
        <f>((0 + 'BRAWLERS OFICIAL'!BN11)-'BRAWLERS OFICIAL'!BN11)/($BQ11/5)</f>
        <v>0</v>
      </c>
      <c r="BO11" s="79">
        <f>((0 + 'BRAWLERS OFICIAL'!BO11)-'BRAWLERS OFICIAL'!BO11)/($BQ11/5)</f>
        <v>0</v>
      </c>
      <c r="BQ11" s="79">
        <v>12</v>
      </c>
    </row>
    <row r="12" spans="1:69">
      <c r="B12" s="77" t="s">
        <v>432</v>
      </c>
      <c r="C12" s="81" t="s">
        <v>43</v>
      </c>
      <c r="D12" s="132" t="s">
        <v>325</v>
      </c>
      <c r="E12" s="132" t="s">
        <v>365</v>
      </c>
      <c r="F12" s="79">
        <f>((0 + 'BRAWLERS OFICIAL'!F12)-'BRAWLERS OFICIAL'!F12)/($BQ12/5)</f>
        <v>0</v>
      </c>
      <c r="G12" s="79">
        <f>((0 + 'BRAWLERS OFICIAL'!G12)-'BRAWLERS OFICIAL'!G12)/($BQ12/5)</f>
        <v>0</v>
      </c>
      <c r="H12" s="79">
        <f>((0 + 'BRAWLERS OFICIAL'!H12)-'BRAWLERS OFICIAL'!H12)/($BQ12/5)</f>
        <v>0</v>
      </c>
      <c r="I12" s="79">
        <f>((0 + 'BRAWLERS OFICIAL'!I12)-'BRAWLERS OFICIAL'!I12)/($BQ12/5)</f>
        <v>0</v>
      </c>
      <c r="J12" s="79">
        <f>((0 + 'BRAWLERS OFICIAL'!J12)-'BRAWLERS OFICIAL'!J12)/($BQ12/5)</f>
        <v>0</v>
      </c>
      <c r="K12" s="79">
        <f>((0 + 'BRAWLERS OFICIAL'!K12)-'BRAWLERS OFICIAL'!K12)/($BQ12/5)</f>
        <v>0</v>
      </c>
      <c r="L12" s="79">
        <f>((0 + 'BRAWLERS OFICIAL'!L12)-'BRAWLERS OFICIAL'!L12)/($BQ12/5)</f>
        <v>0</v>
      </c>
      <c r="M12" s="79">
        <f>((0 + 'BRAWLERS OFICIAL'!M12)-'BRAWLERS OFICIAL'!M12)/($BQ12/5)</f>
        <v>0</v>
      </c>
      <c r="N12" s="79">
        <f>((0 + 'BRAWLERS OFICIAL'!N12)-'BRAWLERS OFICIAL'!N12)/($BQ12/5)</f>
        <v>0</v>
      </c>
      <c r="O12" s="79">
        <f>((0 + 'BRAWLERS OFICIAL'!O12)-'BRAWLERS OFICIAL'!O12)/($BQ12/5)</f>
        <v>0</v>
      </c>
      <c r="P12" s="79">
        <f>((0 + 'BRAWLERS OFICIAL'!P12)-'BRAWLERS OFICIAL'!P12)/($BQ12/5)</f>
        <v>0</v>
      </c>
      <c r="Q12" s="79">
        <f>((0 + 'BRAWLERS OFICIAL'!Q12)-'BRAWLERS OFICIAL'!Q12)/($BQ12/5)</f>
        <v>0</v>
      </c>
      <c r="R12" s="79">
        <f>((0 + 'BRAWLERS OFICIAL'!R12)-'BRAWLERS OFICIAL'!R12)/($BQ12/5)</f>
        <v>0</v>
      </c>
      <c r="S12" s="79">
        <f>((0 + 'BRAWLERS OFICIAL'!S12)-'BRAWLERS OFICIAL'!S12)/($BQ12/5)</f>
        <v>0</v>
      </c>
      <c r="T12" s="79">
        <f>((0 + 'BRAWLERS OFICIAL'!T12)-'BRAWLERS OFICIAL'!T12)/($BQ12/5)</f>
        <v>0</v>
      </c>
      <c r="U12" s="79">
        <f>((0 + 'BRAWLERS OFICIAL'!U12)-'BRAWLERS OFICIAL'!U12)/($BQ12/5)</f>
        <v>0</v>
      </c>
      <c r="V12" s="79">
        <f>((0 + 'BRAWLERS OFICIAL'!V12)-'BRAWLERS OFICIAL'!V12)/($BQ12/5)</f>
        <v>0</v>
      </c>
      <c r="W12" s="79">
        <f>(0 + 'BRAWLERS OFICIAL'!W12)-'BRAWLERS OFICIAL'!W12</f>
        <v>0</v>
      </c>
      <c r="X12" s="121">
        <f>(( 0 + 'BRAWLERS OFICIAL'!X12 + AP12 + AY12/3.5 )-'BRAWLERS OFICIAL'!X12)/($BQ12/5)</f>
        <v>0</v>
      </c>
      <c r="Y12" s="80">
        <f>((2 + 'BRAWLERS OFICIAL'!Y12)-'BRAWLERS OFICIAL'!Y12)/($BQ12/5)</f>
        <v>0.5</v>
      </c>
      <c r="Z12" s="80">
        <f>(((0)/3 + 'BRAWLERS OFICIAL'!Z12)-'BRAWLERS OFICIAL'!Z12)</f>
        <v>0</v>
      </c>
      <c r="AA12" s="80">
        <f>((0 + 'BRAWLERS OFICIAL'!AA12)-'BRAWLERS OFICIAL'!AA12)/($BQ12/5)</f>
        <v>0</v>
      </c>
      <c r="AB12" s="80">
        <f>((0 + 'BRAWLERS OFICIAL'!AB12)-'BRAWLERS OFICIAL'!AB12)/($BQ12/5)</f>
        <v>0</v>
      </c>
      <c r="AC12" s="80">
        <f>(((0)/4 + 'BRAWLERS OFICIAL'!AC12)-'BRAWLERS OFICIAL'!AC12)/($BQ12/5)</f>
        <v>0</v>
      </c>
      <c r="AD12" s="80">
        <f>((7 + 'BRAWLERS OFICIAL'!AD12)-'BRAWLERS OFICIAL'!AD12)/($BQ12/5)</f>
        <v>1.75</v>
      </c>
      <c r="AE12" s="80">
        <f>((0 + 'BRAWLERS OFICIAL'!AE12)-'BRAWLERS OFICIAL'!AE12)/($BQ12/5)</f>
        <v>0</v>
      </c>
      <c r="AF12" s="80">
        <f>((0 + 'BRAWLERS OFICIAL'!AF12)-'BRAWLERS OFICIAL'!AF12)/($BQ12/5)</f>
        <v>0</v>
      </c>
      <c r="AG12" s="80">
        <f>((0 + 'BRAWLERS OFICIAL'!AG12)-'BRAWLERS OFICIAL'!AG12)</f>
        <v>0</v>
      </c>
      <c r="AH12" s="80">
        <f>((0 + 'BRAWLERS OFICIAL'!AH12)-'BRAWLERS OFICIAL'!AH12)</f>
        <v>0</v>
      </c>
      <c r="AI12" s="80">
        <f>((0 + 'BRAWLERS OFICIAL'!AI12)-'BRAWLERS OFICIAL'!AI12)</f>
        <v>0</v>
      </c>
      <c r="AJ12" s="80">
        <f>((0 + 'BRAWLERS OFICIAL'!AJ12)-'BRAWLERS OFICIAL'!AJ12)/($BQ12/5)</f>
        <v>0</v>
      </c>
      <c r="AK12" s="80">
        <f>((0 + 'BRAWLERS OFICIAL'!AK12)-'BRAWLERS OFICIAL'!AK12)/($BQ12/5)</f>
        <v>0</v>
      </c>
      <c r="AL12" s="80">
        <f>(((BK12/5+1)*AK12 + 'BRAWLERS OFICIAL'!AL12)-'BRAWLERS OFICIAL'!AL12)/($BQ12/5)</f>
        <v>0</v>
      </c>
      <c r="AM12" s="80">
        <f>IF( 0 = (1-1), (1-1), ((0 + 'BRAWLERS OFICIAL'!AM12)/1.5)-'BRAWLERS OFICIAL'!AM12 )</f>
        <v>0</v>
      </c>
      <c r="AN12" s="80">
        <f t="shared" si="0"/>
        <v>0</v>
      </c>
      <c r="AO12" s="80">
        <f>((0 + 'BRAWLERS OFICIAL'!AO12)-'BRAWLERS OFICIAL'!AO12)/($BQ12/5)</f>
        <v>0</v>
      </c>
      <c r="AP12" s="80">
        <f>((0/1000 + 'BRAWLERS OFICIAL'!AP12)-'BRAWLERS OFICIAL'!AP12)</f>
        <v>0</v>
      </c>
      <c r="AQ12" s="80">
        <f>((0 + 'BRAWLERS OFICIAL'!AQ12)-'BRAWLERS OFICIAL'!AQ12)</f>
        <v>0</v>
      </c>
      <c r="AR12" s="80">
        <f>IF( 0 = (1-1), (1-1), ((0 + 'BRAWLERS OFICIAL'!AR12)/1.5) )</f>
        <v>0</v>
      </c>
      <c r="AS12" s="80">
        <f>IF( 0 = (1-1), (1-1), ((0 + 'BRAWLERS OFICIAL'!AS12)/1.5) )</f>
        <v>0</v>
      </c>
      <c r="AT12" s="80">
        <f>IF( 0 = (1-1), (1-1), ((0 + 'BRAWLERS OFICIAL'!AT12)/2) )</f>
        <v>0</v>
      </c>
      <c r="AU12" s="80">
        <f>((0 + 'BRAWLERS OFICIAL'!AU12)-'BRAWLERS OFICIAL'!AU12)/($BQ12/5)</f>
        <v>0</v>
      </c>
      <c r="AV12" s="80">
        <f>(((0)/4 + 'BRAWLERS OFICIAL'!AV12)-'BRAWLERS OFICIAL'!AV12)</f>
        <v>0</v>
      </c>
      <c r="AW12" s="80">
        <v>0</v>
      </c>
      <c r="AX12" s="80" t="s">
        <v>390</v>
      </c>
      <c r="AY12" s="79">
        <f>((( 0 )/3 + 'BRAWLERS OFICIAL'!AY12)-'BRAWLERS OFICIAL'!AY12)</f>
        <v>0</v>
      </c>
      <c r="AZ12" s="79">
        <f>((( 0 )/2 + 'BRAWLERS OFICIAL'!AZ12)-'BRAWLERS OFICIAL'!AZ12)/($BQ12/5)</f>
        <v>0</v>
      </c>
      <c r="BA12" s="79">
        <f>((( 0 )/2 + 'BRAWLERS OFICIAL'!BA12)-'BRAWLERS OFICIAL'!BA12)</f>
        <v>0</v>
      </c>
      <c r="BB12" s="79">
        <f>((( 0 )/3 + 'BRAWLERS OFICIAL'!BB12)-'BRAWLERS OFICIAL'!BB12)</f>
        <v>0</v>
      </c>
      <c r="BC12" s="79">
        <f>((( 0 )/2 + 'BRAWLERS OFICIAL'!BC12)-'BRAWLERS OFICIAL'!BC12)/($BQ12/5)</f>
        <v>0</v>
      </c>
      <c r="BD12" s="79">
        <f>((( 0 )/3 + 'BRAWLERS OFICIAL'!BD12)-'BRAWLERS OFICIAL'!BD12)</f>
        <v>0</v>
      </c>
      <c r="BE12" s="79">
        <f>((( 0 )/3 + 'BRAWLERS OFICIAL'!BE12)-'BRAWLERS OFICIAL'!BE12)</f>
        <v>0</v>
      </c>
      <c r="BF12" s="79">
        <f>((0 + 'BRAWLERS OFICIAL'!BF12)-'BRAWLERS OFICIAL'!BF12)/($BQ12/5)</f>
        <v>0</v>
      </c>
      <c r="BG12" s="79">
        <f>((0 + 'BRAWLERS OFICIAL'!BG12)-'BRAWLERS OFICIAL'!BG12)/($BQ12/5)</f>
        <v>0</v>
      </c>
      <c r="BH12" s="79">
        <f>((( 0 )/2 + 'BRAWLERS OFICIAL'!BH12)-'BRAWLERS OFICIAL'!BH12)</f>
        <v>0</v>
      </c>
      <c r="BI12" s="79">
        <f>(( 2 + 'BRAWLERS OFICIAL'!BI12)-'BRAWLERS OFICIAL'!BI12)/($BQ12/5)</f>
        <v>0.5</v>
      </c>
      <c r="BJ12" s="79">
        <f>((( 0 )/2 + 'BRAWLERS OFICIAL'!BJ12)-'BRAWLERS OFICIAL'!BJ12)</f>
        <v>0</v>
      </c>
      <c r="BK12" s="79">
        <f>((( 5 + 5 + 4 )/3 + 'BRAWLERS OFICIAL'!BK12)-'BRAWLERS OFICIAL'!BK12)</f>
        <v>4.666666666666667</v>
      </c>
      <c r="BL12" s="79">
        <f>((( 0 )/2 + 'BRAWLERS OFICIAL'!BL12)-'BRAWLERS OFICIAL'!BL12)</f>
        <v>0</v>
      </c>
      <c r="BM12" s="79">
        <f>((6 + 'BRAWLERS OFICIAL'!BM12)-'BRAWLERS OFICIAL'!BM12)/($BQ12/5)</f>
        <v>1.5</v>
      </c>
      <c r="BN12" s="79">
        <f>((0 + 'BRAWLERS OFICIAL'!BN12)-'BRAWLERS OFICIAL'!BN12)/($BQ12/5)</f>
        <v>0</v>
      </c>
      <c r="BO12" s="79">
        <f>((0 + 'BRAWLERS OFICIAL'!BO12)-'BRAWLERS OFICIAL'!BO12)/($BQ12/5)</f>
        <v>0</v>
      </c>
      <c r="BQ12" s="79">
        <v>20</v>
      </c>
    </row>
    <row r="13" spans="1:69">
      <c r="B13" s="77" t="s">
        <v>433</v>
      </c>
      <c r="C13" s="67" t="s">
        <v>93</v>
      </c>
      <c r="D13" s="131" t="s">
        <v>361</v>
      </c>
      <c r="E13" s="131" t="s">
        <v>383</v>
      </c>
      <c r="F13" s="79">
        <f>((0 + 'BRAWLERS OFICIAL'!F13)-'BRAWLERS OFICIAL'!F13)/($BQ13/5)</f>
        <v>0</v>
      </c>
      <c r="G13" s="79">
        <f>((0 + 'BRAWLERS OFICIAL'!G13)-'BRAWLERS OFICIAL'!G13)/($BQ13/5)</f>
        <v>0</v>
      </c>
      <c r="H13" s="79">
        <f>((0 + 'BRAWLERS OFICIAL'!H13)-'BRAWLERS OFICIAL'!H13)/($BQ13/5)</f>
        <v>0</v>
      </c>
      <c r="I13" s="79">
        <f>((0 + 'BRAWLERS OFICIAL'!I13)-'BRAWLERS OFICIAL'!I13)/($BQ13/5)</f>
        <v>0</v>
      </c>
      <c r="J13" s="79">
        <f>((0 + 'BRAWLERS OFICIAL'!J13)-'BRAWLERS OFICIAL'!J13)/($BQ13/5)</f>
        <v>0</v>
      </c>
      <c r="K13" s="79">
        <f>((0 + 'BRAWLERS OFICIAL'!K13)-'BRAWLERS OFICIAL'!K13)/($BQ13/5)</f>
        <v>0</v>
      </c>
      <c r="L13" s="79">
        <f>((0 + 'BRAWLERS OFICIAL'!L13)-'BRAWLERS OFICIAL'!L13)/($BQ13/5)</f>
        <v>0</v>
      </c>
      <c r="M13" s="79">
        <f>((0 + 'BRAWLERS OFICIAL'!M13)-'BRAWLERS OFICIAL'!M13)/($BQ13/5)</f>
        <v>0</v>
      </c>
      <c r="N13" s="79">
        <f>((0 + 'BRAWLERS OFICIAL'!N13)-'BRAWLERS OFICIAL'!N13)/($BQ13/5)</f>
        <v>0</v>
      </c>
      <c r="O13" s="79">
        <f>((0 + 'BRAWLERS OFICIAL'!O13)-'BRAWLERS OFICIAL'!O13)/($BQ13/5)</f>
        <v>0</v>
      </c>
      <c r="P13" s="79">
        <f>((0 + 'BRAWLERS OFICIAL'!P13)-'BRAWLERS OFICIAL'!P13)/($BQ13/5)</f>
        <v>0</v>
      </c>
      <c r="Q13" s="79">
        <f>((0 + 'BRAWLERS OFICIAL'!Q13)-'BRAWLERS OFICIAL'!Q13)/($BQ13/5)</f>
        <v>0</v>
      </c>
      <c r="R13" s="79">
        <f>((0 + 'BRAWLERS OFICIAL'!R13)-'BRAWLERS OFICIAL'!R13)/($BQ13/5)</f>
        <v>0</v>
      </c>
      <c r="S13" s="79">
        <f>((0 + 'BRAWLERS OFICIAL'!S13)-'BRAWLERS OFICIAL'!S13)/($BQ13/5)</f>
        <v>0</v>
      </c>
      <c r="T13" s="79">
        <f>((0 + 'BRAWLERS OFICIAL'!T13)-'BRAWLERS OFICIAL'!T13)/($BQ13/5)</f>
        <v>0</v>
      </c>
      <c r="U13" s="79">
        <f>((0 + 'BRAWLERS OFICIAL'!U13)-'BRAWLERS OFICIAL'!U13)/($BQ13/5)</f>
        <v>0</v>
      </c>
      <c r="V13" s="79">
        <f>((0 + 'BRAWLERS OFICIAL'!V13)-'BRAWLERS OFICIAL'!V13)/($BQ13/5)</f>
        <v>0</v>
      </c>
      <c r="W13" s="79">
        <f>(0 + 'BRAWLERS OFICIAL'!W13)-'BRAWLERS OFICIAL'!W13</f>
        <v>0</v>
      </c>
      <c r="X13" s="121">
        <f>(( 0 + 'BRAWLERS OFICIAL'!X13 + AP13 + AY13/3.5 )-'BRAWLERS OFICIAL'!X13)/($BQ13/5)</f>
        <v>0</v>
      </c>
      <c r="Y13" s="80">
        <f>((0 + 'BRAWLERS OFICIAL'!Y13)-'BRAWLERS OFICIAL'!Y13)/($BQ13/5)</f>
        <v>0</v>
      </c>
      <c r="Z13" s="80">
        <f>(((0)/3 + 'BRAWLERS OFICIAL'!Z13)-'BRAWLERS OFICIAL'!Z13)</f>
        <v>0</v>
      </c>
      <c r="AA13" s="80">
        <f>((0 + 'BRAWLERS OFICIAL'!AA13)-'BRAWLERS OFICIAL'!AA13)/($BQ13/5)</f>
        <v>0</v>
      </c>
      <c r="AB13" s="80">
        <f>((0 + 'BRAWLERS OFICIAL'!AB13)-'BRAWLERS OFICIAL'!AB13)/($BQ13/5)</f>
        <v>0</v>
      </c>
      <c r="AC13" s="80">
        <f>(((0)/4 + 'BRAWLERS OFICIAL'!AC13)-'BRAWLERS OFICIAL'!AC13)/($BQ13/5)</f>
        <v>0</v>
      </c>
      <c r="AD13" s="80">
        <f>((0 + 'BRAWLERS OFICIAL'!AD13)-'BRAWLERS OFICIAL'!AD13)/($BQ13/5)</f>
        <v>0</v>
      </c>
      <c r="AE13" s="80">
        <f>((0 + 'BRAWLERS OFICIAL'!AE13)-'BRAWLERS OFICIAL'!AE13)/($BQ13/5)</f>
        <v>0</v>
      </c>
      <c r="AF13" s="80">
        <f>((0 + 'BRAWLERS OFICIAL'!AF13)-'BRAWLERS OFICIAL'!AF13)/($BQ13/5)</f>
        <v>0</v>
      </c>
      <c r="AG13" s="80">
        <f>((0 + 'BRAWLERS OFICIAL'!AG13)-'BRAWLERS OFICIAL'!AG13)</f>
        <v>0</v>
      </c>
      <c r="AH13" s="80">
        <f>((0 + 'BRAWLERS OFICIAL'!AH13)-'BRAWLERS OFICIAL'!AH13)</f>
        <v>0</v>
      </c>
      <c r="AI13" s="80">
        <f>((0 + 'BRAWLERS OFICIAL'!AI13)-'BRAWLERS OFICIAL'!AI13)</f>
        <v>0</v>
      </c>
      <c r="AJ13" s="80">
        <f>((0 + 'BRAWLERS OFICIAL'!AJ13)-'BRAWLERS OFICIAL'!AJ13)/($BQ13/5)</f>
        <v>0</v>
      </c>
      <c r="AK13" s="80">
        <f>((0 + 'BRAWLERS OFICIAL'!AK13)-'BRAWLERS OFICIAL'!AK13)/($BQ13/5)</f>
        <v>0</v>
      </c>
      <c r="AL13" s="80">
        <f>(((BK13/5+1)*AK13 + 'BRAWLERS OFICIAL'!AL13)-'BRAWLERS OFICIAL'!AL13)/($BQ13/5)</f>
        <v>0</v>
      </c>
      <c r="AM13" s="80">
        <f>IF( 0 = (1-1), (1-1), ((0 + 'BRAWLERS OFICIAL'!AM13)/1.5)-'BRAWLERS OFICIAL'!AM13 )</f>
        <v>0</v>
      </c>
      <c r="AN13" s="80">
        <f t="shared" si="0"/>
        <v>0</v>
      </c>
      <c r="AO13" s="80">
        <f>((0 + 'BRAWLERS OFICIAL'!AO13)-'BRAWLERS OFICIAL'!AO13)/($BQ13/5)</f>
        <v>0</v>
      </c>
      <c r="AP13" s="80">
        <f>((0/1000 + 'BRAWLERS OFICIAL'!AP13)-'BRAWLERS OFICIAL'!AP13)</f>
        <v>0</v>
      </c>
      <c r="AQ13" s="80">
        <f>((0 + 'BRAWLERS OFICIAL'!AQ13)-'BRAWLERS OFICIAL'!AQ13)</f>
        <v>0</v>
      </c>
      <c r="AR13" s="80">
        <f>IF( 0 = (1-1), (1-1), ((0 + 'BRAWLERS OFICIAL'!AR13)/1.5) )</f>
        <v>0</v>
      </c>
      <c r="AS13" s="80">
        <f>IF( 0 = (1-1), (1-1), ((0 + 'BRAWLERS OFICIAL'!AS13)/1.5) )</f>
        <v>0</v>
      </c>
      <c r="AT13" s="80">
        <f>IF( 0 = (1-1), (1-1), ((0 + 'BRAWLERS OFICIAL'!AT13)/2) )</f>
        <v>0</v>
      </c>
      <c r="AU13" s="80">
        <f>((0 + 'BRAWLERS OFICIAL'!AU13)-'BRAWLERS OFICIAL'!AU13)/($BQ13/5)</f>
        <v>0</v>
      </c>
      <c r="AV13" s="80">
        <f>(((0)/4 + 'BRAWLERS OFICIAL'!AV13)-'BRAWLERS OFICIAL'!AV13)</f>
        <v>0</v>
      </c>
      <c r="AW13" s="80">
        <v>0</v>
      </c>
      <c r="AX13" s="80" t="s">
        <v>390</v>
      </c>
      <c r="AY13" s="79">
        <f>((( 0 )/3 + 'BRAWLERS OFICIAL'!AY13)-'BRAWLERS OFICIAL'!AY13)</f>
        <v>0</v>
      </c>
      <c r="AZ13" s="79">
        <f>((( 0 )/2 + 'BRAWLERS OFICIAL'!AZ13)-'BRAWLERS OFICIAL'!AZ13)/($BQ13/5)</f>
        <v>0</v>
      </c>
      <c r="BA13" s="79">
        <f>((( 0 )/2 + 'BRAWLERS OFICIAL'!BA13)-'BRAWLERS OFICIAL'!BA13)</f>
        <v>0</v>
      </c>
      <c r="BB13" s="79">
        <f>((( 0 )/3 + 'BRAWLERS OFICIAL'!BB13)-'BRAWLERS OFICIAL'!BB13)</f>
        <v>0</v>
      </c>
      <c r="BC13" s="79">
        <f>((( 0 )/2 + 'BRAWLERS OFICIAL'!BC13)-'BRAWLERS OFICIAL'!BC13)/($BQ13/5)</f>
        <v>0</v>
      </c>
      <c r="BD13" s="79">
        <f>((( 0 )/3 + 'BRAWLERS OFICIAL'!BD13)-'BRAWLERS OFICIAL'!BD13)</f>
        <v>0</v>
      </c>
      <c r="BE13" s="79">
        <f>((( 0 )/3 + 'BRAWLERS OFICIAL'!BE13)-'BRAWLERS OFICIAL'!BE13)</f>
        <v>0</v>
      </c>
      <c r="BF13" s="79">
        <f>((0 + 'BRAWLERS OFICIAL'!BF13)-'BRAWLERS OFICIAL'!BF13)/($BQ13/5)</f>
        <v>0</v>
      </c>
      <c r="BG13" s="79">
        <f>((0 + 'BRAWLERS OFICIAL'!BG13)-'BRAWLERS OFICIAL'!BG13)/($BQ13/5)</f>
        <v>0</v>
      </c>
      <c r="BH13" s="79">
        <f>((( 0 )/2 + 'BRAWLERS OFICIAL'!BH13)-'BRAWLERS OFICIAL'!BH13)</f>
        <v>0</v>
      </c>
      <c r="BI13" s="79">
        <f>((4 + 'BRAWLERS OFICIAL'!BI13)-'BRAWLERS OFICIAL'!BI13)/($BQ13/5)</f>
        <v>1.1111111111111112</v>
      </c>
      <c r="BJ13" s="79">
        <f>((( 0 )/2 + 'BRAWLERS OFICIAL'!BJ13)-'BRAWLERS OFICIAL'!BJ13)</f>
        <v>0</v>
      </c>
      <c r="BK13" s="79">
        <f>((( 0 )/3 + 'BRAWLERS OFICIAL'!BK13)-'BRAWLERS OFICIAL'!BK13)</f>
        <v>0</v>
      </c>
      <c r="BL13" s="79">
        <f>((( 0 )/2 + 'BRAWLERS OFICIAL'!BL13)-'BRAWLERS OFICIAL'!BL13)</f>
        <v>0</v>
      </c>
      <c r="BM13" s="79">
        <f>((3 + 'BRAWLERS OFICIAL'!BM13)-'BRAWLERS OFICIAL'!BM13)/($BQ13/5)</f>
        <v>0.83333333333333326</v>
      </c>
      <c r="BN13" s="79">
        <f>((0 + 'BRAWLERS OFICIAL'!BN13)-'BRAWLERS OFICIAL'!BN13)/($BQ13/5)</f>
        <v>0</v>
      </c>
      <c r="BO13" s="79">
        <f>((0 + 'BRAWLERS OFICIAL'!BO13)-'BRAWLERS OFICIAL'!BO13)/($BQ13/5)</f>
        <v>0</v>
      </c>
      <c r="BQ13" s="79">
        <v>18</v>
      </c>
    </row>
    <row r="14" spans="1:69">
      <c r="B14" s="77" t="s">
        <v>434</v>
      </c>
      <c r="C14" s="81" t="s">
        <v>53</v>
      </c>
      <c r="D14" s="132" t="s">
        <v>332</v>
      </c>
      <c r="E14" s="132" t="s">
        <v>390</v>
      </c>
      <c r="F14" s="79">
        <f>((0 + 'BRAWLERS OFICIAL'!F14)-'BRAWLERS OFICIAL'!F14)/($BQ14/5)</f>
        <v>0</v>
      </c>
      <c r="G14" s="79">
        <f>((0 + 'BRAWLERS OFICIAL'!G14)-'BRAWLERS OFICIAL'!G14)/($BQ14/5)</f>
        <v>0</v>
      </c>
      <c r="H14" s="79">
        <f>((0 + 'BRAWLERS OFICIAL'!H14)-'BRAWLERS OFICIAL'!H14)/($BQ14/5)</f>
        <v>0</v>
      </c>
      <c r="I14" s="79">
        <f>((0 + 'BRAWLERS OFICIAL'!I14)-'BRAWLERS OFICIAL'!I14)/($BQ14/5)</f>
        <v>0</v>
      </c>
      <c r="J14" s="79">
        <f>((0 + 'BRAWLERS OFICIAL'!J14)-'BRAWLERS OFICIAL'!J14)/($BQ14/5)</f>
        <v>0</v>
      </c>
      <c r="K14" s="79">
        <f>((0 + 'BRAWLERS OFICIAL'!K14)-'BRAWLERS OFICIAL'!K14)/($BQ14/5)</f>
        <v>0</v>
      </c>
      <c r="L14" s="79">
        <f>((0 + 'BRAWLERS OFICIAL'!L14)-'BRAWLERS OFICIAL'!L14)/($BQ14/5)</f>
        <v>0</v>
      </c>
      <c r="M14" s="79">
        <f>((0 + 'BRAWLERS OFICIAL'!M14)-'BRAWLERS OFICIAL'!M14)/($BQ14/5)</f>
        <v>0</v>
      </c>
      <c r="N14" s="79">
        <f>((0 + 'BRAWLERS OFICIAL'!N14)-'BRAWLERS OFICIAL'!N14)/($BQ14/5)</f>
        <v>0</v>
      </c>
      <c r="O14" s="79">
        <f>((0 + 'BRAWLERS OFICIAL'!O14)-'BRAWLERS OFICIAL'!O14)/($BQ14/5)</f>
        <v>0</v>
      </c>
      <c r="P14" s="79">
        <f>((0 + 'BRAWLERS OFICIAL'!P14)-'BRAWLERS OFICIAL'!P14)/($BQ14/5)</f>
        <v>0</v>
      </c>
      <c r="Q14" s="79">
        <f>((0 + 'BRAWLERS OFICIAL'!Q14)-'BRAWLERS OFICIAL'!Q14)/($BQ14/5)</f>
        <v>0</v>
      </c>
      <c r="R14" s="79">
        <f>((0 + 'BRAWLERS OFICIAL'!R14)-'BRAWLERS OFICIAL'!R14)/($BQ14/5)</f>
        <v>0</v>
      </c>
      <c r="S14" s="79">
        <f>((0 + 'BRAWLERS OFICIAL'!S14)-'BRAWLERS OFICIAL'!S14)/($BQ14/5)</f>
        <v>0</v>
      </c>
      <c r="T14" s="79">
        <f>((0 + 'BRAWLERS OFICIAL'!T14)-'BRAWLERS OFICIAL'!T14)/($BQ14/5)</f>
        <v>0</v>
      </c>
      <c r="U14" s="79">
        <f>((0 + 'BRAWLERS OFICIAL'!U14)-'BRAWLERS OFICIAL'!U14)/($BQ14/5)</f>
        <v>0</v>
      </c>
      <c r="V14" s="79">
        <f>((0 + 'BRAWLERS OFICIAL'!V14)-'BRAWLERS OFICIAL'!V14)/($BQ14/5)</f>
        <v>0</v>
      </c>
      <c r="W14" s="79">
        <f>(0 + 'BRAWLERS OFICIAL'!W14)-'BRAWLERS OFICIAL'!W14</f>
        <v>0</v>
      </c>
      <c r="X14" s="121">
        <f>(( 0 + 'BRAWLERS OFICIAL'!X14 + AP14 + AY14/3.5 )-'BRAWLERS OFICIAL'!X14)/($BQ14/5)</f>
        <v>0</v>
      </c>
      <c r="Y14" s="80">
        <f>((0 + 'BRAWLERS OFICIAL'!Y14)-'BRAWLERS OFICIAL'!Y14)/($BQ14/5)</f>
        <v>0</v>
      </c>
      <c r="Z14" s="80">
        <f>(((0)/3 + 'BRAWLERS OFICIAL'!Z14)-'BRAWLERS OFICIAL'!Z14)</f>
        <v>0</v>
      </c>
      <c r="AA14" s="80">
        <f>((0 + 'BRAWLERS OFICIAL'!AA14)-'BRAWLERS OFICIAL'!AA14)/($BQ14/5)</f>
        <v>0</v>
      </c>
      <c r="AB14" s="80">
        <f>((0 + 'BRAWLERS OFICIAL'!AB14)-'BRAWLERS OFICIAL'!AB14)/($BQ14/5)</f>
        <v>0</v>
      </c>
      <c r="AC14" s="80">
        <f>(((0)/4 + 'BRAWLERS OFICIAL'!AC14)-'BRAWLERS OFICIAL'!AC14)/($BQ14/5)</f>
        <v>0</v>
      </c>
      <c r="AD14" s="80">
        <f>((0 + 'BRAWLERS OFICIAL'!AD14)-'BRAWLERS OFICIAL'!AD14)/($BQ14/5)</f>
        <v>0</v>
      </c>
      <c r="AE14" s="80">
        <f>((0 + 'BRAWLERS OFICIAL'!AE14)-'BRAWLERS OFICIAL'!AE14)/($BQ14/5)</f>
        <v>0</v>
      </c>
      <c r="AF14" s="80">
        <f>((0 + 'BRAWLERS OFICIAL'!AF14)-'BRAWLERS OFICIAL'!AF14)/($BQ14/5)</f>
        <v>0</v>
      </c>
      <c r="AG14" s="80">
        <f>((0 + 'BRAWLERS OFICIAL'!AG14)-'BRAWLERS OFICIAL'!AG14)</f>
        <v>0</v>
      </c>
      <c r="AH14" s="80">
        <f>((0 + 'BRAWLERS OFICIAL'!AH14)-'BRAWLERS OFICIAL'!AH14)</f>
        <v>0</v>
      </c>
      <c r="AI14" s="80">
        <f>((2 + 'BRAWLERS OFICIAL'!AI14)-'BRAWLERS OFICIAL'!AI14)</f>
        <v>2</v>
      </c>
      <c r="AJ14" s="80">
        <f>((0 + 'BRAWLERS OFICIAL'!AJ14)-'BRAWLERS OFICIAL'!AJ14)/($BQ14/5)</f>
        <v>0</v>
      </c>
      <c r="AK14" s="80">
        <f>((0 + 'BRAWLERS OFICIAL'!AK14)-'BRAWLERS OFICIAL'!AK14)/($BQ14/5)</f>
        <v>0</v>
      </c>
      <c r="AL14" s="80">
        <f>(((BK14/5+1)*AK14 + 'BRAWLERS OFICIAL'!AL14)-'BRAWLERS OFICIAL'!AL14)/($BQ14/5)</f>
        <v>0</v>
      </c>
      <c r="AM14" s="80">
        <f>IF( 0 = (1-1), (1-1), ((0 + 'BRAWLERS OFICIAL'!AM14)/1.5)-'BRAWLERS OFICIAL'!AM14 )</f>
        <v>0</v>
      </c>
      <c r="AN14" s="80">
        <f t="shared" si="0"/>
        <v>0</v>
      </c>
      <c r="AO14" s="80">
        <f>((0 + 'BRAWLERS OFICIAL'!AO14)-'BRAWLERS OFICIAL'!AO14)/($BQ14/5)</f>
        <v>0</v>
      </c>
      <c r="AP14" s="80">
        <f>((0/1000 + 'BRAWLERS OFICIAL'!AP14)-'BRAWLERS OFICIAL'!AP14)</f>
        <v>0</v>
      </c>
      <c r="AQ14" s="80">
        <f>((0 + 'BRAWLERS OFICIAL'!AQ14)-'BRAWLERS OFICIAL'!AQ14)</f>
        <v>0</v>
      </c>
      <c r="AR14" s="80">
        <f>IF( 0 = (1-1), (1-1), ((0 + 'BRAWLERS OFICIAL'!AR14)/1.5) )</f>
        <v>0</v>
      </c>
      <c r="AS14" s="80">
        <f>IF( 0 = (1-1), (1-1), ((0 + 'BRAWLERS OFICIAL'!AS14)/1.5) )</f>
        <v>0</v>
      </c>
      <c r="AT14" s="80">
        <f>IF( 0 = (1-1), (1-1), ((0 + 'BRAWLERS OFICIAL'!AT14)/2) )</f>
        <v>0</v>
      </c>
      <c r="AU14" s="80">
        <f>((0 + 'BRAWLERS OFICIAL'!AU14)-'BRAWLERS OFICIAL'!AU14)/($BQ14/5)</f>
        <v>0</v>
      </c>
      <c r="AV14" s="80">
        <f>(((0)/4 + 'BRAWLERS OFICIAL'!AV14)-'BRAWLERS OFICIAL'!AV14)</f>
        <v>0</v>
      </c>
      <c r="AW14" s="80">
        <v>2.5</v>
      </c>
      <c r="AX14" s="80" t="s">
        <v>435</v>
      </c>
      <c r="AY14" s="79">
        <f>((( 0 )/3 + 'BRAWLERS OFICIAL'!AY14)-'BRAWLERS OFICIAL'!AY14)</f>
        <v>0</v>
      </c>
      <c r="AZ14" s="79">
        <f>((( 0 )/2 + 'BRAWLERS OFICIAL'!AZ14)-'BRAWLERS OFICIAL'!AZ14)/($BQ14/5)</f>
        <v>0</v>
      </c>
      <c r="BA14" s="79">
        <f>((( 0 )/2 + 'BRAWLERS OFICIAL'!BA14)-'BRAWLERS OFICIAL'!BA14)</f>
        <v>0</v>
      </c>
      <c r="BB14" s="79">
        <f>((( 0 )/3 + 'BRAWLERS OFICIAL'!BB14)-'BRAWLERS OFICIAL'!BB14)</f>
        <v>0</v>
      </c>
      <c r="BC14" s="79">
        <f>((( 0 )/2 + 'BRAWLERS OFICIAL'!BC14)-'BRAWLERS OFICIAL'!BC14)/($BQ14/5)</f>
        <v>0</v>
      </c>
      <c r="BD14" s="79">
        <f>((( 0 )/3 + 'BRAWLERS OFICIAL'!BD14)-'BRAWLERS OFICIAL'!BD14)</f>
        <v>0</v>
      </c>
      <c r="BE14" s="79">
        <f>((( 0 )/3 + 'BRAWLERS OFICIAL'!BE14)-'BRAWLERS OFICIAL'!BE14)</f>
        <v>0</v>
      </c>
      <c r="BF14" s="79">
        <f>((0 + 'BRAWLERS OFICIAL'!BF14)-'BRAWLERS OFICIAL'!BF14)/($BQ14/5)</f>
        <v>0</v>
      </c>
      <c r="BG14" s="79">
        <f>((0 + 'BRAWLERS OFICIAL'!BG14)-'BRAWLERS OFICIAL'!BG14)/($BQ14/5)</f>
        <v>0</v>
      </c>
      <c r="BH14" s="79">
        <f>((( 0 )/2 + 'BRAWLERS OFICIAL'!BH14)-'BRAWLERS OFICIAL'!BH14)</f>
        <v>0</v>
      </c>
      <c r="BI14" s="79">
        <f>((0 + 'BRAWLERS OFICIAL'!BI14)-'BRAWLERS OFICIAL'!BI14)/($BQ14/5)</f>
        <v>0</v>
      </c>
      <c r="BJ14" s="79">
        <f>((( 0 )/2 + 'BRAWLERS OFICIAL'!BJ14)-'BRAWLERS OFICIAL'!BJ14)</f>
        <v>0</v>
      </c>
      <c r="BK14" s="79">
        <f>((( 0 )/3 + 'BRAWLERS OFICIAL'!BK14)-'BRAWLERS OFICIAL'!BK14)</f>
        <v>0</v>
      </c>
      <c r="BL14" s="79">
        <f>((( 0 )/2 + 'BRAWLERS OFICIAL'!BL14)-'BRAWLERS OFICIAL'!BL14)</f>
        <v>0</v>
      </c>
      <c r="BM14" s="79">
        <f>((0 + 'BRAWLERS OFICIAL'!BM14)-'BRAWLERS OFICIAL'!BM14)/($BQ14/5)</f>
        <v>0</v>
      </c>
      <c r="BN14" s="79">
        <f>((0 + 'BRAWLERS OFICIAL'!BN14)-'BRAWLERS OFICIAL'!BN14)/($BQ14/5)</f>
        <v>0</v>
      </c>
      <c r="BO14" s="79">
        <f>((0 + 'BRAWLERS OFICIAL'!BO14)-'BRAWLERS OFICIAL'!BO14)/($BQ14/5)</f>
        <v>0</v>
      </c>
      <c r="BQ14" s="79">
        <v>11</v>
      </c>
    </row>
    <row r="15" spans="1:69">
      <c r="B15" s="77" t="s">
        <v>436</v>
      </c>
      <c r="C15" s="81" t="s">
        <v>84</v>
      </c>
      <c r="D15" s="132" t="s">
        <v>383</v>
      </c>
      <c r="E15" s="132" t="s">
        <v>386</v>
      </c>
      <c r="F15" s="79">
        <f>((0 + 'BRAWLERS OFICIAL'!F15)-'BRAWLERS OFICIAL'!F15)/($BQ15/5)</f>
        <v>0</v>
      </c>
      <c r="G15" s="79">
        <f>((0 + 'BRAWLERS OFICIAL'!G15)-'BRAWLERS OFICIAL'!G15)/($BQ15/5)</f>
        <v>0</v>
      </c>
      <c r="H15" s="79">
        <f>((0 + 'BRAWLERS OFICIAL'!H15)-'BRAWLERS OFICIAL'!H15)/($BQ15/5)</f>
        <v>0</v>
      </c>
      <c r="I15" s="79">
        <f>((0 + 'BRAWLERS OFICIAL'!I15)-'BRAWLERS OFICIAL'!I15)/($BQ15/5)</f>
        <v>0</v>
      </c>
      <c r="J15" s="79">
        <f>((0 + 'BRAWLERS OFICIAL'!J15)-'BRAWLERS OFICIAL'!J15)/($BQ15/5)</f>
        <v>0</v>
      </c>
      <c r="K15" s="79">
        <f>((0 + 'BRAWLERS OFICIAL'!K15)-'BRAWLERS OFICIAL'!K15)/($BQ15/5)</f>
        <v>0</v>
      </c>
      <c r="L15" s="79">
        <f>((0 + 'BRAWLERS OFICIAL'!L15)-'BRAWLERS OFICIAL'!L15)/($BQ15/5)</f>
        <v>0</v>
      </c>
      <c r="M15" s="79">
        <f>((0 + 'BRAWLERS OFICIAL'!M15)-'BRAWLERS OFICIAL'!M15)/($BQ15/5)</f>
        <v>0</v>
      </c>
      <c r="N15" s="79">
        <f>((0 + 'BRAWLERS OFICIAL'!N15)-'BRAWLERS OFICIAL'!N15)/($BQ15/5)</f>
        <v>0</v>
      </c>
      <c r="O15" s="79">
        <f>((0 + 'BRAWLERS OFICIAL'!O15)-'BRAWLERS OFICIAL'!O15)/($BQ15/5)</f>
        <v>0</v>
      </c>
      <c r="P15" s="79">
        <f>((0 + 'BRAWLERS OFICIAL'!P15)-'BRAWLERS OFICIAL'!P15)/($BQ15/5)</f>
        <v>0</v>
      </c>
      <c r="Q15" s="79">
        <f>((1.5*'BRAWLERS OFICIAL'!Q15)-'BRAWLERS OFICIAL'!Q15)/($BQ15/5)</f>
        <v>200</v>
      </c>
      <c r="R15" s="79">
        <f>((1.5*'BRAWLERS OFICIAL'!R15)-'BRAWLERS OFICIAL'!R15)/($BQ15/5)</f>
        <v>200</v>
      </c>
      <c r="S15" s="79">
        <f>((1.5*'BRAWLERS OFICIAL'!S15)-'BRAWLERS OFICIAL'!S15)/($BQ15/5)</f>
        <v>400</v>
      </c>
      <c r="T15" s="79">
        <f>((1.5*'BRAWLERS OFICIAL'!T15)-'BRAWLERS OFICIAL'!T15)/($BQ15/5)</f>
        <v>400</v>
      </c>
      <c r="U15" s="79">
        <f>((1.5*'BRAWLERS OFICIAL'!U15)-'BRAWLERS OFICIAL'!U15)/($BQ15/5)</f>
        <v>1200</v>
      </c>
      <c r="V15" s="79">
        <f>((0 + 'BRAWLERS OFICIAL'!V15)-'BRAWLERS OFICIAL'!V15)/($BQ15/5)</f>
        <v>0</v>
      </c>
      <c r="W15" s="79">
        <f>(0 + 'BRAWLERS OFICIAL'!W15)-'BRAWLERS OFICIAL'!W15</f>
        <v>0</v>
      </c>
      <c r="X15" s="121">
        <f>(( 0 + 'BRAWLERS OFICIAL'!X15 + AP15 + AY15/3.5 )-'BRAWLERS OFICIAL'!X15)/($BQ15/5)</f>
        <v>0</v>
      </c>
      <c r="Y15" s="80">
        <f>((0 + 'BRAWLERS OFICIAL'!Y15)-'BRAWLERS OFICIAL'!Y15)/($BQ15/5)</f>
        <v>0</v>
      </c>
      <c r="Z15" s="80">
        <f>(((0)/3 + 'BRAWLERS OFICIAL'!Z15)-'BRAWLERS OFICIAL'!Z15)</f>
        <v>0</v>
      </c>
      <c r="AA15" s="80">
        <f>((0 + 'BRAWLERS OFICIAL'!AA15)-'BRAWLERS OFICIAL'!AA15)/($BQ15/5)</f>
        <v>0</v>
      </c>
      <c r="AB15" s="80">
        <f>((0 + 'BRAWLERS OFICIAL'!AB15)-'BRAWLERS OFICIAL'!AB15)/($BQ15/5)</f>
        <v>0</v>
      </c>
      <c r="AC15" s="80">
        <f>(((0)/4 + 'BRAWLERS OFICIAL'!AC15)-'BRAWLERS OFICIAL'!AC15)/($BQ15/5)</f>
        <v>0</v>
      </c>
      <c r="AD15" s="80">
        <f>((0 + 'BRAWLERS OFICIAL'!AD15)-'BRAWLERS OFICIAL'!AD15)/($BQ15/5)</f>
        <v>0</v>
      </c>
      <c r="AE15" s="80">
        <f>((0 + 'BRAWLERS OFICIAL'!AE15)-'BRAWLERS OFICIAL'!AE15)/($BQ15/5)</f>
        <v>0</v>
      </c>
      <c r="AF15" s="80">
        <f>((0 + 'BRAWLERS OFICIAL'!AF15)-'BRAWLERS OFICIAL'!AF15)/($BQ15/5)</f>
        <v>0</v>
      </c>
      <c r="AG15" s="80">
        <f>((0 + 'BRAWLERS OFICIAL'!AG15)-'BRAWLERS OFICIAL'!AG15)</f>
        <v>0</v>
      </c>
      <c r="AH15" s="80">
        <f>((0 + 'BRAWLERS OFICIAL'!AH15)-'BRAWLERS OFICIAL'!AH15)</f>
        <v>0</v>
      </c>
      <c r="AI15" s="80">
        <f>((0 + 'BRAWLERS OFICIAL'!AI15)-'BRAWLERS OFICIAL'!AI15)</f>
        <v>0</v>
      </c>
      <c r="AJ15" s="80">
        <f>((0 + 'BRAWLERS OFICIAL'!AJ15)-'BRAWLERS OFICIAL'!AJ15)/($BQ15/5)</f>
        <v>0</v>
      </c>
      <c r="AK15" s="80">
        <f>((0 + 'BRAWLERS OFICIAL'!AK15)-'BRAWLERS OFICIAL'!AK15)/($BQ15/5)</f>
        <v>0</v>
      </c>
      <c r="AL15" s="80">
        <f>(((BK15/5+1)*AK15 + 'BRAWLERS OFICIAL'!AL15)-'BRAWLERS OFICIAL'!AL15)/($BQ15/5)</f>
        <v>0</v>
      </c>
      <c r="AM15" s="80">
        <f>IF( 0 = (1-1), (1-1), ((0 + 'BRAWLERS OFICIAL'!AM15)/1.5)-'BRAWLERS OFICIAL'!AM15 )</f>
        <v>0</v>
      </c>
      <c r="AN15" s="80">
        <f t="shared" si="0"/>
        <v>0</v>
      </c>
      <c r="AO15" s="80">
        <f>((0 + 'BRAWLERS OFICIAL'!AO15)-'BRAWLERS OFICIAL'!AO15)/($BQ15/5)</f>
        <v>0</v>
      </c>
      <c r="AP15" s="80">
        <f>((0/1000 + 'BRAWLERS OFICIAL'!AP15)-'BRAWLERS OFICIAL'!AP15)</f>
        <v>0</v>
      </c>
      <c r="AQ15" s="80">
        <f>((2 + 'BRAWLERS OFICIAL'!AQ15)-'BRAWLERS OFICIAL'!AQ15)</f>
        <v>2</v>
      </c>
      <c r="AR15" s="80">
        <f>IF( 0 = (1-1), (1-1), ((0 + 'BRAWLERS OFICIAL'!AR15)/1.5) )</f>
        <v>0</v>
      </c>
      <c r="AS15" s="80">
        <f>IF( 0 = (1-1), (1-1), ((0 + 'BRAWLERS OFICIAL'!AS15)/1.5) )</f>
        <v>0</v>
      </c>
      <c r="AT15" s="80">
        <f>IF( 0 = (1-1), (1-1), ((0 + 'BRAWLERS OFICIAL'!AT15)/2) )</f>
        <v>0</v>
      </c>
      <c r="AU15" s="80">
        <f>((0 + 'BRAWLERS OFICIAL'!AU15)-'BRAWLERS OFICIAL'!AU15)/($BQ15/5)</f>
        <v>0</v>
      </c>
      <c r="AV15" s="80">
        <f>(((0)/4 + 'BRAWLERS OFICIAL'!AV15)-'BRAWLERS OFICIAL'!AV15)</f>
        <v>0</v>
      </c>
      <c r="AW15" s="80">
        <v>0</v>
      </c>
      <c r="AX15" s="80" t="s">
        <v>390</v>
      </c>
      <c r="AY15" s="79">
        <f>((( 0 )/3 + 'BRAWLERS OFICIAL'!AY15)-'BRAWLERS OFICIAL'!AY15)</f>
        <v>0</v>
      </c>
      <c r="AZ15" s="79">
        <f>((( 0 )/2 + 'BRAWLERS OFICIAL'!AZ15)-'BRAWLERS OFICIAL'!AZ15)/($BQ15/5)</f>
        <v>0</v>
      </c>
      <c r="BA15" s="79">
        <f>((( 0 )/2 + 'BRAWLERS OFICIAL'!BA15)-'BRAWLERS OFICIAL'!BA15)</f>
        <v>0</v>
      </c>
      <c r="BB15" s="79">
        <f>((( 0 )/3 + 'BRAWLERS OFICIAL'!BB15)-'BRAWLERS OFICIAL'!BB15)</f>
        <v>0</v>
      </c>
      <c r="BC15" s="79">
        <f>((( 0 )/2 + 'BRAWLERS OFICIAL'!BC15)-'BRAWLERS OFICIAL'!BC15)/($BQ15/5)</f>
        <v>0</v>
      </c>
      <c r="BD15" s="79">
        <f>((( 0 )/3 + 'BRAWLERS OFICIAL'!BD15)-'BRAWLERS OFICIAL'!BD15)</f>
        <v>0</v>
      </c>
      <c r="BE15" s="79">
        <f>((( 0 )/3 + 'BRAWLERS OFICIAL'!BE15)-'BRAWLERS OFICIAL'!BE15)</f>
        <v>0</v>
      </c>
      <c r="BF15" s="79">
        <f>((0 + 'BRAWLERS OFICIAL'!BF15)-'BRAWLERS OFICIAL'!BF15)/($BQ15/5)</f>
        <v>0</v>
      </c>
      <c r="BG15" s="79">
        <f>((0 + 'BRAWLERS OFICIAL'!BG15)-'BRAWLERS OFICIAL'!BG15)/($BQ15/5)</f>
        <v>0</v>
      </c>
      <c r="BH15" s="79">
        <f>((( 0 )/2 + 'BRAWLERS OFICIAL'!BH15)-'BRAWLERS OFICIAL'!BH15)</f>
        <v>0</v>
      </c>
      <c r="BI15" s="79">
        <f>((0 + 'BRAWLERS OFICIAL'!BI15)-'BRAWLERS OFICIAL'!BI15)/($BQ15/5)</f>
        <v>0</v>
      </c>
      <c r="BJ15" s="79">
        <f>((( 0 )/2 + 'BRAWLERS OFICIAL'!BJ15)-'BRAWLERS OFICIAL'!BJ15)</f>
        <v>0</v>
      </c>
      <c r="BK15" s="79">
        <f>((( 0 )/3 + 'BRAWLERS OFICIAL'!BK15)-'BRAWLERS OFICIAL'!BK15)</f>
        <v>0</v>
      </c>
      <c r="BL15" s="79">
        <f>((( 0 )/2 + 'BRAWLERS OFICIAL'!BL15)-'BRAWLERS OFICIAL'!BL15)</f>
        <v>0</v>
      </c>
      <c r="BM15" s="79">
        <f>((0 + 'BRAWLERS OFICIAL'!BM15)-'BRAWLERS OFICIAL'!BM15)/($BQ15/5)</f>
        <v>0</v>
      </c>
      <c r="BN15" s="79">
        <f>((0 + 'BRAWLERS OFICIAL'!BN15)-'BRAWLERS OFICIAL'!BN15)/($BQ15/5)</f>
        <v>0</v>
      </c>
      <c r="BO15" s="79">
        <f>((0 + 'BRAWLERS OFICIAL'!BO15)-'BRAWLERS OFICIAL'!BO15)/($BQ15/5)</f>
        <v>0</v>
      </c>
      <c r="BQ15" s="79">
        <v>15</v>
      </c>
    </row>
    <row r="16" spans="1:69">
      <c r="B16" s="77" t="s">
        <v>437</v>
      </c>
      <c r="C16" s="67" t="s">
        <v>77</v>
      </c>
      <c r="D16" s="131" t="s">
        <v>325</v>
      </c>
      <c r="E16" s="131" t="s">
        <v>371</v>
      </c>
      <c r="F16" s="79">
        <f>((0 + 'BRAWLERS OFICIAL'!F16)-'BRAWLERS OFICIAL'!F16)/($BQ16/5)</f>
        <v>0</v>
      </c>
      <c r="G16" s="79">
        <f>((0 + 'BRAWLERS OFICIAL'!G16)-'BRAWLERS OFICIAL'!G16)/($BQ16/5)</f>
        <v>0</v>
      </c>
      <c r="H16" s="79">
        <f>((0 + 'BRAWLERS OFICIAL'!H16)-'BRAWLERS OFICIAL'!H16)/($BQ16/5)</f>
        <v>0</v>
      </c>
      <c r="I16" s="79">
        <f>((0 + 'BRAWLERS OFICIAL'!I16)-'BRAWLERS OFICIAL'!I16)/($BQ16/5)</f>
        <v>0</v>
      </c>
      <c r="J16" s="79">
        <f>((0.75/2 + 'BRAWLERS OFICIAL'!J16)-'BRAWLERS OFICIAL'!J16)/($BQ16/5)</f>
        <v>7.8125E-2</v>
      </c>
      <c r="K16" s="79">
        <f>((0.75/2 + 'BRAWLERS OFICIAL'!K16)-'BRAWLERS OFICIAL'!K16)/($BQ16/5)</f>
        <v>7.8125E-2</v>
      </c>
      <c r="L16" s="79">
        <f>((0.75/2 + 'BRAWLERS OFICIAL'!L16)-'BRAWLERS OFICIAL'!L16)/($BQ16/5)</f>
        <v>7.8125E-2</v>
      </c>
      <c r="M16" s="79">
        <f>((0 + 'BRAWLERS OFICIAL'!M16)-'BRAWLERS OFICIAL'!M16)/($BQ16/5)</f>
        <v>0</v>
      </c>
      <c r="N16" s="79">
        <f>((0 + 'BRAWLERS OFICIAL'!N16)-'BRAWLERS OFICIAL'!N16)/($BQ16/5)</f>
        <v>0</v>
      </c>
      <c r="O16" s="79">
        <f>((0 + 'BRAWLERS OFICIAL'!O16)-'BRAWLERS OFICIAL'!O16)/($BQ16/5)</f>
        <v>0</v>
      </c>
      <c r="P16" s="79">
        <f>((0 + 'BRAWLERS OFICIAL'!P16)-'BRAWLERS OFICIAL'!P16)/($BQ16/5)</f>
        <v>0</v>
      </c>
      <c r="Q16" s="79">
        <f>((0 + 'BRAWLERS OFICIAL'!Q16)-'BRAWLERS OFICIAL'!Q16)/($BQ16/5)</f>
        <v>0</v>
      </c>
      <c r="R16" s="79">
        <f>((0 + 'BRAWLERS OFICIAL'!R16)-'BRAWLERS OFICIAL'!R16)/($BQ16/5)</f>
        <v>0</v>
      </c>
      <c r="S16" s="79">
        <f>((0 + 'BRAWLERS OFICIAL'!S16)-'BRAWLERS OFICIAL'!S16)/($BQ16/5)</f>
        <v>0</v>
      </c>
      <c r="T16" s="79">
        <f>((0 + 'BRAWLERS OFICIAL'!T16)-'BRAWLERS OFICIAL'!T16)/($BQ16/5)</f>
        <v>0</v>
      </c>
      <c r="U16" s="79">
        <f>((0 + 'BRAWLERS OFICIAL'!U16)-'BRAWLERS OFICIAL'!U16)/($BQ16/5)</f>
        <v>0</v>
      </c>
      <c r="V16" s="79">
        <f>((0 + 'BRAWLERS OFICIAL'!V16)-'BRAWLERS OFICIAL'!V16)/($BQ16/5)</f>
        <v>0</v>
      </c>
      <c r="W16" s="79">
        <v>0</v>
      </c>
      <c r="X16" s="121">
        <f>(( 0 + 'BRAWLERS OFICIAL'!X16 + AP16 + (5 + 2 + 6)/3/3.5 )-'BRAWLERS OFICIAL'!X16)/($BQ16/5)</f>
        <v>0.2579365079365078</v>
      </c>
      <c r="Y16" s="80">
        <f>((0 + 'BRAWLERS OFICIAL'!Y16)-'BRAWLERS OFICIAL'!Y16)/($BQ16/5)</f>
        <v>0</v>
      </c>
      <c r="Z16" s="80">
        <f>(((9 + 3 + 10)/3)-'BRAWLERS OFICIAL'!Z16)</f>
        <v>1.5</v>
      </c>
      <c r="AA16" s="80">
        <f>((0 + 'BRAWLERS OFICIAL'!AA16)-'BRAWLERS OFICIAL'!AA16)/($BQ16/5)</f>
        <v>0</v>
      </c>
      <c r="AB16" s="80">
        <f>((1 + 'BRAWLERS OFICIAL'!AB16)-'BRAWLERS OFICIAL'!AB16)/($BQ16/5)</f>
        <v>0.20833333333333334</v>
      </c>
      <c r="AC16" s="80">
        <f>(((0)/4 + 'BRAWLERS OFICIAL'!AC16)-'BRAWLERS OFICIAL'!AC16)/($BQ16/5)</f>
        <v>0</v>
      </c>
      <c r="AD16" s="80">
        <f>((0 + 'BRAWLERS OFICIAL'!AD16)-'BRAWLERS OFICIAL'!AD16)/($BQ16/5)</f>
        <v>0</v>
      </c>
      <c r="AE16" s="80">
        <f>((0 + 'BRAWLERS OFICIAL'!AE16)-'BRAWLERS OFICIAL'!AE16)/($BQ16/5)</f>
        <v>0</v>
      </c>
      <c r="AF16" s="80">
        <f>((0 + 'BRAWLERS OFICIAL'!AF16)-'BRAWLERS OFICIAL'!AF16)/($BQ16/5)</f>
        <v>0</v>
      </c>
      <c r="AG16" s="80">
        <f>((0 + 'BRAWLERS OFICIAL'!AG16)-'BRAWLERS OFICIAL'!AG16)</f>
        <v>0</v>
      </c>
      <c r="AH16" s="80">
        <f>((0 + 'BRAWLERS OFICIAL'!AH16)-'BRAWLERS OFICIAL'!AH16)</f>
        <v>0</v>
      </c>
      <c r="AI16" s="80">
        <f>((0 + 'BRAWLERS OFICIAL'!AI16)-'BRAWLERS OFICIAL'!AI16)</f>
        <v>0</v>
      </c>
      <c r="AJ16" s="80">
        <f>((0 + 'BRAWLERS OFICIAL'!AJ16)-'BRAWLERS OFICIAL'!AJ16)/($BQ16/5)</f>
        <v>0</v>
      </c>
      <c r="AK16" s="80">
        <f>((1 + 'BRAWLERS OFICIAL'!AK16)-'BRAWLERS OFICIAL'!AK16)/($BQ16/5)</f>
        <v>0.20833333333333334</v>
      </c>
      <c r="AL16" s="80">
        <f>(((BK16/5+1)*AK16 + 'BRAWLERS OFICIAL'!AL16)-'BRAWLERS OFICIAL'!AL16)/($BQ16/5)</f>
        <v>4.3402777777777721E-2</v>
      </c>
      <c r="AM16" s="80">
        <f>IF( 0 = (1-1), (1-1), ((0 + 'BRAWLERS OFICIAL'!AM16)/1.5)-'BRAWLERS OFICIAL'!AM16 )</f>
        <v>0</v>
      </c>
      <c r="AN16" s="80">
        <f t="shared" si="0"/>
        <v>0</v>
      </c>
      <c r="AO16" s="80">
        <f>((0 + 'BRAWLERS OFICIAL'!AO16)-'BRAWLERS OFICIAL'!AO16)/($BQ16/5)</f>
        <v>0</v>
      </c>
      <c r="AP16" s="80">
        <f>((0/1000 + 'BRAWLERS OFICIAL'!AP16)-'BRAWLERS OFICIAL'!AP16)</f>
        <v>0</v>
      </c>
      <c r="AQ16" s="80">
        <f>((0 + 'BRAWLERS OFICIAL'!AQ16)-'BRAWLERS OFICIAL'!AQ16)</f>
        <v>0</v>
      </c>
      <c r="AR16" s="80">
        <f>IF( 0 = (1-1), (1-1), ((0 + 'BRAWLERS OFICIAL'!AR16)/1.5) )</f>
        <v>0</v>
      </c>
      <c r="AS16" s="80">
        <f>IF( 0 = (1-1), (1-1), ((0 + 'BRAWLERS OFICIAL'!AS16)/1.5) )</f>
        <v>0</v>
      </c>
      <c r="AT16" s="80">
        <f>IF( 0 = (1-1), (1-1), ((0 + 'BRAWLERS OFICIAL'!AT16)/2) )</f>
        <v>0</v>
      </c>
      <c r="AU16" s="80">
        <f>((0 + 'BRAWLERS OFICIAL'!AU16)-'BRAWLERS OFICIAL'!AU16)/($BQ16/5)</f>
        <v>0</v>
      </c>
      <c r="AV16" s="80">
        <f>(((0)/4 + 'BRAWLERS OFICIAL'!AV16)-'BRAWLERS OFICIAL'!AV16)</f>
        <v>0</v>
      </c>
      <c r="AW16" s="80">
        <v>0</v>
      </c>
      <c r="AX16" s="80" t="s">
        <v>390</v>
      </c>
      <c r="AY16" s="79">
        <f>((( 0 )/3 + 'BRAWLERS OFICIAL'!AY16)-'BRAWLERS OFICIAL'!AY16)</f>
        <v>0</v>
      </c>
      <c r="AZ16" s="79">
        <f>((( 0 )/2 + 'BRAWLERS OFICIAL'!AZ16)-'BRAWLERS OFICIAL'!AZ16)/($BQ16/5)</f>
        <v>0</v>
      </c>
      <c r="BA16" s="79">
        <f>((( 0 )/2 + 'BRAWLERS OFICIAL'!BA16)-'BRAWLERS OFICIAL'!BA16)</f>
        <v>0</v>
      </c>
      <c r="BB16" s="79">
        <f>((( 0 )/3 + 'BRAWLERS OFICIAL'!BB16)-'BRAWLERS OFICIAL'!BB16)</f>
        <v>0</v>
      </c>
      <c r="BC16" s="79">
        <f>((( 0 )/2 + 'BRAWLERS OFICIAL'!BC16)-'BRAWLERS OFICIAL'!BC16)/($BQ16/5)</f>
        <v>0</v>
      </c>
      <c r="BD16" s="79">
        <f>((( 0 )/3 + 'BRAWLERS OFICIAL'!BD16)-'BRAWLERS OFICIAL'!BD16)</f>
        <v>0</v>
      </c>
      <c r="BE16" s="79">
        <f>((( 0 )/3 + 'BRAWLERS OFICIAL'!BE16)-'BRAWLERS OFICIAL'!BE16)</f>
        <v>0</v>
      </c>
      <c r="BF16" s="79">
        <f>((0 + 'BRAWLERS OFICIAL'!BF16)-'BRAWLERS OFICIAL'!BF16)/($BQ16/5)</f>
        <v>0</v>
      </c>
      <c r="BG16" s="79">
        <f>((0 + 'BRAWLERS OFICIAL'!BG16)-'BRAWLERS OFICIAL'!BG16)/($BQ16/5)</f>
        <v>0</v>
      </c>
      <c r="BH16" s="79">
        <f>((( 0 )/2 + 'BRAWLERS OFICIAL'!BH16)-'BRAWLERS OFICIAL'!BH16)</f>
        <v>0</v>
      </c>
      <c r="BI16" s="79">
        <f>((0 + 'BRAWLERS OFICIAL'!BI16)-'BRAWLERS OFICIAL'!BI16)/($BQ16/5)</f>
        <v>0</v>
      </c>
      <c r="BJ16" s="79">
        <f>((( 0 )/2 + 'BRAWLERS OFICIAL'!BJ16)-'BRAWLERS OFICIAL'!BJ16)</f>
        <v>0</v>
      </c>
      <c r="BK16" s="79">
        <f>((( 0 )/3 + 'BRAWLERS OFICIAL'!BK16)-'BRAWLERS OFICIAL'!BK16)</f>
        <v>0</v>
      </c>
      <c r="BL16" s="79">
        <f>((( 0 )/2 + 'BRAWLERS OFICIAL'!BL16)-'BRAWLERS OFICIAL'!BL16)</f>
        <v>0</v>
      </c>
      <c r="BM16" s="79">
        <f>((0 + 'BRAWLERS OFICIAL'!BM16)-'BRAWLERS OFICIAL'!BM16)/($BQ16/5)</f>
        <v>0</v>
      </c>
      <c r="BN16" s="79">
        <f>((0 + 'BRAWLERS OFICIAL'!BN16)-'BRAWLERS OFICIAL'!BN16)/($BQ16/5)</f>
        <v>0</v>
      </c>
      <c r="BO16" s="79">
        <f>((0 + 'BRAWLERS OFICIAL'!BO16)-'BRAWLERS OFICIAL'!BO16)/($BQ16/5)</f>
        <v>0</v>
      </c>
      <c r="BQ16" s="79">
        <v>24</v>
      </c>
    </row>
    <row r="17" spans="2:69">
      <c r="B17" s="77" t="s">
        <v>215</v>
      </c>
      <c r="C17" s="81" t="s">
        <v>101</v>
      </c>
      <c r="D17" s="132" t="s">
        <v>332</v>
      </c>
      <c r="E17" s="132" t="s">
        <v>325</v>
      </c>
      <c r="F17" s="79">
        <f>((0 + 'BRAWLERS OFICIAL'!F17)-'BRAWLERS OFICIAL'!F17)/($BQ17/5)</f>
        <v>0</v>
      </c>
      <c r="G17" s="79">
        <f>((0 + 'BRAWLERS OFICIAL'!G17)-'BRAWLERS OFICIAL'!G17)/($BQ17/5)</f>
        <v>0</v>
      </c>
      <c r="H17" s="79">
        <f>((0 + 'BRAWLERS OFICIAL'!H17)-'BRAWLERS OFICIAL'!H17)/($BQ17/5)</f>
        <v>0</v>
      </c>
      <c r="I17" s="79">
        <f>((0 + 'BRAWLERS OFICIAL'!I17)-'BRAWLERS OFICIAL'!I17)/($BQ17/5)</f>
        <v>0</v>
      </c>
      <c r="J17" s="79">
        <f>((1 + 'BRAWLERS OFICIAL'!J17)-'BRAWLERS OFICIAL'!J17)/($BQ17/5)</f>
        <v>0.33333333333333331</v>
      </c>
      <c r="K17" s="79">
        <f>((3 + 'BRAWLERS OFICIAL'!K17)-'BRAWLERS OFICIAL'!K17)/($BQ17/5)</f>
        <v>1</v>
      </c>
      <c r="L17" s="79">
        <f>((0 + 'BRAWLERS OFICIAL'!L17)-'BRAWLERS OFICIAL'!L17)/($BQ17/5)</f>
        <v>0</v>
      </c>
      <c r="M17" s="79">
        <f>((0 + 'BRAWLERS OFICIAL'!M17)-'BRAWLERS OFICIAL'!M17)/($BQ17/5)</f>
        <v>0</v>
      </c>
      <c r="N17" s="79">
        <f>((0 + 'BRAWLERS OFICIAL'!N17)-'BRAWLERS OFICIAL'!N17)/($BQ17/5)</f>
        <v>0</v>
      </c>
      <c r="O17" s="79">
        <f>((0 + 'BRAWLERS OFICIAL'!O17)-'BRAWLERS OFICIAL'!O17)/($BQ17/5)</f>
        <v>0</v>
      </c>
      <c r="P17" s="79">
        <f>((0 + 'BRAWLERS OFICIAL'!P17)-'BRAWLERS OFICIAL'!P17)/($BQ17/5)</f>
        <v>0</v>
      </c>
      <c r="Q17" s="79">
        <f>((0 + 'BRAWLERS OFICIAL'!Q17)-'BRAWLERS OFICIAL'!Q17)/($BQ17/5)</f>
        <v>0</v>
      </c>
      <c r="R17" s="79">
        <f>((0 + 'BRAWLERS OFICIAL'!R17)-'BRAWLERS OFICIAL'!R17)/($BQ17/5)</f>
        <v>0</v>
      </c>
      <c r="S17" s="79">
        <f>((0 + 'BRAWLERS OFICIAL'!S17)-'BRAWLERS OFICIAL'!S17)/($BQ17/5)</f>
        <v>0</v>
      </c>
      <c r="T17" s="79">
        <f>((0 + 'BRAWLERS OFICIAL'!T17)-'BRAWLERS OFICIAL'!T17)/($BQ17/5)</f>
        <v>0</v>
      </c>
      <c r="U17" s="79">
        <f>((0 + 'BRAWLERS OFICIAL'!U17)-'BRAWLERS OFICIAL'!U17)/($BQ17/5)</f>
        <v>0</v>
      </c>
      <c r="V17" s="79">
        <f>((0 + 'BRAWLERS OFICIAL'!V17)-'BRAWLERS OFICIAL'!V17)/($BQ17/5)</f>
        <v>0</v>
      </c>
      <c r="W17" s="79">
        <v>0</v>
      </c>
      <c r="X17" s="121">
        <f>(( 'BRAWLERS OFICIAL'!X17/2 + 'BRAWLERS OFICIAL'!X17 + AP17 + AY17/3.5 )-'BRAWLERS OFICIAL'!X17)/($BQ17/5)</f>
        <v>0.57142857142857129</v>
      </c>
      <c r="Y17" s="80">
        <f>((0 + 'BRAWLERS OFICIAL'!Y17)-'BRAWLERS OFICIAL'!Y17)/($BQ17/5)</f>
        <v>0</v>
      </c>
      <c r="Z17" s="80">
        <f>(((0)/3 + 'BRAWLERS OFICIAL'!Z17)-'BRAWLERS OFICIAL'!Z17)</f>
        <v>0</v>
      </c>
      <c r="AA17" s="80">
        <f>((0 + 'BRAWLERS OFICIAL'!AA17)-'BRAWLERS OFICIAL'!AA17)/($BQ17/5)</f>
        <v>0</v>
      </c>
      <c r="AB17" s="80">
        <f>((0 + 'BRAWLERS OFICIAL'!AB17)-'BRAWLERS OFICIAL'!AB17)/($BQ17/5)</f>
        <v>0</v>
      </c>
      <c r="AC17" s="80">
        <f>(((0)/4 + 'BRAWLERS OFICIAL'!AC17)-'BRAWLERS OFICIAL'!AC17)/($BQ17/5)</f>
        <v>0</v>
      </c>
      <c r="AD17" s="80">
        <f>((1 + 'BRAWLERS OFICIAL'!AD17)-'BRAWLERS OFICIAL'!AD17)/($BQ17/5)</f>
        <v>0.33333333333333331</v>
      </c>
      <c r="AE17" s="80">
        <f>((0 + 'BRAWLERS OFICIAL'!AE17)-'BRAWLERS OFICIAL'!AE17)/($BQ17/5)</f>
        <v>0</v>
      </c>
      <c r="AF17" s="80">
        <f>((0 + 'BRAWLERS OFICIAL'!AF17)-'BRAWLERS OFICIAL'!AF17)/($BQ17/5)</f>
        <v>0</v>
      </c>
      <c r="AG17" s="80">
        <f>((0 + 'BRAWLERS OFICIAL'!AG17)-'BRAWLERS OFICIAL'!AG17)</f>
        <v>0</v>
      </c>
      <c r="AH17" s="80">
        <f>((0 + 'BRAWLERS OFICIAL'!AH17)-'BRAWLERS OFICIAL'!AH17)</f>
        <v>0</v>
      </c>
      <c r="AI17" s="80">
        <f>((0 + 'BRAWLERS OFICIAL'!AI17)-'BRAWLERS OFICIAL'!AI17)</f>
        <v>0</v>
      </c>
      <c r="AJ17" s="80">
        <f>((0 + 'BRAWLERS OFICIAL'!AJ17)-'BRAWLERS OFICIAL'!AJ17)/($BQ17/5)</f>
        <v>0</v>
      </c>
      <c r="AK17" s="80">
        <f>((0 + 'BRAWLERS OFICIAL'!AK17)-'BRAWLERS OFICIAL'!AK17)/($BQ17/5)</f>
        <v>0</v>
      </c>
      <c r="AL17" s="80">
        <f>(((BK17/5+1)*AK17 + 'BRAWLERS OFICIAL'!AL17)-'BRAWLERS OFICIAL'!AL17)/($BQ17/5)</f>
        <v>0</v>
      </c>
      <c r="AM17" s="80">
        <f>IF( 0 = (1-1), (1-1), ((0 + 'BRAWLERS OFICIAL'!AM17)/1.5)-'BRAWLERS OFICIAL'!AM17 )</f>
        <v>0</v>
      </c>
      <c r="AN17" s="80">
        <f t="shared" si="0"/>
        <v>0</v>
      </c>
      <c r="AO17" s="80">
        <f>((0 + 'BRAWLERS OFICIAL'!AO17)-'BRAWLERS OFICIAL'!AO17)/($BQ17/5)</f>
        <v>0</v>
      </c>
      <c r="AP17" s="80">
        <f>((0/1000 + 'BRAWLERS OFICIAL'!AP17)-'BRAWLERS OFICIAL'!AP17)</f>
        <v>0</v>
      </c>
      <c r="AQ17" s="80">
        <f>((0 + 'BRAWLERS OFICIAL'!AQ17)-'BRAWLERS OFICIAL'!AQ17)</f>
        <v>0</v>
      </c>
      <c r="AR17" s="80">
        <f>IF( 0 = (1-1), (1-1), ((0 + 'BRAWLERS OFICIAL'!AR17)/1.5) )</f>
        <v>0</v>
      </c>
      <c r="AS17" s="80">
        <f>IF( 0 = (1-1), (1-1), ((0 + 'BRAWLERS OFICIAL'!AS17)/1.5) )</f>
        <v>0</v>
      </c>
      <c r="AT17" s="80">
        <f>IF( 0 = (1-1), (1-1), ((0 + 'BRAWLERS OFICIAL'!AT17)/2) )</f>
        <v>0</v>
      </c>
      <c r="AU17" s="80">
        <f>((0 + 'BRAWLERS OFICIAL'!AU17)-'BRAWLERS OFICIAL'!AU17)/($BQ17/5)</f>
        <v>0</v>
      </c>
      <c r="AV17" s="80">
        <f>(((0)/4 + 'BRAWLERS OFICIAL'!AV17)-'BRAWLERS OFICIAL'!AV17)</f>
        <v>0</v>
      </c>
      <c r="AW17" s="80">
        <v>0</v>
      </c>
      <c r="AX17" s="80" t="s">
        <v>390</v>
      </c>
      <c r="AY17" s="79">
        <f>((( 0 )/3 + 'BRAWLERS OFICIAL'!AY17)-'BRAWLERS OFICIAL'!AY17)</f>
        <v>0</v>
      </c>
      <c r="AZ17" s="79">
        <f>((( 0 )/2 + 'BRAWLERS OFICIAL'!AZ17)-'BRAWLERS OFICIAL'!AZ17)/($BQ17/5)</f>
        <v>0</v>
      </c>
      <c r="BA17" s="79">
        <f>((( 0 )/2 + 'BRAWLERS OFICIAL'!BA17)-'BRAWLERS OFICIAL'!BA17)</f>
        <v>0</v>
      </c>
      <c r="BB17" s="79">
        <f>((( 0 )/3 + 'BRAWLERS OFICIAL'!BB17)-'BRAWLERS OFICIAL'!BB17)</f>
        <v>0</v>
      </c>
      <c r="BC17" s="79">
        <f>((( 0 )/2 + 'BRAWLERS OFICIAL'!BC17)-'BRAWLERS OFICIAL'!BC17)/($BQ17/5)</f>
        <v>0</v>
      </c>
      <c r="BD17" s="79">
        <f>((( 0 )/3 + 'BRAWLERS OFICIAL'!BD17)-'BRAWLERS OFICIAL'!BD17)</f>
        <v>0</v>
      </c>
      <c r="BE17" s="79">
        <f>((( 0 )/3 + 'BRAWLERS OFICIAL'!BE17)-'BRAWLERS OFICIAL'!BE17)</f>
        <v>0</v>
      </c>
      <c r="BF17" s="79">
        <f>((0 + 'BRAWLERS OFICIAL'!BF17)-'BRAWLERS OFICIAL'!BF17)/($BQ17/5)</f>
        <v>0</v>
      </c>
      <c r="BG17" s="79">
        <f>((0 + 'BRAWLERS OFICIAL'!BG17)-'BRAWLERS OFICIAL'!BG17)/($BQ17/5)</f>
        <v>0</v>
      </c>
      <c r="BH17" s="79">
        <f>((( 0 )/2 + 'BRAWLERS OFICIAL'!BH17)-'BRAWLERS OFICIAL'!BH17)</f>
        <v>0</v>
      </c>
      <c r="BI17" s="79">
        <f>((2 + 'BRAWLERS OFICIAL'!BI17)-'BRAWLERS OFICIAL'!BI17)/($BQ17/5)</f>
        <v>0.66666666666666663</v>
      </c>
      <c r="BJ17" s="79">
        <f>((( 0 )/2 + 'BRAWLERS OFICIAL'!BJ17)-'BRAWLERS OFICIAL'!BJ17)</f>
        <v>0</v>
      </c>
      <c r="BK17" s="79">
        <f>((( 0 )/3 + 'BRAWLERS OFICIAL'!BK17)-'BRAWLERS OFICIAL'!BK17)</f>
        <v>0</v>
      </c>
      <c r="BL17" s="79">
        <f>((( 0 )/2 + 'BRAWLERS OFICIAL'!BL17)-'BRAWLERS OFICIAL'!BL17)</f>
        <v>0</v>
      </c>
      <c r="BM17" s="79">
        <f>((2 + 'BRAWLERS OFICIAL'!BM17)-'BRAWLERS OFICIAL'!BM17)/($BQ17/5)</f>
        <v>0.66666666666666663</v>
      </c>
      <c r="BN17" s="79">
        <f>((0 + 'BRAWLERS OFICIAL'!BN17)-'BRAWLERS OFICIAL'!BN17)/($BQ17/5)</f>
        <v>0</v>
      </c>
      <c r="BO17" s="79">
        <f>((0 + 'BRAWLERS OFICIAL'!BO17)-'BRAWLERS OFICIAL'!BO17)/($BQ17/5)</f>
        <v>0</v>
      </c>
      <c r="BQ17" s="79">
        <v>15</v>
      </c>
    </row>
    <row r="18" spans="2:69">
      <c r="B18" s="77" t="s">
        <v>438</v>
      </c>
      <c r="C18" s="67" t="s">
        <v>57</v>
      </c>
      <c r="D18" s="131" t="s">
        <v>332</v>
      </c>
      <c r="E18" s="131" t="s">
        <v>333</v>
      </c>
      <c r="F18" s="79">
        <f>((0 + 'BRAWLERS OFICIAL'!F18)-'BRAWLERS OFICIAL'!F18)/($BQ18/5)</f>
        <v>0</v>
      </c>
      <c r="G18" s="79">
        <f>((0 + 'BRAWLERS OFICIAL'!G18)-'BRAWLERS OFICIAL'!G18)/($BQ18/5)</f>
        <v>0</v>
      </c>
      <c r="H18" s="79">
        <f>((0 + 'BRAWLERS OFICIAL'!H18)-'BRAWLERS OFICIAL'!H18)/($BQ18/5)</f>
        <v>0</v>
      </c>
      <c r="I18" s="79">
        <f>((0 + 'BRAWLERS OFICIAL'!I18)-'BRAWLERS OFICIAL'!I18)/($BQ18/5)</f>
        <v>0</v>
      </c>
      <c r="J18" s="79">
        <f>((0 + 'BRAWLERS OFICIAL'!J18)-'BRAWLERS OFICIAL'!J18)/($BQ18/5)</f>
        <v>0</v>
      </c>
      <c r="K18" s="79">
        <f>((0 + 'BRAWLERS OFICIAL'!K18)-'BRAWLERS OFICIAL'!K18)/($BQ18/5)</f>
        <v>0</v>
      </c>
      <c r="L18" s="79">
        <f>((0 + 'BRAWLERS OFICIAL'!L18)-'BRAWLERS OFICIAL'!L18)/($BQ18/5)</f>
        <v>0</v>
      </c>
      <c r="M18" s="79">
        <f>((0 + 'BRAWLERS OFICIAL'!M18)-'BRAWLERS OFICIAL'!M18)/($BQ18/5)</f>
        <v>0</v>
      </c>
      <c r="N18" s="79">
        <f>((0 + 'BRAWLERS OFICIAL'!N18)-'BRAWLERS OFICIAL'!N18)/($BQ18/5)</f>
        <v>0</v>
      </c>
      <c r="O18" s="79">
        <f>((0 + 'BRAWLERS OFICIAL'!O18)-'BRAWLERS OFICIAL'!O18)/($BQ18/5)</f>
        <v>0</v>
      </c>
      <c r="P18" s="79">
        <f>((0 + 'BRAWLERS OFICIAL'!P18)-'BRAWLERS OFICIAL'!P18)/($BQ18/5)</f>
        <v>0</v>
      </c>
      <c r="Q18" s="79">
        <f>((0 + 'BRAWLERS OFICIAL'!Q18)-'BRAWLERS OFICIAL'!Q18)/($BQ18/5)</f>
        <v>0</v>
      </c>
      <c r="R18" s="79">
        <f>((0 + 'BRAWLERS OFICIAL'!R18)-'BRAWLERS OFICIAL'!R18)/($BQ18/5)</f>
        <v>0</v>
      </c>
      <c r="S18" s="79">
        <f>((0 + 'BRAWLERS OFICIAL'!S18)-'BRAWLERS OFICIAL'!S18)/($BQ18/5)</f>
        <v>0</v>
      </c>
      <c r="T18" s="79">
        <f>((0 + 'BRAWLERS OFICIAL'!T18)-'BRAWLERS OFICIAL'!T18)/($BQ18/5)</f>
        <v>0</v>
      </c>
      <c r="U18" s="79">
        <f>((0 + 'BRAWLERS OFICIAL'!U18)-'BRAWLERS OFICIAL'!U18)/($BQ18/5)</f>
        <v>0</v>
      </c>
      <c r="V18" s="79">
        <f>((0 + 'BRAWLERS OFICIAL'!V18)-'BRAWLERS OFICIAL'!V18)/($BQ18/5)</f>
        <v>0</v>
      </c>
      <c r="W18" s="79">
        <f>(0 + 'BRAWLERS OFICIAL'!W18)-'BRAWLERS OFICIAL'!W18</f>
        <v>0</v>
      </c>
      <c r="X18" s="121">
        <f>(( 'BRAWLERS OFICIAL'!X18/3/3 + 'BRAWLERS OFICIAL'!X18 + AP18 + AY18/3.5 )-'BRAWLERS OFICIAL'!X18)/($BQ18/5)</f>
        <v>0.14472455648926238</v>
      </c>
      <c r="Y18" s="80">
        <f>((0 + 'BRAWLERS OFICIAL'!Y18)-'BRAWLERS OFICIAL'!Y18)/($BQ18/5)</f>
        <v>0</v>
      </c>
      <c r="Z18" s="80">
        <f>(((0)/3 + 'BRAWLERS OFICIAL'!Z18)-'BRAWLERS OFICIAL'!Z18)</f>
        <v>0</v>
      </c>
      <c r="AA18" s="80">
        <f>((0 + 'BRAWLERS OFICIAL'!AA18)-'BRAWLERS OFICIAL'!AA18)/($BQ18/5)</f>
        <v>0</v>
      </c>
      <c r="AB18" s="80">
        <f>((0 + 'BRAWLERS OFICIAL'!AB18)-'BRAWLERS OFICIAL'!AB18)/($BQ18/5)</f>
        <v>0</v>
      </c>
      <c r="AC18" s="80">
        <f>(((0)/4 + 'BRAWLERS OFICIAL'!AC18)-'BRAWLERS OFICIAL'!AC18)/($BQ18/5)</f>
        <v>0</v>
      </c>
      <c r="AD18" s="80">
        <f>((0 + 'BRAWLERS OFICIAL'!AD18)-'BRAWLERS OFICIAL'!AD18)/($BQ18/5)</f>
        <v>0</v>
      </c>
      <c r="AE18" s="80">
        <f>((0 + 'BRAWLERS OFICIAL'!AE18)-'BRAWLERS OFICIAL'!AE18)/($BQ18/5)</f>
        <v>0</v>
      </c>
      <c r="AF18" s="80">
        <f>((0 + 'BRAWLERS OFICIAL'!AF18)-'BRAWLERS OFICIAL'!AF18)/($BQ18/5)</f>
        <v>0</v>
      </c>
      <c r="AG18" s="80">
        <f>((0 + 'BRAWLERS OFICIAL'!AG18)-'BRAWLERS OFICIAL'!AG18)</f>
        <v>0</v>
      </c>
      <c r="AH18" s="80">
        <f>((0 + 'BRAWLERS OFICIAL'!AH18)-'BRAWLERS OFICIAL'!AH18)</f>
        <v>0</v>
      </c>
      <c r="AI18" s="80">
        <f>((0 + 'BRAWLERS OFICIAL'!AI18)-'BRAWLERS OFICIAL'!AI18)</f>
        <v>0</v>
      </c>
      <c r="AJ18" s="80">
        <f>((4/3 + 'BRAWLERS OFICIAL'!AJ18)-'BRAWLERS OFICIAL'!AJ18)/($BQ18/5)</f>
        <v>0.39215686274509798</v>
      </c>
      <c r="AK18" s="80">
        <f>((7/3 + 'BRAWLERS OFICIAL'!AK18)-'BRAWLERS OFICIAL'!AK18)/($BQ18/5)</f>
        <v>0.68627450980392168</v>
      </c>
      <c r="AL18" s="80">
        <f>(((BK18/5+1)*AK18 + 'BRAWLERS OFICIAL'!AL18)-'BRAWLERS OFICIAL'!AL18)/($BQ18/5)</f>
        <v>0.20184544405997698</v>
      </c>
      <c r="AM18" s="80">
        <f>IF( 0 = (1-1), (1-1), ((0 + 'BRAWLERS OFICIAL'!AM18)/1.5)-'BRAWLERS OFICIAL'!AM18 )</f>
        <v>0</v>
      </c>
      <c r="AN18" s="80">
        <f t="shared" si="0"/>
        <v>0</v>
      </c>
      <c r="AO18" s="80">
        <f>((0 + 'BRAWLERS OFICIAL'!AO18)-'BRAWLERS OFICIAL'!AO18)/($BQ18/5)</f>
        <v>0</v>
      </c>
      <c r="AP18" s="80">
        <f>((0/1000 + 'BRAWLERS OFICIAL'!AP18)-'BRAWLERS OFICIAL'!AP18)</f>
        <v>0</v>
      </c>
      <c r="AQ18" s="80">
        <f>((0 + 'BRAWLERS OFICIAL'!AQ18)-'BRAWLERS OFICIAL'!AQ18)</f>
        <v>0</v>
      </c>
      <c r="AR18" s="80">
        <f>IF( 0 = (1-1), (1-1), ((0 + 'BRAWLERS OFICIAL'!AR18)/1.5) )</f>
        <v>0</v>
      </c>
      <c r="AS18" s="80">
        <f>IF( 0 = (1-1), (1-1), ((0 + 'BRAWLERS OFICIAL'!AS18)/1.5) )</f>
        <v>0</v>
      </c>
      <c r="AT18" s="80">
        <f>IF( 0 = (1-1), (1-1), ((0 + 'BRAWLERS OFICIAL'!AT18)/2) )</f>
        <v>0</v>
      </c>
      <c r="AU18" s="80">
        <f>((0 + 'BRAWLERS OFICIAL'!AU18)-'BRAWLERS OFICIAL'!AU18)/($BQ18/5)</f>
        <v>0</v>
      </c>
      <c r="AV18" s="80">
        <f>(((0)/4 + 'BRAWLERS OFICIAL'!AV18)-'BRAWLERS OFICIAL'!AV18)</f>
        <v>0</v>
      </c>
      <c r="AW18" s="80">
        <v>5</v>
      </c>
      <c r="AX18" s="80" t="s">
        <v>439</v>
      </c>
      <c r="AY18" s="79">
        <f>((( 0 )/3 + 'BRAWLERS OFICIAL'!AY18)-'BRAWLERS OFICIAL'!AY18)</f>
        <v>0</v>
      </c>
      <c r="AZ18" s="79">
        <f>((( 0 )/2 + 'BRAWLERS OFICIAL'!AZ18)-'BRAWLERS OFICIAL'!AZ18)/($BQ18/5)</f>
        <v>0</v>
      </c>
      <c r="BA18" s="79">
        <f>((( 0 )/2 + 'BRAWLERS OFICIAL'!BA18)-'BRAWLERS OFICIAL'!BA18)</f>
        <v>0</v>
      </c>
      <c r="BB18" s="79">
        <f>((( 0 )/3 + 'BRAWLERS OFICIAL'!BB18)-'BRAWLERS OFICIAL'!BB18)</f>
        <v>0</v>
      </c>
      <c r="BC18" s="79">
        <f>((( 0 )/2 + 'BRAWLERS OFICIAL'!BC18)-'BRAWLERS OFICIAL'!BC18)/($BQ18/5)</f>
        <v>0</v>
      </c>
      <c r="BD18" s="79">
        <f>((( 0 )/3 + 'BRAWLERS OFICIAL'!BD18)-'BRAWLERS OFICIAL'!BD18)</f>
        <v>0</v>
      </c>
      <c r="BE18" s="79">
        <f>((( 0 )/3 + 'BRAWLERS OFICIAL'!BE18)-'BRAWLERS OFICIAL'!BE18)</f>
        <v>0</v>
      </c>
      <c r="BF18" s="79">
        <f>((0 + 'BRAWLERS OFICIAL'!BF18)-'BRAWLERS OFICIAL'!BF18)/($BQ18/5)</f>
        <v>0</v>
      </c>
      <c r="BG18" s="79">
        <f>((0 + 'BRAWLERS OFICIAL'!BG18)-'BRAWLERS OFICIAL'!BG18)/($BQ18/5)</f>
        <v>0</v>
      </c>
      <c r="BH18" s="79">
        <f>((( 0 )/2 + 'BRAWLERS OFICIAL'!BH18)-'BRAWLERS OFICIAL'!BH18)</f>
        <v>0</v>
      </c>
      <c r="BI18" s="79">
        <f>((0 + 'BRAWLERS OFICIAL'!BI18)-'BRAWLERS OFICIAL'!BI18)/($BQ18/5)</f>
        <v>0</v>
      </c>
      <c r="BJ18" s="79">
        <f>((( 0 )/2 + 'BRAWLERS OFICIAL'!BJ18)-'BRAWLERS OFICIAL'!BJ18)</f>
        <v>0</v>
      </c>
      <c r="BK18" s="79">
        <f>((( 0 )/3 + 'BRAWLERS OFICIAL'!BK18)-'BRAWLERS OFICIAL'!BK18)</f>
        <v>0</v>
      </c>
      <c r="BL18" s="79">
        <f>((( 0 )/2 + 'BRAWLERS OFICIAL'!BL18)-'BRAWLERS OFICIAL'!BL18)</f>
        <v>0</v>
      </c>
      <c r="BM18" s="79">
        <f>((0 + 'BRAWLERS OFICIAL'!BM18)-'BRAWLERS OFICIAL'!BM18)/($BQ18/5)</f>
        <v>0</v>
      </c>
      <c r="BN18" s="79">
        <f>((0 + 'BRAWLERS OFICIAL'!BN18)-'BRAWLERS OFICIAL'!BN18)/($BQ18/5)</f>
        <v>0</v>
      </c>
      <c r="BO18" s="79">
        <f>((0 + 'BRAWLERS OFICIAL'!BO18)-'BRAWLERS OFICIAL'!BO18)/($BQ18/5)</f>
        <v>0</v>
      </c>
      <c r="BQ18" s="79">
        <v>17</v>
      </c>
    </row>
    <row r="19" spans="2:69">
      <c r="B19" s="77" t="s">
        <v>440</v>
      </c>
      <c r="C19" s="67" t="s">
        <v>40</v>
      </c>
      <c r="D19" s="131" t="s">
        <v>389</v>
      </c>
      <c r="E19" s="131" t="s">
        <v>326</v>
      </c>
      <c r="F19" s="79">
        <f>((0 + 'BRAWLERS OFICIAL'!F19)-'BRAWLERS OFICIAL'!F19)/($BQ19/5)</f>
        <v>0</v>
      </c>
      <c r="G19" s="79">
        <f>((0 + 'BRAWLERS OFICIAL'!G19)-'BRAWLERS OFICIAL'!G19)/($BQ19/5)</f>
        <v>0</v>
      </c>
      <c r="H19" s="79">
        <f>((0 + 'BRAWLERS OFICIAL'!H19)-'BRAWLERS OFICIAL'!H19)/($BQ19/5)</f>
        <v>0</v>
      </c>
      <c r="I19" s="79">
        <f>((0 + 'BRAWLERS OFICIAL'!I19)-'BRAWLERS OFICIAL'!I19)/($BQ19/5)</f>
        <v>0</v>
      </c>
      <c r="J19" s="79">
        <f>((0 + 'BRAWLERS OFICIAL'!J19)-'BRAWLERS OFICIAL'!J19)/($BQ19/5)</f>
        <v>0</v>
      </c>
      <c r="K19" s="79">
        <f>((0 + 'BRAWLERS OFICIAL'!K19)-'BRAWLERS OFICIAL'!K19)/($BQ19/5)</f>
        <v>0</v>
      </c>
      <c r="L19" s="79">
        <f>((0 + 'BRAWLERS OFICIAL'!L19)-'BRAWLERS OFICIAL'!L19)/($BQ19/5)</f>
        <v>0</v>
      </c>
      <c r="M19" s="79">
        <f>((0 + 'BRAWLERS OFICIAL'!M19)-'BRAWLERS OFICIAL'!M19)/($BQ19/5)</f>
        <v>0</v>
      </c>
      <c r="N19" s="79">
        <f>((0 + 'BRAWLERS OFICIAL'!N19)-'BRAWLERS OFICIAL'!N19)/($BQ19/5)</f>
        <v>0</v>
      </c>
      <c r="O19" s="79">
        <f>((0 + 'BRAWLERS OFICIAL'!O19)-'BRAWLERS OFICIAL'!O19)/($BQ19/5)</f>
        <v>0</v>
      </c>
      <c r="P19" s="79">
        <f>((0 + 'BRAWLERS OFICIAL'!P19)-'BRAWLERS OFICIAL'!P19)/($BQ19/5)</f>
        <v>0</v>
      </c>
      <c r="Q19" s="79">
        <f>(-'BRAWLERS OFICIAL'!Q19)/($BQ19/5)</f>
        <v>0</v>
      </c>
      <c r="R19" s="79">
        <f>(-'BRAWLERS OFICIAL'!R19)/($BQ19/5)</f>
        <v>-181.81818181818181</v>
      </c>
      <c r="S19" s="79">
        <f>(-'BRAWLERS OFICIAL'!S19)/($BQ19/5)</f>
        <v>-545.45454545454538</v>
      </c>
      <c r="T19" s="79">
        <f>(-'BRAWLERS OFICIAL'!T19)/($BQ19/5)</f>
        <v>-363.63636363636363</v>
      </c>
      <c r="U19" s="79">
        <f>(-'BRAWLERS OFICIAL'!U19)/($BQ19/5)</f>
        <v>-181.81818181818181</v>
      </c>
      <c r="V19" s="79">
        <f>((0 + 'BRAWLERS OFICIAL'!V19)-'BRAWLERS OFICIAL'!V19)/($BQ19/5)</f>
        <v>0</v>
      </c>
      <c r="W19" s="79">
        <f>(0 + 'BRAWLERS OFICIAL'!W19)-'BRAWLERS OFICIAL'!W19</f>
        <v>0</v>
      </c>
      <c r="X19" s="121">
        <f>(( 0 + 'BRAWLERS OFICIAL'!X19 + AP19 + AY19/3.5 )-'BRAWLERS OFICIAL'!X19)/($BQ19/5)</f>
        <v>0.5627705627705627</v>
      </c>
      <c r="Y19" s="80">
        <f>((0 + 'BRAWLERS OFICIAL'!Y19)-'BRAWLERS OFICIAL'!Y19)/($BQ19/5)</f>
        <v>0</v>
      </c>
      <c r="Z19" s="80">
        <f>(((0)/3 + 'BRAWLERS OFICIAL'!Z19)-'BRAWLERS OFICIAL'!Z19)</f>
        <v>0</v>
      </c>
      <c r="AA19" s="80">
        <f>((0 + 'BRAWLERS OFICIAL'!AA19)-'BRAWLERS OFICIAL'!AA19)/($BQ19/5)</f>
        <v>0</v>
      </c>
      <c r="AB19" s="80">
        <f>((0 + 'BRAWLERS OFICIAL'!AB19)-'BRAWLERS OFICIAL'!AB19)/($BQ19/5)</f>
        <v>0</v>
      </c>
      <c r="AC19" s="80">
        <f>(((0)/4 + 'BRAWLERS OFICIAL'!AC19)-'BRAWLERS OFICIAL'!AC19)/($BQ19/5)</f>
        <v>0</v>
      </c>
      <c r="AD19" s="80">
        <f>((0 + 'BRAWLERS OFICIAL'!AD19)-'BRAWLERS OFICIAL'!AD19)/($BQ19/5)</f>
        <v>0</v>
      </c>
      <c r="AE19" s="80">
        <f>((0 + 'BRAWLERS OFICIAL'!AE19)-'BRAWLERS OFICIAL'!AE19)/($BQ19/5)</f>
        <v>0</v>
      </c>
      <c r="AF19" s="80">
        <f>((0 + 'BRAWLERS OFICIAL'!AF19)-'BRAWLERS OFICIAL'!AF19)/($BQ19/5)</f>
        <v>0</v>
      </c>
      <c r="AG19" s="80">
        <f>((0 + 'BRAWLERS OFICIAL'!AG19)-'BRAWLERS OFICIAL'!AG19)</f>
        <v>0</v>
      </c>
      <c r="AH19" s="80">
        <f>((0 + 'BRAWLERS OFICIAL'!AH19)-'BRAWLERS OFICIAL'!AH19)</f>
        <v>0</v>
      </c>
      <c r="AI19" s="80">
        <f>((0 + 'BRAWLERS OFICIAL'!AI19)-'BRAWLERS OFICIAL'!AI19)</f>
        <v>0</v>
      </c>
      <c r="AJ19" s="80">
        <f>((0 + 'BRAWLERS OFICIAL'!AJ19)-'BRAWLERS OFICIAL'!AJ19)/($BQ19/5)</f>
        <v>0</v>
      </c>
      <c r="AK19" s="80">
        <f>((0 + 'BRAWLERS OFICIAL'!AK19)-'BRAWLERS OFICIAL'!AK19)/($BQ19/5)</f>
        <v>0</v>
      </c>
      <c r="AL19" s="80">
        <f>(((BK19/5+1)*AK19 + 'BRAWLERS OFICIAL'!AL19)-'BRAWLERS OFICIAL'!AL19)/($BQ19/5)</f>
        <v>0</v>
      </c>
      <c r="AM19" s="80">
        <f>IF( 0 = (1-1), (1-1), ((0 + 'BRAWLERS OFICIAL'!AM19)/1.5)-'BRAWLERS OFICIAL'!AM19 )</f>
        <v>0</v>
      </c>
      <c r="AN19" s="80">
        <f t="shared" si="0"/>
        <v>0</v>
      </c>
      <c r="AO19" s="80">
        <f>((0 + 'BRAWLERS OFICIAL'!AO19)-'BRAWLERS OFICIAL'!AO19)/($BQ19/5)</f>
        <v>0</v>
      </c>
      <c r="AP19" s="80">
        <f>((0/1000 + 'BRAWLERS OFICIAL'!AP19)-'BRAWLERS OFICIAL'!AP19)</f>
        <v>0</v>
      </c>
      <c r="AQ19" s="80">
        <f>((0 + 'BRAWLERS OFICIAL'!AQ19)-'BRAWLERS OFICIAL'!AQ19)</f>
        <v>0</v>
      </c>
      <c r="AR19" s="80">
        <f>IF( 0 = (1-1), (1-1), ((0 + 'BRAWLERS OFICIAL'!AR19)/1.5) )</f>
        <v>0</v>
      </c>
      <c r="AS19" s="80">
        <f>IF( 0 = (1-1), (1-1), ((0 + 'BRAWLERS OFICIAL'!AS19)/1.5) )</f>
        <v>0</v>
      </c>
      <c r="AT19" s="80">
        <f>IF( 0 = (1-1), (1-1), ((0 + 'BRAWLERS OFICIAL'!AT19)/2) )</f>
        <v>0</v>
      </c>
      <c r="AU19" s="80">
        <f>((0 + 'BRAWLERS OFICIAL'!AU19)-'BRAWLERS OFICIAL'!AU19)/($BQ19/5)</f>
        <v>0</v>
      </c>
      <c r="AV19" s="80">
        <f>(((0)/4 + 'BRAWLERS OFICIAL'!AV19)-'BRAWLERS OFICIAL'!AV19)</f>
        <v>0</v>
      </c>
      <c r="AW19" s="80">
        <v>2.5</v>
      </c>
      <c r="AX19" s="80" t="s">
        <v>441</v>
      </c>
      <c r="AY19" s="79">
        <f>((( 4 + 6 + 3 )/3 + 'BRAWLERS OFICIAL'!AY19)-'BRAWLERS OFICIAL'!AY19)</f>
        <v>4.333333333333333</v>
      </c>
      <c r="AZ19" s="79">
        <f>((( 0 )/2 + 'BRAWLERS OFICIAL'!AZ19)-'BRAWLERS OFICIAL'!AZ19)/($BQ19/5)</f>
        <v>0</v>
      </c>
      <c r="BA19" s="79">
        <f>((( 0 )/2 + 'BRAWLERS OFICIAL'!BA19)-'BRAWLERS OFICIAL'!BA19)</f>
        <v>0</v>
      </c>
      <c r="BB19" s="79">
        <f>((( 0 )/3 + 'BRAWLERS OFICIAL'!BB19)-'BRAWLERS OFICIAL'!BB19)</f>
        <v>0</v>
      </c>
      <c r="BC19" s="79">
        <f>((( 0 )/2 + 'BRAWLERS OFICIAL'!BC19)-'BRAWLERS OFICIAL'!BC19)/($BQ19/5)</f>
        <v>0</v>
      </c>
      <c r="BD19" s="79">
        <f>((( 0 )/3 + 'BRAWLERS OFICIAL'!BD19)-'BRAWLERS OFICIAL'!BD19)</f>
        <v>0</v>
      </c>
      <c r="BE19" s="79">
        <f>((( 0 )/3 + 'BRAWLERS OFICIAL'!BE19)-'BRAWLERS OFICIAL'!BE19)</f>
        <v>0</v>
      </c>
      <c r="BF19" s="79">
        <f>((0 + 'BRAWLERS OFICIAL'!BF19)-'BRAWLERS OFICIAL'!BF19)/($BQ19/5)</f>
        <v>0</v>
      </c>
      <c r="BG19" s="79">
        <f>((0 + 'BRAWLERS OFICIAL'!BG19)-'BRAWLERS OFICIAL'!BG19)/($BQ19/5)</f>
        <v>0</v>
      </c>
      <c r="BH19" s="79">
        <f>((( 0 )/2 + 'BRAWLERS OFICIAL'!BH19)-'BRAWLERS OFICIAL'!BH19)</f>
        <v>0</v>
      </c>
      <c r="BI19" s="79">
        <f>((0 + 'BRAWLERS OFICIAL'!BI19)-'BRAWLERS OFICIAL'!BI19)/($BQ19/5)</f>
        <v>0</v>
      </c>
      <c r="BJ19" s="79">
        <f>((( 0 )/2 + 'BRAWLERS OFICIAL'!BJ19)-'BRAWLERS OFICIAL'!BJ19)</f>
        <v>0</v>
      </c>
      <c r="BK19" s="79">
        <f>((( 0 )/3 + 'BRAWLERS OFICIAL'!BK19)-'BRAWLERS OFICIAL'!BK19)</f>
        <v>0</v>
      </c>
      <c r="BL19" s="79">
        <f>((( 0 )/2 + 'BRAWLERS OFICIAL'!BL19)-'BRAWLERS OFICIAL'!BL19)</f>
        <v>0</v>
      </c>
      <c r="BM19" s="79">
        <f>((0 + 'BRAWLERS OFICIAL'!BM19)-'BRAWLERS OFICIAL'!BM19)/($BQ19/5)</f>
        <v>0</v>
      </c>
      <c r="BN19" s="79">
        <f>((0 + 'BRAWLERS OFICIAL'!BN19)-'BRAWLERS OFICIAL'!BN19)/($BQ19/5)</f>
        <v>0</v>
      </c>
      <c r="BO19" s="79">
        <f>((0 + 'BRAWLERS OFICIAL'!BO19)-'BRAWLERS OFICIAL'!BO19)/($BQ19/5)</f>
        <v>0</v>
      </c>
      <c r="BQ19" s="79">
        <v>11</v>
      </c>
    </row>
    <row r="20" spans="2:69">
      <c r="B20" s="78" t="s">
        <v>442</v>
      </c>
      <c r="C20" s="82" t="s">
        <v>69</v>
      </c>
      <c r="D20" s="133" t="s">
        <v>368</v>
      </c>
      <c r="E20" s="133" t="s">
        <v>376</v>
      </c>
      <c r="F20" s="79">
        <f>((0 + 'BRAWLERS OFICIAL'!F20)-'BRAWLERS OFICIAL'!F20)/($BQ20/5)</f>
        <v>0</v>
      </c>
      <c r="G20" s="79">
        <f>((0 + 'BRAWLERS OFICIAL'!G20)-'BRAWLERS OFICIAL'!G20)/($BQ20/5)</f>
        <v>0</v>
      </c>
      <c r="H20" s="79">
        <f>((0 + 'BRAWLERS OFICIAL'!H20)-'BRAWLERS OFICIAL'!H20)/($BQ20/5)</f>
        <v>0</v>
      </c>
      <c r="I20" s="79">
        <f>((0 + 'BRAWLERS OFICIAL'!I20)-'BRAWLERS OFICIAL'!I20)/($BQ20/5)</f>
        <v>0</v>
      </c>
      <c r="J20" s="79">
        <f>((0 + 'BRAWLERS OFICIAL'!J20)-'BRAWLERS OFICIAL'!J20)/($BQ20/5)</f>
        <v>0</v>
      </c>
      <c r="K20" s="79">
        <f>((0 + 'BRAWLERS OFICIAL'!K20)-'BRAWLERS OFICIAL'!K20)/($BQ20/5)</f>
        <v>0</v>
      </c>
      <c r="L20" s="79">
        <f>((0 + 'BRAWLERS OFICIAL'!L20)-'BRAWLERS OFICIAL'!L20)/($BQ20/5)</f>
        <v>0</v>
      </c>
      <c r="M20" s="79">
        <f>((0 + 'BRAWLERS OFICIAL'!M20)-'BRAWLERS OFICIAL'!M20)/($BQ20/5)</f>
        <v>0</v>
      </c>
      <c r="N20" s="79">
        <f>((0 + 'BRAWLERS OFICIAL'!N20)-'BRAWLERS OFICIAL'!N20)/($BQ20/5)</f>
        <v>0</v>
      </c>
      <c r="O20" s="79">
        <f>((0 + 'BRAWLERS OFICIAL'!O20)-'BRAWLERS OFICIAL'!O20)/($BQ20/5)</f>
        <v>0</v>
      </c>
      <c r="P20" s="79">
        <f>((0 + 'BRAWLERS OFICIAL'!P20)-'BRAWLERS OFICIAL'!P20)/($BQ20/5)</f>
        <v>0</v>
      </c>
      <c r="Q20" s="79">
        <f>((0 + 'BRAWLERS OFICIAL'!Q20)-'BRAWLERS OFICIAL'!Q20)/($BQ20/5)</f>
        <v>0</v>
      </c>
      <c r="R20" s="79">
        <f>((0 + 'BRAWLERS OFICIAL'!R20)-'BRAWLERS OFICIAL'!R20)/($BQ20/5)</f>
        <v>0</v>
      </c>
      <c r="S20" s="79">
        <f>((0 + 'BRAWLERS OFICIAL'!S20)-'BRAWLERS OFICIAL'!S20)/($BQ20/5)</f>
        <v>0</v>
      </c>
      <c r="T20" s="79">
        <f>((0 + 'BRAWLERS OFICIAL'!T20)-'BRAWLERS OFICIAL'!T20)/($BQ20/5)</f>
        <v>0</v>
      </c>
      <c r="U20" s="79">
        <f>((0 + 'BRAWLERS OFICIAL'!U20)-'BRAWLERS OFICIAL'!U20)/($BQ20/5)</f>
        <v>0</v>
      </c>
      <c r="V20" s="79">
        <f>((0 + 'BRAWLERS OFICIAL'!V20)-'BRAWLERS OFICIAL'!V20)/($BQ20/5)</f>
        <v>0</v>
      </c>
      <c r="W20" s="79">
        <f>(0 + 'BRAWLERS OFICIAL'!W20)-'BRAWLERS OFICIAL'!W20</f>
        <v>0</v>
      </c>
      <c r="X20" s="121">
        <f>(( AVERAGE(300, 3000)/1400 + 'BRAWLERS OFICIAL'!X20 + AP20 + AY20/3.5 )-'BRAWLERS OFICIAL'!X20)/($BQ20/5)</f>
        <v>0.73660714285714302</v>
      </c>
      <c r="Y20" s="80">
        <f>((0 + 'BRAWLERS OFICIAL'!Y20)-'BRAWLERS OFICIAL'!Y20)/($BQ20/5)</f>
        <v>0</v>
      </c>
      <c r="Z20" s="80">
        <f>(((0)/3 + 'BRAWLERS OFICIAL'!Z20)-'BRAWLERS OFICIAL'!Z20)</f>
        <v>0</v>
      </c>
      <c r="AA20" s="80">
        <f>((0 + 'BRAWLERS OFICIAL'!AA20)-'BRAWLERS OFICIAL'!AA20)/($BQ20/5)</f>
        <v>0</v>
      </c>
      <c r="AB20" s="80">
        <f>((0 + 'BRAWLERS OFICIAL'!AB20)-'BRAWLERS OFICIAL'!AB20)/($BQ20/5)</f>
        <v>0</v>
      </c>
      <c r="AC20" s="80">
        <f>(((0)/4 + 'BRAWLERS OFICIAL'!AC20)-'BRAWLERS OFICIAL'!AC20)/($BQ20/5)</f>
        <v>0</v>
      </c>
      <c r="AD20" s="80">
        <f>((0 + 'BRAWLERS OFICIAL'!AD20)-'BRAWLERS OFICIAL'!AD20)/($BQ20/5)</f>
        <v>0</v>
      </c>
      <c r="AE20" s="80">
        <f>((0 + 'BRAWLERS OFICIAL'!AE20)-'BRAWLERS OFICIAL'!AE20)/($BQ20/5)</f>
        <v>0</v>
      </c>
      <c r="AF20" s="80">
        <f>((0 + 'BRAWLERS OFICIAL'!AF20)-'BRAWLERS OFICIAL'!AF20)/($BQ20/5)</f>
        <v>0</v>
      </c>
      <c r="AG20" s="80">
        <f>((0 + 'BRAWLERS OFICIAL'!AG20)-'BRAWLERS OFICIAL'!AG20)</f>
        <v>0</v>
      </c>
      <c r="AH20" s="80">
        <f>((0 + 'BRAWLERS OFICIAL'!AH20)-'BRAWLERS OFICIAL'!AH20)</f>
        <v>0</v>
      </c>
      <c r="AI20" s="80">
        <f>((0 + 'BRAWLERS OFICIAL'!AI20)-'BRAWLERS OFICIAL'!AI20)</f>
        <v>0</v>
      </c>
      <c r="AJ20" s="80">
        <f>((0 + 'BRAWLERS OFICIAL'!AJ20)-'BRAWLERS OFICIAL'!AJ20)/($BQ20/5)</f>
        <v>0</v>
      </c>
      <c r="AK20" s="80">
        <f>((4 + 'BRAWLERS OFICIAL'!AK20)-'BRAWLERS OFICIAL'!AK20)/($BQ20/5)</f>
        <v>2.5</v>
      </c>
      <c r="AL20" s="80">
        <f>(((BK20/5+1)*AK20 + 'BRAWLERS OFICIAL'!AL20)-'BRAWLERS OFICIAL'!AL20)/($BQ20/5)</f>
        <v>1.5625</v>
      </c>
      <c r="AM20" s="80">
        <f>IF( 0 = (1-1), (1-1), ((0 + 'BRAWLERS OFICIAL'!AM20)/1.5)-'BRAWLERS OFICIAL'!AM20 )</f>
        <v>0</v>
      </c>
      <c r="AN20" s="80">
        <f t="shared" si="0"/>
        <v>0</v>
      </c>
      <c r="AO20" s="80">
        <f>((0 + 'BRAWLERS OFICIAL'!AO20)-'BRAWLERS OFICIAL'!AO20)/($BQ20/5)</f>
        <v>0</v>
      </c>
      <c r="AP20" s="80">
        <f>((0/1000 + 'BRAWLERS OFICIAL'!AP20)-'BRAWLERS OFICIAL'!AP20)</f>
        <v>0</v>
      </c>
      <c r="AQ20" s="80">
        <f>((0 + 'BRAWLERS OFICIAL'!AQ20)-'BRAWLERS OFICIAL'!AQ20)</f>
        <v>0</v>
      </c>
      <c r="AR20" s="80">
        <f>IF( 0 = (1-1), (1-1), ((0 + 'BRAWLERS OFICIAL'!AR20)/1.5) )</f>
        <v>0</v>
      </c>
      <c r="AS20" s="80">
        <f>IF( 0 = (1-1), (1-1), ((0 + 'BRAWLERS OFICIAL'!AS20)/1.5) )</f>
        <v>0</v>
      </c>
      <c r="AT20" s="80">
        <f>IF( 0 = (1-1), (1-1), ((0 + 'BRAWLERS OFICIAL'!AT20)/2) )</f>
        <v>0</v>
      </c>
      <c r="AU20" s="80">
        <f>((0 + 'BRAWLERS OFICIAL'!AU20)-'BRAWLERS OFICIAL'!AU20)/($BQ20/5)</f>
        <v>0</v>
      </c>
      <c r="AV20" s="80">
        <f>(((0)/4 + 'BRAWLERS OFICIAL'!AV20)-'BRAWLERS OFICIAL'!AV20)</f>
        <v>0</v>
      </c>
      <c r="AW20" s="80">
        <v>2.5</v>
      </c>
      <c r="AX20" s="80" t="s">
        <v>443</v>
      </c>
      <c r="AY20" s="79">
        <f>((( 0 )/3 + 'BRAWLERS OFICIAL'!AY20)-'BRAWLERS OFICIAL'!AY20)</f>
        <v>0</v>
      </c>
      <c r="AZ20" s="79">
        <f>((( 0 )/2 + 'BRAWLERS OFICIAL'!AZ20)-'BRAWLERS OFICIAL'!AZ20)/($BQ20/5)</f>
        <v>0</v>
      </c>
      <c r="BA20" s="79">
        <f>((( 0 )/2 + 'BRAWLERS OFICIAL'!BA20)-'BRAWLERS OFICIAL'!BA20)</f>
        <v>0</v>
      </c>
      <c r="BB20" s="79">
        <f>((( 0 )/3 + 'BRAWLERS OFICIAL'!BB20)-'BRAWLERS OFICIAL'!BB20)</f>
        <v>0</v>
      </c>
      <c r="BC20" s="79">
        <f>((( 0 )/2 + 'BRAWLERS OFICIAL'!BC20)-'BRAWLERS OFICIAL'!BC20)/($BQ20/5)</f>
        <v>0</v>
      </c>
      <c r="BD20" s="79">
        <f>((( 0 )/3 + 'BRAWLERS OFICIAL'!BD20)-'BRAWLERS OFICIAL'!BD20)</f>
        <v>0</v>
      </c>
      <c r="BE20" s="79">
        <f>((( 0 )/3 + 'BRAWLERS OFICIAL'!BE20)-'BRAWLERS OFICIAL'!BE20)</f>
        <v>0</v>
      </c>
      <c r="BF20" s="79">
        <f>((0 + 'BRAWLERS OFICIAL'!BF20)-'BRAWLERS OFICIAL'!BF20)/($BQ20/5)</f>
        <v>0</v>
      </c>
      <c r="BG20" s="79">
        <f>((0 + 'BRAWLERS OFICIAL'!BG20)-'BRAWLERS OFICIAL'!BG20)/($BQ20/5)</f>
        <v>0</v>
      </c>
      <c r="BH20" s="79">
        <f>((( 0 )/2 + 'BRAWLERS OFICIAL'!BH20)-'BRAWLERS OFICIAL'!BH20)</f>
        <v>0</v>
      </c>
      <c r="BI20" s="79">
        <f>((0 + 'BRAWLERS OFICIAL'!BI20)-'BRAWLERS OFICIAL'!BI20)/($BQ20/5)</f>
        <v>0</v>
      </c>
      <c r="BJ20" s="79">
        <f>((( 0 )/2 + 'BRAWLERS OFICIAL'!BJ20)-'BRAWLERS OFICIAL'!BJ20)</f>
        <v>0</v>
      </c>
      <c r="BK20" s="79">
        <f>((( 0 )/3 + 'BRAWLERS OFICIAL'!BK20)-'BRAWLERS OFICIAL'!BK20)</f>
        <v>0</v>
      </c>
      <c r="BL20" s="79">
        <f>((( 0 )/2 + 'BRAWLERS OFICIAL'!BL20)-'BRAWLERS OFICIAL'!BL20)</f>
        <v>0</v>
      </c>
      <c r="BM20" s="79">
        <f>((0 + 'BRAWLERS OFICIAL'!BM20)-'BRAWLERS OFICIAL'!BM20)/($BQ20/5)</f>
        <v>0</v>
      </c>
      <c r="BN20" s="79">
        <f>((0 + 'BRAWLERS OFICIAL'!BN20)-'BRAWLERS OFICIAL'!BN20)/($BQ20/5)</f>
        <v>0</v>
      </c>
      <c r="BO20" s="79">
        <f>((0 + 'BRAWLERS OFICIAL'!BO20)-'BRAWLERS OFICIAL'!BO20)/($BQ20/5)</f>
        <v>0</v>
      </c>
      <c r="BQ20" s="79">
        <v>8</v>
      </c>
    </row>
    <row r="21" spans="2:69">
      <c r="C21" t="s">
        <v>393</v>
      </c>
    </row>
    <row r="22" spans="2:69">
      <c r="B22" t="s">
        <v>419</v>
      </c>
      <c r="C22" t="s">
        <v>420</v>
      </c>
    </row>
  </sheetData>
  <conditionalFormatting sqref="W3:W20 AW3:AX20">
    <cfRule type="cellIs" dxfId="25" priority="31" operator="greaterThan">
      <formula>0</formula>
    </cfRule>
  </conditionalFormatting>
  <conditionalFormatting sqref="BQ3:BQ20">
    <cfRule type="cellIs" dxfId="24" priority="27" operator="greaterThan">
      <formula>0</formula>
    </cfRule>
  </conditionalFormatting>
  <conditionalFormatting sqref="F3:V20">
    <cfRule type="cellIs" dxfId="23" priority="26" operator="greaterThan">
      <formula>0</formula>
    </cfRule>
  </conditionalFormatting>
  <conditionalFormatting sqref="AU6:AU7 Z6:AF8 AU9:AU20 AA3:AB5 AD3:AK3 AA9:AB20 AD9:AF20 Y3:Y12 AD4:AF5 AG4:AK20">
    <cfRule type="cellIs" dxfId="22" priority="25" operator="greaterThan">
      <formula>0</formula>
    </cfRule>
  </conditionalFormatting>
  <conditionalFormatting sqref="Y13:Y20">
    <cfRule type="cellIs" dxfId="21" priority="21" operator="greaterThan">
      <formula>0</formula>
    </cfRule>
  </conditionalFormatting>
  <conditionalFormatting sqref="AY6 BM6">
    <cfRule type="cellIs" dxfId="20" priority="20" operator="greaterThan">
      <formula>0</formula>
    </cfRule>
  </conditionalFormatting>
  <conditionalFormatting sqref="AL3:AL20">
    <cfRule type="cellIs" dxfId="19" priority="19" operator="greaterThan">
      <formula>0</formula>
    </cfRule>
  </conditionalFormatting>
  <conditionalFormatting sqref="X3 X5:X20">
    <cfRule type="cellIs" dxfId="18" priority="14" operator="greaterThan">
      <formula>0</formula>
    </cfRule>
  </conditionalFormatting>
  <conditionalFormatting sqref="AU8">
    <cfRule type="cellIs" dxfId="17" priority="13" operator="greaterThan">
      <formula>0</formula>
    </cfRule>
  </conditionalFormatting>
  <conditionalFormatting sqref="AN3:AV3 AN4:AT20 AU4:AV5 AV6:AV20">
    <cfRule type="cellIs" dxfId="16" priority="12" operator="greaterThan">
      <formula>0</formula>
    </cfRule>
  </conditionalFormatting>
  <conditionalFormatting sqref="X4">
    <cfRule type="cellIs" dxfId="15" priority="10" operator="greaterThan">
      <formula>0</formula>
    </cfRule>
  </conditionalFormatting>
  <conditionalFormatting sqref="Z3:Z5">
    <cfRule type="cellIs" dxfId="14" priority="9" operator="greaterThan">
      <formula>0</formula>
    </cfRule>
  </conditionalFormatting>
  <conditionalFormatting sqref="Z9:Z20">
    <cfRule type="cellIs" dxfId="13" priority="8" operator="greaterThan">
      <formula>0</formula>
    </cfRule>
  </conditionalFormatting>
  <conditionalFormatting sqref="AC3:AC5">
    <cfRule type="cellIs" dxfId="12" priority="7" operator="greaterThan">
      <formula>0</formula>
    </cfRule>
  </conditionalFormatting>
  <conditionalFormatting sqref="AC9:AC20">
    <cfRule type="cellIs" dxfId="11" priority="6" operator="greaterThan">
      <formula>0</formula>
    </cfRule>
  </conditionalFormatting>
  <conditionalFormatting sqref="BF7:BO7 AY7:BC20 BE3:BE7 BE8:BO20">
    <cfRule type="cellIs" dxfId="10" priority="5" operator="greaterThan">
      <formula>0</formula>
    </cfRule>
  </conditionalFormatting>
  <conditionalFormatting sqref="AY3:BC5 AZ6:BC6 BN6:BO6 BF6:BL6 BF3:BO5">
    <cfRule type="cellIs" dxfId="9" priority="4" operator="greaterThan">
      <formula>0</formula>
    </cfRule>
  </conditionalFormatting>
  <conditionalFormatting sqref="BD3:BD20">
    <cfRule type="cellIs" dxfId="8" priority="3" operator="greaterThan">
      <formula>0</formula>
    </cfRule>
  </conditionalFormatting>
  <conditionalFormatting sqref="AM3:AM20">
    <cfRule type="cellIs" dxfId="7" priority="1" operator="greaterThan">
      <formula>0</formula>
    </cfRule>
  </conditionalFormatting>
  <dataValidations count="1">
    <dataValidation allowBlank="1" showInputMessage="1" showErrorMessage="1" sqref="B2:B20" xr:uid="{47D2209A-F2D0-445E-B105-9B848B9E3A54}"/>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9B4745A0-0DA9-4B7D-BA66-ABFC1BB758CA}">
          <x14:formula1>
            <xm:f>'BRAWLERS OFICIAL'!$F$2:$CP$2</xm:f>
          </x14:formula1>
          <xm:sqref>D3:E20</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AEDBF-B95D-454B-A976-41FF9398BDA0}">
  <dimension ref="A1:BQ23"/>
  <sheetViews>
    <sheetView workbookViewId="0">
      <pane xSplit="3" topLeftCell="AQ1" activePane="topRight" state="frozen"/>
      <selection pane="topRight" activeCell="AX17" sqref="AX17"/>
    </sheetView>
  </sheetViews>
  <sheetFormatPr defaultRowHeight="15"/>
  <cols>
    <col min="1" max="1" width="9.140625" style="96"/>
    <col min="2" max="2" width="23.7109375" bestFit="1" customWidth="1"/>
  </cols>
  <sheetData>
    <row r="1" spans="1:69" s="125" customFormat="1">
      <c r="A1" s="124"/>
      <c r="Z1" s="125" t="s">
        <v>397</v>
      </c>
      <c r="AB1" s="125" t="s">
        <v>397</v>
      </c>
      <c r="AG1" s="125" t="s">
        <v>397</v>
      </c>
      <c r="AH1" s="125" t="s">
        <v>397</v>
      </c>
      <c r="AI1" s="125" t="s">
        <v>397</v>
      </c>
      <c r="AM1" s="125" t="s">
        <v>397</v>
      </c>
      <c r="AN1" s="125" t="s">
        <v>397</v>
      </c>
      <c r="AP1" s="125" t="s">
        <v>397</v>
      </c>
      <c r="AQ1" s="125" t="s">
        <v>397</v>
      </c>
      <c r="AR1" s="125" t="s">
        <v>397</v>
      </c>
      <c r="AS1" s="125" t="s">
        <v>397</v>
      </c>
      <c r="AT1" s="125" t="s">
        <v>397</v>
      </c>
      <c r="AV1" s="125" t="s">
        <v>397</v>
      </c>
      <c r="AY1" s="125" t="s">
        <v>397</v>
      </c>
      <c r="BA1" s="125" t="s">
        <v>397</v>
      </c>
      <c r="BB1" s="125" t="s">
        <v>397</v>
      </c>
      <c r="BD1" s="125" t="s">
        <v>397</v>
      </c>
      <c r="BE1" s="125" t="s">
        <v>397</v>
      </c>
      <c r="BH1" s="125" t="s">
        <v>397</v>
      </c>
      <c r="BJ1" s="125" t="s">
        <v>397</v>
      </c>
      <c r="BK1" s="125" t="s">
        <v>397</v>
      </c>
      <c r="BL1" s="125" t="s">
        <v>397</v>
      </c>
    </row>
    <row r="2" spans="1:69">
      <c r="B2" s="95" t="s">
        <v>398</v>
      </c>
      <c r="C2" s="95" t="s">
        <v>302</v>
      </c>
      <c r="D2" s="118" t="s">
        <v>303</v>
      </c>
      <c r="E2" s="118" t="s">
        <v>304</v>
      </c>
      <c r="F2" s="118" t="s">
        <v>305</v>
      </c>
      <c r="G2" s="118" t="s">
        <v>306</v>
      </c>
      <c r="H2" s="118" t="s">
        <v>307</v>
      </c>
      <c r="I2" s="118" t="s">
        <v>308</v>
      </c>
      <c r="J2" s="118" t="s">
        <v>309</v>
      </c>
      <c r="K2" s="118" t="s">
        <v>310</v>
      </c>
      <c r="L2" s="118" t="s">
        <v>311</v>
      </c>
      <c r="M2" s="118" t="s">
        <v>312</v>
      </c>
      <c r="N2" s="118" t="s">
        <v>313</v>
      </c>
      <c r="O2" s="118" t="s">
        <v>314</v>
      </c>
      <c r="P2" s="118" t="s">
        <v>315</v>
      </c>
      <c r="Q2" s="118" t="s">
        <v>316</v>
      </c>
      <c r="R2" s="118" t="s">
        <v>317</v>
      </c>
      <c r="S2" s="118" t="s">
        <v>318</v>
      </c>
      <c r="T2" s="118" t="s">
        <v>319</v>
      </c>
      <c r="U2" s="118" t="s">
        <v>320</v>
      </c>
      <c r="V2" s="118" t="s">
        <v>321</v>
      </c>
      <c r="W2" s="118" t="s">
        <v>322</v>
      </c>
      <c r="X2" s="95" t="s">
        <v>323</v>
      </c>
      <c r="Y2" s="95" t="s">
        <v>324</v>
      </c>
      <c r="Z2" s="95" t="s">
        <v>325</v>
      </c>
      <c r="AA2" s="95" t="s">
        <v>326</v>
      </c>
      <c r="AB2" s="95" t="s">
        <v>327</v>
      </c>
      <c r="AC2" s="95" t="s">
        <v>328</v>
      </c>
      <c r="AD2" s="95" t="s">
        <v>329</v>
      </c>
      <c r="AE2" s="95" t="s">
        <v>330</v>
      </c>
      <c r="AF2" s="95" t="s">
        <v>331</v>
      </c>
      <c r="AG2" s="95" t="s">
        <v>332</v>
      </c>
      <c r="AH2" s="95" t="s">
        <v>333</v>
      </c>
      <c r="AI2" s="118" t="s">
        <v>334</v>
      </c>
      <c r="AJ2" s="118" t="s">
        <v>335</v>
      </c>
      <c r="AK2" s="118" t="s">
        <v>336</v>
      </c>
      <c r="AL2" s="95" t="s">
        <v>337</v>
      </c>
      <c r="AM2" s="118" t="s">
        <v>338</v>
      </c>
      <c r="AN2" s="118" t="s">
        <v>339</v>
      </c>
      <c r="AO2" s="118" t="s">
        <v>340</v>
      </c>
      <c r="AP2" s="118" t="s">
        <v>341</v>
      </c>
      <c r="AQ2" s="118" t="s">
        <v>342</v>
      </c>
      <c r="AR2" s="118" t="s">
        <v>343</v>
      </c>
      <c r="AS2" s="118" t="s">
        <v>344</v>
      </c>
      <c r="AT2" s="118" t="s">
        <v>345</v>
      </c>
      <c r="AU2" s="118" t="s">
        <v>346</v>
      </c>
      <c r="AV2" s="118" t="s">
        <v>347</v>
      </c>
      <c r="AW2" s="118" t="s">
        <v>348</v>
      </c>
      <c r="AX2" s="118" t="s">
        <v>349</v>
      </c>
      <c r="AY2" s="95" t="s">
        <v>350</v>
      </c>
      <c r="AZ2" s="95" t="s">
        <v>351</v>
      </c>
      <c r="BA2" s="118" t="s">
        <v>352</v>
      </c>
      <c r="BB2" s="95" t="s">
        <v>353</v>
      </c>
      <c r="BC2" s="95" t="s">
        <v>354</v>
      </c>
      <c r="BD2" s="95" t="s">
        <v>355</v>
      </c>
      <c r="BE2" s="95" t="s">
        <v>356</v>
      </c>
      <c r="BF2" s="95" t="s">
        <v>357</v>
      </c>
      <c r="BG2" s="119" t="s">
        <v>358</v>
      </c>
      <c r="BH2" s="95" t="s">
        <v>359</v>
      </c>
      <c r="BI2" s="95" t="s">
        <v>360</v>
      </c>
      <c r="BJ2" s="118" t="s">
        <v>361</v>
      </c>
      <c r="BK2" s="118" t="s">
        <v>362</v>
      </c>
      <c r="BL2" s="95" t="s">
        <v>363</v>
      </c>
      <c r="BM2" s="95" t="s">
        <v>364</v>
      </c>
      <c r="BN2" s="118" t="s">
        <v>365</v>
      </c>
      <c r="BO2" s="95" t="s">
        <v>366</v>
      </c>
      <c r="BQ2" s="95" t="s">
        <v>444</v>
      </c>
    </row>
    <row r="3" spans="1:69">
      <c r="B3" s="97" t="s">
        <v>445</v>
      </c>
      <c r="C3" s="70" t="s">
        <v>78</v>
      </c>
      <c r="D3" s="134" t="s">
        <v>383</v>
      </c>
      <c r="E3" s="134" t="s">
        <v>325</v>
      </c>
      <c r="F3" s="100">
        <f>((0 + 'BRAWLERS OFICIAL'!F3)-'BRAWLERS OFICIAL'!F3)</f>
        <v>0</v>
      </c>
      <c r="G3" s="100">
        <f>((0 + 'BRAWLERS OFICIAL'!G3)-'BRAWLERS OFICIAL'!G3)</f>
        <v>0</v>
      </c>
      <c r="H3" s="100">
        <f>((0 + 'BRAWLERS OFICIAL'!H3)-'BRAWLERS OFICIAL'!H3)</f>
        <v>0</v>
      </c>
      <c r="I3" s="100">
        <f>((0 + 'BRAWLERS OFICIAL'!I3)-'BRAWLERS OFICIAL'!I3)</f>
        <v>0</v>
      </c>
      <c r="J3" s="100">
        <f>((0 + 'BRAWLERS OFICIAL'!J3)-'BRAWLERS OFICIAL'!J3)</f>
        <v>0</v>
      </c>
      <c r="K3" s="100">
        <f>((0 + 'BRAWLERS OFICIAL'!K3)-'BRAWLERS OFICIAL'!K3)</f>
        <v>0</v>
      </c>
      <c r="L3" s="100">
        <f>((0 + 'BRAWLERS OFICIAL'!L3)-'BRAWLERS OFICIAL'!L3)</f>
        <v>0</v>
      </c>
      <c r="M3" s="100">
        <f>((0 + 'BRAWLERS OFICIAL'!M3)-'BRAWLERS OFICIAL'!M3)</f>
        <v>0</v>
      </c>
      <c r="N3" s="100">
        <f>((0 + 'BRAWLERS OFICIAL'!N3)-'BRAWLERS OFICIAL'!N3)</f>
        <v>0</v>
      </c>
      <c r="O3" s="100">
        <f>((0 + 'BRAWLERS OFICIAL'!O3)-'BRAWLERS OFICIAL'!O3)</f>
        <v>0</v>
      </c>
      <c r="P3" s="100">
        <f>((0 + 'BRAWLERS OFICIAL'!P3)-'BRAWLERS OFICIAL'!P3)</f>
        <v>0</v>
      </c>
      <c r="Q3" s="100">
        <f>((0 + 'BRAWLERS OFICIAL'!Q3)-'BRAWLERS OFICIAL'!Q3)</f>
        <v>0</v>
      </c>
      <c r="R3" s="100">
        <f>((500 + 'BRAWLERS OFICIAL'!R3)-'BRAWLERS OFICIAL'!R3)</f>
        <v>500</v>
      </c>
      <c r="S3" s="100">
        <f>((1250 + 'BRAWLERS OFICIAL'!S3)-'BRAWLERS OFICIAL'!S3)</f>
        <v>1250</v>
      </c>
      <c r="T3" s="100">
        <f>((2000 + 'BRAWLERS OFICIAL'!T3)-'BRAWLERS OFICIAL'!T3)</f>
        <v>2000</v>
      </c>
      <c r="U3" s="100">
        <f>((2000 + 'BRAWLERS OFICIAL'!U3)-'BRAWLERS OFICIAL'!U3)</f>
        <v>2000</v>
      </c>
      <c r="V3" s="100">
        <f>((0 + 'BRAWLERS OFICIAL'!V3)-'BRAWLERS OFICIAL'!V3)/($BQ3)</f>
        <v>0</v>
      </c>
      <c r="W3" s="100">
        <f>(0 + 'BRAWLERS OFICIAL'!W3)-'BRAWLERS OFICIAL'!W3</f>
        <v>0</v>
      </c>
      <c r="X3" s="103">
        <f>(( 0 + 'BRAWLERS OFICIAL'!X3 + AP3 + AY3/3.5 )-'BRAWLERS OFICIAL'!X3)/($BQ3)</f>
        <v>0</v>
      </c>
      <c r="Y3" s="101">
        <f>((0 + 'BRAWLERS OFICIAL'!Y3)-'BRAWLERS OFICIAL'!Y3)/($BQ3)</f>
        <v>0</v>
      </c>
      <c r="Z3" s="101">
        <f>(((0)/3 + 'BRAWLERS OFICIAL'!Z3)-'BRAWLERS OFICIAL'!Z3)</f>
        <v>0</v>
      </c>
      <c r="AA3" s="101">
        <f>((0 + 'BRAWLERS OFICIAL'!AA3)-'BRAWLERS OFICIAL'!AA3)/($BQ3)</f>
        <v>0</v>
      </c>
      <c r="AB3" s="101">
        <f>((0 + 'BRAWLERS OFICIAL'!AB3)-'BRAWLERS OFICIAL'!AB3)</f>
        <v>0</v>
      </c>
      <c r="AC3" s="101">
        <f>(((0)/4 + 'BRAWLERS OFICIAL'!AC3)-'BRAWLERS OFICIAL'!AC3)/($BQ3)</f>
        <v>0</v>
      </c>
      <c r="AD3" s="101">
        <f>((0 + 'BRAWLERS OFICIAL'!AD3)-'BRAWLERS OFICIAL'!AD3)/($BQ3)</f>
        <v>0</v>
      </c>
      <c r="AE3" s="101">
        <f>((0 + 'BRAWLERS OFICIAL'!AE3)-'BRAWLERS OFICIAL'!AE3)/($BQ3)</f>
        <v>0</v>
      </c>
      <c r="AF3" s="101">
        <f>((0 + 'BRAWLERS OFICIAL'!AF3)-'BRAWLERS OFICIAL'!AF3)/($BQ3)</f>
        <v>0</v>
      </c>
      <c r="AG3" s="101">
        <f>((0 + 'BRAWLERS OFICIAL'!AG3)-'BRAWLERS OFICIAL'!AG3)</f>
        <v>0</v>
      </c>
      <c r="AH3" s="101">
        <f>((0 + 'BRAWLERS OFICIAL'!AH3)-'BRAWLERS OFICIAL'!AH3)</f>
        <v>0</v>
      </c>
      <c r="AI3" s="101">
        <f>((0 + 'BRAWLERS OFICIAL'!AI3)-'BRAWLERS OFICIAL'!AI3)</f>
        <v>0</v>
      </c>
      <c r="AJ3" s="101">
        <f>((0 + 'BRAWLERS OFICIAL'!AJ3)-'BRAWLERS OFICIAL'!AJ3)/($BQ3)</f>
        <v>0</v>
      </c>
      <c r="AK3" s="101">
        <f>((0 + 'BRAWLERS OFICIAL'!AK3)-'BRAWLERS OFICIAL'!AK3)/($BQ3)</f>
        <v>0</v>
      </c>
      <c r="AL3" s="101">
        <f>(((BK3/5+1)*AK3 + 'BRAWLERS OFICIAL'!AL3)-'BRAWLERS OFICIAL'!AL3)/($BQ3)</f>
        <v>0</v>
      </c>
      <c r="AM3" s="101">
        <f>IF( 0 = (1-1), (1-1), ((0 + 'BRAWLERS OFICIAL'!AM3)/1.5)-'BRAWLERS OFICIAL'!AM3 )</f>
        <v>0</v>
      </c>
      <c r="AN3" s="101">
        <f t="shared" ref="AN3:AN19" si="0">IF( 0 = (1-1), (1-1), ( 0 ) )</f>
        <v>0</v>
      </c>
      <c r="AO3" s="101">
        <f>((0 + 'BRAWLERS OFICIAL'!AO3)-'BRAWLERS OFICIAL'!AO3)/($BQ3)</f>
        <v>0</v>
      </c>
      <c r="AP3" s="101">
        <f>((0/1000 + 'BRAWLERS OFICIAL'!AP3)-'BRAWLERS OFICIAL'!AP3)</f>
        <v>0</v>
      </c>
      <c r="AQ3" s="101">
        <f>((0 + 'BRAWLERS OFICIAL'!AQ3)-'BRAWLERS OFICIAL'!AQ3)</f>
        <v>0</v>
      </c>
      <c r="AR3" s="101">
        <f>IF( 0 = (1-1), (1-1), ((0 + 'BRAWLERS OFICIAL'!AR3)/1.5) )</f>
        <v>0</v>
      </c>
      <c r="AS3" s="101">
        <f>IF( 0 = (1-1), (1-1), ((0 + 'BRAWLERS OFICIAL'!AS3)/1.5) )</f>
        <v>0</v>
      </c>
      <c r="AT3" s="101">
        <f>IF( 0 = (1-1), (1-1), ((0 + 'BRAWLERS OFICIAL'!AT3)/2) )</f>
        <v>0</v>
      </c>
      <c r="AU3" s="101">
        <f>((0 + 'BRAWLERS OFICIAL'!AU3)-'BRAWLERS OFICIAL'!AU3)/($BQ3)</f>
        <v>0</v>
      </c>
      <c r="AV3" s="101">
        <f>(((0)/4 + 'BRAWLERS OFICIAL'!AV3)-'BRAWLERS OFICIAL'!AV3)</f>
        <v>0</v>
      </c>
      <c r="AW3" s="101">
        <v>0</v>
      </c>
      <c r="AX3" s="101" t="s">
        <v>390</v>
      </c>
      <c r="AY3" s="100">
        <f>((( 0 )/3 + 'BRAWLERS OFICIAL'!AY3)-'BRAWLERS OFICIAL'!AY3)</f>
        <v>0</v>
      </c>
      <c r="AZ3" s="100">
        <f>((( 0 )/2 + 'BRAWLERS OFICIAL'!AZ3)-'BRAWLERS OFICIAL'!AZ3)/($BQ3)</f>
        <v>0</v>
      </c>
      <c r="BA3" s="100">
        <f>((( 0 )/2 + 'BRAWLERS OFICIAL'!BA3)-'BRAWLERS OFICIAL'!BA3)</f>
        <v>0</v>
      </c>
      <c r="BB3" s="100">
        <f>((( 0 )/3 + 'BRAWLERS OFICIAL'!BB3)-'BRAWLERS OFICIAL'!BB3)</f>
        <v>0</v>
      </c>
      <c r="BC3" s="100">
        <f>((( 0 )/2 + 'BRAWLERS OFICIAL'!BC3)-'BRAWLERS OFICIAL'!BC3)/($BQ3)</f>
        <v>0</v>
      </c>
      <c r="BD3" s="100">
        <f>((( 0 )/3 + 'BRAWLERS OFICIAL'!BD3)-'BRAWLERS OFICIAL'!BD3)</f>
        <v>0</v>
      </c>
      <c r="BE3" s="100">
        <f>((( 0 )/3 + 'BRAWLERS OFICIAL'!BE3)-'BRAWLERS OFICIAL'!BE3)</f>
        <v>0</v>
      </c>
      <c r="BF3" s="100">
        <f>((0 + 'BRAWLERS OFICIAL'!BF3)-'BRAWLERS OFICIAL'!BF3)/($BQ3)</f>
        <v>0</v>
      </c>
      <c r="BG3" s="100">
        <f>((0 + 'BRAWLERS OFICIAL'!BG3)-'BRAWLERS OFICIAL'!BG3)/($BQ3)</f>
        <v>0</v>
      </c>
      <c r="BH3" s="100">
        <f>((( 0 )/2 + 'BRAWLERS OFICIAL'!BH3)-'BRAWLERS OFICIAL'!BH3)</f>
        <v>0</v>
      </c>
      <c r="BI3" s="100">
        <f>((0 + 'BRAWLERS OFICIAL'!BI3)-'BRAWLERS OFICIAL'!BI3)/($BQ3)</f>
        <v>0</v>
      </c>
      <c r="BJ3" s="100">
        <f>((( 0 )/2 + 'BRAWLERS OFICIAL'!BJ3)-'BRAWLERS OFICIAL'!BJ3)</f>
        <v>0</v>
      </c>
      <c r="BK3" s="100">
        <f>((( 0 )/3 + 'BRAWLERS OFICIAL'!BK3)-'BRAWLERS OFICIAL'!BK3)</f>
        <v>0</v>
      </c>
      <c r="BL3" s="100">
        <f>((( 0 )/2 + 'BRAWLERS OFICIAL'!BL3)-'BRAWLERS OFICIAL'!BL3)</f>
        <v>0</v>
      </c>
      <c r="BM3" s="100">
        <f>((0 + 'BRAWLERS OFICIAL'!BM3)-'BRAWLERS OFICIAL'!BM3)/($BQ3)</f>
        <v>0</v>
      </c>
      <c r="BN3" s="100">
        <f>((0 + 'BRAWLERS OFICIAL'!BN3)-'BRAWLERS OFICIAL'!BN3)/($BQ3)</f>
        <v>0</v>
      </c>
      <c r="BO3" s="100">
        <f>((0 + 'BRAWLERS OFICIAL'!BO3)-'BRAWLERS OFICIAL'!BO3)/($BQ3)</f>
        <v>0</v>
      </c>
      <c r="BQ3" s="100">
        <f>('BRAWLERS OFICIAL'!F3 / 'BRAWLERS OFICIAL'!J3 / (1 + ('BRAWLERS OFICIAL'!AA3/5)))</f>
        <v>1.1904761904761907</v>
      </c>
    </row>
    <row r="4" spans="1:69">
      <c r="B4" s="97" t="s">
        <v>446</v>
      </c>
      <c r="C4" s="70" t="s">
        <v>10</v>
      </c>
      <c r="D4" s="134" t="s">
        <v>373</v>
      </c>
      <c r="E4" s="134" t="s">
        <v>374</v>
      </c>
      <c r="F4" s="100">
        <f>((0 + 'BRAWLERS OFICIAL'!F4)-'BRAWLERS OFICIAL'!F4)</f>
        <v>0</v>
      </c>
      <c r="G4" s="100">
        <f>((0 + 'BRAWLERS OFICIAL'!G4)-'BRAWLERS OFICIAL'!G4)</f>
        <v>0</v>
      </c>
      <c r="H4" s="100">
        <f>((0 + 'BRAWLERS OFICIAL'!H4)-'BRAWLERS OFICIAL'!H4)</f>
        <v>0</v>
      </c>
      <c r="I4" s="100">
        <f>((0 + 'BRAWLERS OFICIAL'!I4)-'BRAWLERS OFICIAL'!I4)</f>
        <v>0</v>
      </c>
      <c r="J4" s="100">
        <f>((0 + 'BRAWLERS OFICIAL'!J4)-'BRAWLERS OFICIAL'!J4)</f>
        <v>0</v>
      </c>
      <c r="K4" s="100">
        <f>((0 + 'BRAWLERS OFICIAL'!K4)-'BRAWLERS OFICIAL'!K4)</f>
        <v>0</v>
      </c>
      <c r="L4" s="100">
        <f>((0 + 'BRAWLERS OFICIAL'!L4)-'BRAWLERS OFICIAL'!L4)</f>
        <v>0</v>
      </c>
      <c r="M4" s="100">
        <f>((0 + 'BRAWLERS OFICIAL'!M4)-'BRAWLERS OFICIAL'!M4)</f>
        <v>0</v>
      </c>
      <c r="N4" s="100">
        <f>((0 + 'BRAWLERS OFICIAL'!N4)-'BRAWLERS OFICIAL'!N4)</f>
        <v>0</v>
      </c>
      <c r="O4" s="100">
        <f>((0 + 'BRAWLERS OFICIAL'!O4)-'BRAWLERS OFICIAL'!O4)</f>
        <v>0</v>
      </c>
      <c r="P4" s="100">
        <f>((0 + 'BRAWLERS OFICIAL'!P4)-'BRAWLERS OFICIAL'!P4)</f>
        <v>0</v>
      </c>
      <c r="Q4" s="100">
        <f>((0 + 'BRAWLERS OFICIAL'!Q4)-'BRAWLERS OFICIAL'!Q4)</f>
        <v>0</v>
      </c>
      <c r="R4" s="100">
        <f>((0 + 'BRAWLERS OFICIAL'!R4)-'BRAWLERS OFICIAL'!R4)</f>
        <v>0</v>
      </c>
      <c r="S4" s="100">
        <f>((0 + 'BRAWLERS OFICIAL'!S4)-'BRAWLERS OFICIAL'!S4)</f>
        <v>0</v>
      </c>
      <c r="T4" s="100">
        <f>((0 + 'BRAWLERS OFICIAL'!T4)-'BRAWLERS OFICIAL'!T4)</f>
        <v>0</v>
      </c>
      <c r="U4" s="100">
        <f>((0 + 'BRAWLERS OFICIAL'!U4)-'BRAWLERS OFICIAL'!U4)</f>
        <v>0</v>
      </c>
      <c r="V4" s="100">
        <f>((0 + 'BRAWLERS OFICIAL'!V4)-'BRAWLERS OFICIAL'!V4)/($BQ4)</f>
        <v>0</v>
      </c>
      <c r="W4" s="100">
        <f>(0 + 'BRAWLERS OFICIAL'!W4)-'BRAWLERS OFICIAL'!W4</f>
        <v>0</v>
      </c>
      <c r="X4" s="103">
        <f>(( 0 + 'BRAWLERS OFICIAL'!X4 + AP4 + (4 + 7 + 3)/3/3.5 )-'BRAWLERS OFICIAL'!X4)/($BQ4)</f>
        <v>0.44444444444444464</v>
      </c>
      <c r="Y4" s="101">
        <f>((0 + 'BRAWLERS OFICIAL'!Y4)-'BRAWLERS OFICIAL'!Y4)/($BQ4)</f>
        <v>0</v>
      </c>
      <c r="Z4" s="101">
        <f>(((0)/3 + 'BRAWLERS OFICIAL'!Z4)-'BRAWLERS OFICIAL'!Z4)</f>
        <v>0</v>
      </c>
      <c r="AA4" s="101">
        <f>((0 + 'BRAWLERS OFICIAL'!AA4)-'BRAWLERS OFICIAL'!AA4)/($BQ4)</f>
        <v>0</v>
      </c>
      <c r="AB4" s="101">
        <f>((0 + 'BRAWLERS OFICIAL'!AB4)-'BRAWLERS OFICIAL'!AB4)</f>
        <v>0</v>
      </c>
      <c r="AC4" s="101">
        <f>(((0)/4 + 'BRAWLERS OFICIAL'!AC4)-'BRAWLERS OFICIAL'!AC4)/($BQ4)</f>
        <v>0</v>
      </c>
      <c r="AD4" s="101">
        <f>((0 + 'BRAWLERS OFICIAL'!AD4)-'BRAWLERS OFICIAL'!AD4)/($BQ4)</f>
        <v>0</v>
      </c>
      <c r="AE4" s="101">
        <f>((0 + 'BRAWLERS OFICIAL'!AE4)-'BRAWLERS OFICIAL'!AE4)/($BQ4)</f>
        <v>0</v>
      </c>
      <c r="AF4" s="101">
        <f>((0 + 'BRAWLERS OFICIAL'!AF4)-'BRAWLERS OFICIAL'!AF4)/($BQ4)</f>
        <v>0</v>
      </c>
      <c r="AG4" s="101">
        <f>((0 + 'BRAWLERS OFICIAL'!AG4)-'BRAWLERS OFICIAL'!AG4)</f>
        <v>0</v>
      </c>
      <c r="AH4" s="101">
        <f>((0 + 'BRAWLERS OFICIAL'!AH4)-'BRAWLERS OFICIAL'!AH4)</f>
        <v>0</v>
      </c>
      <c r="AI4" s="101">
        <f>((0 + 'BRAWLERS OFICIAL'!AI4)-'BRAWLERS OFICIAL'!AI4)</f>
        <v>0</v>
      </c>
      <c r="AJ4" s="101">
        <f>((0 + 'BRAWLERS OFICIAL'!AJ4)-'BRAWLERS OFICIAL'!AJ4)/($BQ4)</f>
        <v>0</v>
      </c>
      <c r="AK4" s="101">
        <f>((0 + 'BRAWLERS OFICIAL'!AK4)-'BRAWLERS OFICIAL'!AK4)/($BQ4)</f>
        <v>0</v>
      </c>
      <c r="AL4" s="101">
        <f>(((BK4/5+1)*AK4 + 'BRAWLERS OFICIAL'!AL4)-'BRAWLERS OFICIAL'!AL4)/($BQ4)</f>
        <v>0</v>
      </c>
      <c r="AM4" s="101">
        <f>IF( 0 = (1-1), (1-1), ((0 + 'BRAWLERS OFICIAL'!AM4)/1.5)-'BRAWLERS OFICIAL'!AM4 )</f>
        <v>0</v>
      </c>
      <c r="AN4" s="101">
        <f t="shared" si="0"/>
        <v>0</v>
      </c>
      <c r="AO4" s="101">
        <f>((0 + 'BRAWLERS OFICIAL'!AO4)-'BRAWLERS OFICIAL'!AO4)/($BQ4)</f>
        <v>0</v>
      </c>
      <c r="AP4" s="101">
        <f>((0/1000 + 'BRAWLERS OFICIAL'!AP4)-'BRAWLERS OFICIAL'!AP4)</f>
        <v>0</v>
      </c>
      <c r="AQ4" s="101">
        <f>((0 + 'BRAWLERS OFICIAL'!AQ4)-'BRAWLERS OFICIAL'!AQ4)</f>
        <v>0</v>
      </c>
      <c r="AR4" s="101">
        <f>IF( 0 = (1-1), (1-1), ((0 + 'BRAWLERS OFICIAL'!AR4)/1.5) )</f>
        <v>0</v>
      </c>
      <c r="AS4" s="101">
        <f>IF( 0 = (1-1), (1-1), ((0 + 'BRAWLERS OFICIAL'!AS4)/1.5) )</f>
        <v>0</v>
      </c>
      <c r="AT4" s="101">
        <f>IF( 0 = (1-1), (1-1), ((0 + 'BRAWLERS OFICIAL'!AT4)/2) )</f>
        <v>0</v>
      </c>
      <c r="AU4" s="101">
        <f>((0 + 'BRAWLERS OFICIAL'!AU4)-'BRAWLERS OFICIAL'!AU4)/($BQ4)</f>
        <v>0</v>
      </c>
      <c r="AV4" s="101">
        <f>(((0)/4 + 'BRAWLERS OFICIAL'!AV4)-'BRAWLERS OFICIAL'!AV4)</f>
        <v>0</v>
      </c>
      <c r="AW4" s="101">
        <v>0</v>
      </c>
      <c r="AX4" s="101" t="s">
        <v>390</v>
      </c>
      <c r="AY4" s="100">
        <f>((( 0 )/3 + 'BRAWLERS OFICIAL'!AY4)-'BRAWLERS OFICIAL'!AY4)</f>
        <v>0</v>
      </c>
      <c r="AZ4" s="100">
        <f>((( 0 )/2 + 'BRAWLERS OFICIAL'!AZ4)-'BRAWLERS OFICIAL'!AZ4)/($BQ4)</f>
        <v>0</v>
      </c>
      <c r="BA4" s="100">
        <f>((( 0 )/2 + 'BRAWLERS OFICIAL'!BA4)-'BRAWLERS OFICIAL'!BA4)</f>
        <v>0</v>
      </c>
      <c r="BB4" s="100">
        <f>((( 0 )/3 + 'BRAWLERS OFICIAL'!BB4)-'BRAWLERS OFICIAL'!BB4)</f>
        <v>0</v>
      </c>
      <c r="BC4" s="100">
        <f>((( 0 )/2 + 'BRAWLERS OFICIAL'!BC4)-'BRAWLERS OFICIAL'!BC4)/($BQ4)</f>
        <v>0</v>
      </c>
      <c r="BD4" s="100">
        <f>((( 0 )/3 + 'BRAWLERS OFICIAL'!BD4)-'BRAWLERS OFICIAL'!BD4)</f>
        <v>0</v>
      </c>
      <c r="BE4" s="100">
        <f>((( 0 )/3 + 'BRAWLERS OFICIAL'!BE4)-'BRAWLERS OFICIAL'!BE4)</f>
        <v>0</v>
      </c>
      <c r="BF4" s="100">
        <f>((0 + 'BRAWLERS OFICIAL'!BF4)-'BRAWLERS OFICIAL'!BF4)/($BQ4)</f>
        <v>0</v>
      </c>
      <c r="BG4" s="100">
        <f>((0 + 'BRAWLERS OFICIAL'!BG4)-'BRAWLERS OFICIAL'!BG4)/($BQ4)</f>
        <v>0</v>
      </c>
      <c r="BH4" s="100">
        <f>((( 0 )/2 + 'BRAWLERS OFICIAL'!BH4)-'BRAWLERS OFICIAL'!BH4)</f>
        <v>0</v>
      </c>
      <c r="BI4" s="100">
        <f>((0 + 'BRAWLERS OFICIAL'!BI4)-'BRAWLERS OFICIAL'!BI4)/($BQ4)</f>
        <v>0</v>
      </c>
      <c r="BJ4" s="100">
        <f>((( 0 )/2 + 'BRAWLERS OFICIAL'!BJ4)-'BRAWLERS OFICIAL'!BJ4)</f>
        <v>0</v>
      </c>
      <c r="BK4" s="100">
        <f>((( 0 )/3 + 'BRAWLERS OFICIAL'!BK4)-'BRAWLERS OFICIAL'!BK4)</f>
        <v>0</v>
      </c>
      <c r="BL4" s="100">
        <f>((( 0 )/2 + 'BRAWLERS OFICIAL'!BL4)-'BRAWLERS OFICIAL'!BL4)</f>
        <v>0</v>
      </c>
      <c r="BM4" s="100">
        <f>((0 + 'BRAWLERS OFICIAL'!BM4)-'BRAWLERS OFICIAL'!BM4)/($BQ4)</f>
        <v>0</v>
      </c>
      <c r="BN4" s="100">
        <f>((0 + 'BRAWLERS OFICIAL'!BN4)-'BRAWLERS OFICIAL'!BN4)/($BQ4)</f>
        <v>0</v>
      </c>
      <c r="BO4" s="100">
        <f>((0 + 'BRAWLERS OFICIAL'!BO4)-'BRAWLERS OFICIAL'!BO4)/($BQ4)</f>
        <v>0</v>
      </c>
      <c r="BQ4" s="100">
        <f>('BRAWLERS OFICIAL'!F4 / 'BRAWLERS OFICIAL'!J4 / (1 + ('BRAWLERS OFICIAL'!AA4/5)))</f>
        <v>3</v>
      </c>
    </row>
    <row r="5" spans="1:69">
      <c r="B5" s="97" t="s">
        <v>447</v>
      </c>
      <c r="C5" s="98" t="s">
        <v>88</v>
      </c>
      <c r="D5" s="135" t="s">
        <v>332</v>
      </c>
      <c r="E5" s="135" t="s">
        <v>383</v>
      </c>
      <c r="F5" s="100">
        <f>((0 + 'BRAWLERS OFICIAL'!F5)-'BRAWLERS OFICIAL'!F5)</f>
        <v>0</v>
      </c>
      <c r="G5" s="100">
        <f>((0 + 'BRAWLERS OFICIAL'!G5)-'BRAWLERS OFICIAL'!G5)</f>
        <v>0</v>
      </c>
      <c r="H5" s="100">
        <f>((0 + 'BRAWLERS OFICIAL'!H5)-'BRAWLERS OFICIAL'!H5)</f>
        <v>0</v>
      </c>
      <c r="I5" s="100">
        <f>((0 + 'BRAWLERS OFICIAL'!I5)-'BRAWLERS OFICIAL'!I5)</f>
        <v>0</v>
      </c>
      <c r="J5" s="100">
        <f>(('BRAWLERS OFICIAL'!J5/2.5 + 'BRAWLERS OFICIAL'!J5)-'BRAWLERS OFICIAL'!J5)</f>
        <v>2</v>
      </c>
      <c r="K5" s="100">
        <f>((0 + 'BRAWLERS OFICIAL'!K5)-'BRAWLERS OFICIAL'!K5)</f>
        <v>0</v>
      </c>
      <c r="L5" s="100">
        <f>(('BRAWLERS OFICIAL'!L5/2.5/2 + 'BRAWLERS OFICIAL'!L5)-'BRAWLERS OFICIAL'!L5)</f>
        <v>0.79999999999999982</v>
      </c>
      <c r="M5" s="100">
        <f>(('BRAWLERS OFICIAL'!M5/2.5 + 'BRAWLERS OFICIAL'!M5)-'BRAWLERS OFICIAL'!M5)</f>
        <v>0.79999999999999982</v>
      </c>
      <c r="N5" s="100">
        <f>(('BRAWLERS OFICIAL'!N5/2.5 + 'BRAWLERS OFICIAL'!N5)-'BRAWLERS OFICIAL'!N5)</f>
        <v>0.32000000000000006</v>
      </c>
      <c r="O5" s="100">
        <f>((0 + 'BRAWLERS OFICIAL'!O5)-'BRAWLERS OFICIAL'!O5)</f>
        <v>0</v>
      </c>
      <c r="P5" s="100">
        <f>((0 + 'BRAWLERS OFICIAL'!P5)-'BRAWLERS OFICIAL'!P5)</f>
        <v>0</v>
      </c>
      <c r="Q5" s="100">
        <f>((0 + 'BRAWLERS OFICIAL'!Q5)-'BRAWLERS OFICIAL'!Q5)</f>
        <v>0</v>
      </c>
      <c r="R5" s="100">
        <f>(('BRAWLERS OFICIAL'!R5/720*240/2 + 'BRAWLERS OFICIAL'!R5)-'BRAWLERS OFICIAL'!R5)</f>
        <v>1080</v>
      </c>
      <c r="S5" s="100">
        <f>(('BRAWLERS OFICIAL'!S5/720*240 + 'BRAWLERS OFICIAL'!S5)-'BRAWLERS OFICIAL'!S5)</f>
        <v>1440</v>
      </c>
      <c r="T5" s="100">
        <f>(('BRAWLERS OFICIAL'!T5/720*240 + 'BRAWLERS OFICIAL'!T5)-'BRAWLERS OFICIAL'!T5)</f>
        <v>720</v>
      </c>
      <c r="U5" s="100">
        <f>(('BRAWLERS OFICIAL'!U5/720*240 + 'BRAWLERS OFICIAL'!U5)-'BRAWLERS OFICIAL'!U5)</f>
        <v>2880</v>
      </c>
      <c r="V5" s="100">
        <f>((0 + 'BRAWLERS OFICIAL'!V5)-'BRAWLERS OFICIAL'!V5)/($BQ5)</f>
        <v>0</v>
      </c>
      <c r="W5" s="100">
        <f>(0 + 'BRAWLERS OFICIAL'!W5)-'BRAWLERS OFICIAL'!W5</f>
        <v>0</v>
      </c>
      <c r="X5" s="103">
        <f>(( 0 + 'BRAWLERS OFICIAL'!X5 + AP5 + AY5/3.5 )-'BRAWLERS OFICIAL'!X5)/($BQ5)</f>
        <v>0</v>
      </c>
      <c r="Y5" s="101">
        <f>((0 + 'BRAWLERS OFICIAL'!Y5)-'BRAWLERS OFICIAL'!Y5)/($BQ5)</f>
        <v>0</v>
      </c>
      <c r="Z5" s="101">
        <f>(((0)/3 + 'BRAWLERS OFICIAL'!Z5)-'BRAWLERS OFICIAL'!Z5)</f>
        <v>0</v>
      </c>
      <c r="AA5" s="101">
        <f>((0 + 'BRAWLERS OFICIAL'!AA5)-'BRAWLERS OFICIAL'!AA5)/($BQ5)</f>
        <v>0</v>
      </c>
      <c r="AB5" s="101">
        <f>((0 + 'BRAWLERS OFICIAL'!AB5)-'BRAWLERS OFICIAL'!AB5)</f>
        <v>0</v>
      </c>
      <c r="AC5" s="101">
        <f>(((0)/4 + 'BRAWLERS OFICIAL'!AC5)-'BRAWLERS OFICIAL'!AC5)/($BQ5)</f>
        <v>0</v>
      </c>
      <c r="AD5" s="101">
        <f>((0 + 'BRAWLERS OFICIAL'!AD5)-'BRAWLERS OFICIAL'!AD5)/($BQ5)</f>
        <v>0</v>
      </c>
      <c r="AE5" s="101">
        <f>((0 + 'BRAWLERS OFICIAL'!AE5)-'BRAWLERS OFICIAL'!AE5)/($BQ5)</f>
        <v>0</v>
      </c>
      <c r="AF5" s="101">
        <f>((0 + 'BRAWLERS OFICIAL'!AF5)-'BRAWLERS OFICIAL'!AF5)/($BQ5)</f>
        <v>0</v>
      </c>
      <c r="AG5" s="101">
        <f>((0 + 'BRAWLERS OFICIAL'!AG5)-'BRAWLERS OFICIAL'!AG5)</f>
        <v>0</v>
      </c>
      <c r="AH5" s="101">
        <f>((0 + 'BRAWLERS OFICIAL'!AH5)-'BRAWLERS OFICIAL'!AH5)</f>
        <v>0</v>
      </c>
      <c r="AI5" s="101">
        <f>((0 + 'BRAWLERS OFICIAL'!AI5)-'BRAWLERS OFICIAL'!AI5)</f>
        <v>0</v>
      </c>
      <c r="AJ5" s="101">
        <f>((0 + 'BRAWLERS OFICIAL'!AJ5)-'BRAWLERS OFICIAL'!AJ5)/($BQ5)</f>
        <v>0</v>
      </c>
      <c r="AK5" s="101">
        <f>((0 + 'BRAWLERS OFICIAL'!AK5)-'BRAWLERS OFICIAL'!AK5)/($BQ5)</f>
        <v>0</v>
      </c>
      <c r="AL5" s="101">
        <f>(((BK5/5+1)*AK5 + 'BRAWLERS OFICIAL'!AL5)-'BRAWLERS OFICIAL'!AL5)/($BQ5)</f>
        <v>0</v>
      </c>
      <c r="AM5" s="101">
        <f>IF( 0 = (1-1), (1-1), ((0 + 'BRAWLERS OFICIAL'!AM5)/1.5)-'BRAWLERS OFICIAL'!AM5 )</f>
        <v>0</v>
      </c>
      <c r="AN5" s="101">
        <f t="shared" si="0"/>
        <v>0</v>
      </c>
      <c r="AO5" s="101">
        <f>((0 + 'BRAWLERS OFICIAL'!AO5)-'BRAWLERS OFICIAL'!AO5)/($BQ5)</f>
        <v>0</v>
      </c>
      <c r="AP5" s="101">
        <f>((0/1000 + 'BRAWLERS OFICIAL'!AP5)-'BRAWLERS OFICIAL'!AP5)</f>
        <v>0</v>
      </c>
      <c r="AQ5" s="101">
        <f>((0 + 'BRAWLERS OFICIAL'!AQ5)-'BRAWLERS OFICIAL'!AQ5)</f>
        <v>0</v>
      </c>
      <c r="AR5" s="101">
        <f>IF( 0 = (1-1), (1-1), ((0 + 'BRAWLERS OFICIAL'!AR5)/1.5) )</f>
        <v>0</v>
      </c>
      <c r="AS5" s="101">
        <f>IF( 0 = (1-1), (1-1), ((0 + 'BRAWLERS OFICIAL'!AS5)/1.5) )</f>
        <v>0</v>
      </c>
      <c r="AT5" s="101">
        <f>IF( 0 = (1-1), (1-1), ((0 + 'BRAWLERS OFICIAL'!AT5)/2) )</f>
        <v>0</v>
      </c>
      <c r="AU5" s="101">
        <f>((0 + 'BRAWLERS OFICIAL'!AU5)-'BRAWLERS OFICIAL'!AU5)/($BQ5)</f>
        <v>0</v>
      </c>
      <c r="AV5" s="101">
        <f>(((0)/4 + 'BRAWLERS OFICIAL'!AV5)-'BRAWLERS OFICIAL'!AV5)</f>
        <v>0</v>
      </c>
      <c r="AW5" s="101">
        <v>0</v>
      </c>
      <c r="AX5" s="101" t="s">
        <v>390</v>
      </c>
      <c r="AY5" s="100">
        <f>((( 0 )/3 + 'BRAWLERS OFICIAL'!AY5)-'BRAWLERS OFICIAL'!AY5)</f>
        <v>0</v>
      </c>
      <c r="AZ5" s="100">
        <f>((( 0 )/2 + 'BRAWLERS OFICIAL'!AZ5)-'BRAWLERS OFICIAL'!AZ5)/($BQ5)</f>
        <v>0</v>
      </c>
      <c r="BA5" s="100">
        <f>((( 0 )/2 + 'BRAWLERS OFICIAL'!BA5)-'BRAWLERS OFICIAL'!BA5)</f>
        <v>0</v>
      </c>
      <c r="BB5" s="100">
        <f>((( 0 )/3 + 'BRAWLERS OFICIAL'!BB5)-'BRAWLERS OFICIAL'!BB5)</f>
        <v>0</v>
      </c>
      <c r="BC5" s="100">
        <f>((( 0 )/2 + 'BRAWLERS OFICIAL'!BC5)-'BRAWLERS OFICIAL'!BC5)/($BQ5)</f>
        <v>0</v>
      </c>
      <c r="BD5" s="100">
        <f>((( 0 )/3 + 'BRAWLERS OFICIAL'!BD5)-'BRAWLERS OFICIAL'!BD5)</f>
        <v>0</v>
      </c>
      <c r="BE5" s="100">
        <f>((( 0 )/3 + 'BRAWLERS OFICIAL'!BE5)-'BRAWLERS OFICIAL'!BE5)</f>
        <v>0</v>
      </c>
      <c r="BF5" s="100">
        <f>((0 + 'BRAWLERS OFICIAL'!BF5)-'BRAWLERS OFICIAL'!BF5)/($BQ5)</f>
        <v>0</v>
      </c>
      <c r="BG5" s="100">
        <f>((0 + 'BRAWLERS OFICIAL'!BG5)-'BRAWLERS OFICIAL'!BG5)/($BQ5)</f>
        <v>0</v>
      </c>
      <c r="BH5" s="100">
        <f>((( 0 )/2 + 'BRAWLERS OFICIAL'!BH5)-'BRAWLERS OFICIAL'!BH5)</f>
        <v>0</v>
      </c>
      <c r="BI5" s="100">
        <f>((0 + 'BRAWLERS OFICIAL'!BI5)-'BRAWLERS OFICIAL'!BI5)/($BQ5)</f>
        <v>0</v>
      </c>
      <c r="BJ5" s="100">
        <f>((( 0 )/2 + 'BRAWLERS OFICIAL'!BJ5)-'BRAWLERS OFICIAL'!BJ5)</f>
        <v>0</v>
      </c>
      <c r="BK5" s="100">
        <f>((( 0 )/3 + 'BRAWLERS OFICIAL'!BK5)-'BRAWLERS OFICIAL'!BK5)</f>
        <v>0</v>
      </c>
      <c r="BL5" s="100">
        <f>((( 0 )/2 + 'BRAWLERS OFICIAL'!BL5)-'BRAWLERS OFICIAL'!BL5)</f>
        <v>0</v>
      </c>
      <c r="BM5" s="100">
        <f>((0 + 'BRAWLERS OFICIAL'!BM5)-'BRAWLERS OFICIAL'!BM5)/($BQ5)</f>
        <v>0</v>
      </c>
      <c r="BN5" s="100">
        <f>((0 + 'BRAWLERS OFICIAL'!BN5)-'BRAWLERS OFICIAL'!BN5)/($BQ5)</f>
        <v>0</v>
      </c>
      <c r="BO5" s="100">
        <f>((0 + 'BRAWLERS OFICIAL'!BO5)-'BRAWLERS OFICIAL'!BO5)/($BQ5)</f>
        <v>0</v>
      </c>
      <c r="BQ5" s="100">
        <v>1</v>
      </c>
    </row>
    <row r="6" spans="1:69">
      <c r="B6" s="97" t="s">
        <v>448</v>
      </c>
      <c r="C6" s="70" t="s">
        <v>96</v>
      </c>
      <c r="D6" s="134" t="s">
        <v>383</v>
      </c>
      <c r="E6" s="134" t="s">
        <v>325</v>
      </c>
      <c r="F6" s="100">
        <f>((0 + 'BRAWLERS OFICIAL'!F6)-'BRAWLERS OFICIAL'!F6)</f>
        <v>0</v>
      </c>
      <c r="G6" s="100">
        <f>((0 + 'BRAWLERS OFICIAL'!G6)-'BRAWLERS OFICIAL'!G6)</f>
        <v>0</v>
      </c>
      <c r="H6" s="100">
        <f>((0 + 'BRAWLERS OFICIAL'!H6)-'BRAWLERS OFICIAL'!H6)</f>
        <v>0</v>
      </c>
      <c r="I6" s="100">
        <f>((0 + 'BRAWLERS OFICIAL'!I6)-'BRAWLERS OFICIAL'!I6)</f>
        <v>0</v>
      </c>
      <c r="J6" s="100">
        <f>((0 + 'BRAWLERS OFICIAL'!J6)-'BRAWLERS OFICIAL'!J6)</f>
        <v>0</v>
      </c>
      <c r="K6" s="100">
        <f>((0 + 'BRAWLERS OFICIAL'!K6)-'BRAWLERS OFICIAL'!K6)</f>
        <v>0</v>
      </c>
      <c r="L6" s="100">
        <f>((0 + 'BRAWLERS OFICIAL'!L6)-'BRAWLERS OFICIAL'!L6)</f>
        <v>0</v>
      </c>
      <c r="M6" s="100">
        <f>((0 + 'BRAWLERS OFICIAL'!M6)-'BRAWLERS OFICIAL'!M6)</f>
        <v>0</v>
      </c>
      <c r="N6" s="100">
        <f>((0 + 'BRAWLERS OFICIAL'!N6)-'BRAWLERS OFICIAL'!N6)</f>
        <v>0</v>
      </c>
      <c r="O6" s="100">
        <f>((0 + 'BRAWLERS OFICIAL'!O6)-'BRAWLERS OFICIAL'!O6)</f>
        <v>0</v>
      </c>
      <c r="P6" s="100">
        <f>((0 + 'BRAWLERS OFICIAL'!P6)-'BRAWLERS OFICIAL'!P6)</f>
        <v>0</v>
      </c>
      <c r="Q6" s="100">
        <f>((0 + 'BRAWLERS OFICIAL'!Q6)-'BRAWLERS OFICIAL'!Q6)</f>
        <v>0</v>
      </c>
      <c r="R6" s="100">
        <f>((800 + 'BRAWLERS OFICIAL'!R6)-'BRAWLERS OFICIAL'!R6)</f>
        <v>800</v>
      </c>
      <c r="S6" s="100">
        <f>((800 + 'BRAWLERS OFICIAL'!S6)-'BRAWLERS OFICIAL'!S6)</f>
        <v>800</v>
      </c>
      <c r="T6" s="100">
        <f>((800 + 'BRAWLERS OFICIAL'!T6)-'BRAWLERS OFICIAL'!T6)</f>
        <v>800</v>
      </c>
      <c r="U6" s="100">
        <f>((0 + 'BRAWLERS OFICIAL'!U6)-'BRAWLERS OFICIAL'!U6)</f>
        <v>0</v>
      </c>
      <c r="V6" s="100">
        <f>((0 + 'BRAWLERS OFICIAL'!V6)-'BRAWLERS OFICIAL'!V6)/($BQ6)</f>
        <v>0</v>
      </c>
      <c r="W6" s="100">
        <f>(0 + 'BRAWLERS OFICIAL'!W6)-'BRAWLERS OFICIAL'!W6</f>
        <v>0</v>
      </c>
      <c r="X6" s="103">
        <f>(( 0 + 'BRAWLERS OFICIAL'!X6 + AP6 + (6 + 4 + 3)/3/3.5 )-'BRAWLERS OFICIAL'!X6)/($BQ6)</f>
        <v>0.83571428571428574</v>
      </c>
      <c r="Y6" s="101">
        <f>((0 + 'BRAWLERS OFICIAL'!Y6)-'BRAWLERS OFICIAL'!Y6)/($BQ6)</f>
        <v>0</v>
      </c>
      <c r="Z6" s="101">
        <f>(((0)/3 + 'BRAWLERS OFICIAL'!Z6)-'BRAWLERS OFICIAL'!Z6)</f>
        <v>0</v>
      </c>
      <c r="AA6" s="101">
        <f>((0 + 'BRAWLERS OFICIAL'!AA6)-'BRAWLERS OFICIAL'!AA6)/($BQ6)</f>
        <v>0</v>
      </c>
      <c r="AB6" s="101">
        <f>((0 + 'BRAWLERS OFICIAL'!AB6)-'BRAWLERS OFICIAL'!AB6)</f>
        <v>0</v>
      </c>
      <c r="AC6" s="101">
        <f>(((0)/4 + 'BRAWLERS OFICIAL'!AC6)-'BRAWLERS OFICIAL'!AC6)/($BQ6)</f>
        <v>0</v>
      </c>
      <c r="AD6" s="101">
        <f>((0 + 'BRAWLERS OFICIAL'!AD6)-'BRAWLERS OFICIAL'!AD6)/($BQ6)</f>
        <v>0</v>
      </c>
      <c r="AE6" s="101">
        <f>((0 + 'BRAWLERS OFICIAL'!AE6)-'BRAWLERS OFICIAL'!AE6)/($BQ6)</f>
        <v>0</v>
      </c>
      <c r="AF6" s="101">
        <f>((0 + 'BRAWLERS OFICIAL'!AF6)-'BRAWLERS OFICIAL'!AF6)/($BQ6)</f>
        <v>0</v>
      </c>
      <c r="AG6" s="101">
        <f>((0 + 'BRAWLERS OFICIAL'!AG6)-'BRAWLERS OFICIAL'!AG6)</f>
        <v>0</v>
      </c>
      <c r="AH6" s="101">
        <f>((0 + 'BRAWLERS OFICIAL'!AH6)-'BRAWLERS OFICIAL'!AH6)</f>
        <v>0</v>
      </c>
      <c r="AI6" s="101">
        <f>((0 + 'BRAWLERS OFICIAL'!AI6)-'BRAWLERS OFICIAL'!AI6)</f>
        <v>0</v>
      </c>
      <c r="AJ6" s="101">
        <f>((0 + 'BRAWLERS OFICIAL'!AJ6)-'BRAWLERS OFICIAL'!AJ6)/($BQ6)</f>
        <v>0</v>
      </c>
      <c r="AK6" s="101">
        <f>((0 + 'BRAWLERS OFICIAL'!AK6)-'BRAWLERS OFICIAL'!AK6)/($BQ6)</f>
        <v>0</v>
      </c>
      <c r="AL6" s="101">
        <f>(((BK6/5+1)*AK6 + 'BRAWLERS OFICIAL'!AL6)-'BRAWLERS OFICIAL'!AL6)/($BQ6)</f>
        <v>0</v>
      </c>
      <c r="AM6" s="101">
        <f>IF( 0 = (1-1), (1-1), ((0 + 'BRAWLERS OFICIAL'!AM6)/1.5)-'BRAWLERS OFICIAL'!AM6 )</f>
        <v>0</v>
      </c>
      <c r="AN6" s="101">
        <f t="shared" si="0"/>
        <v>0</v>
      </c>
      <c r="AO6" s="101">
        <f>((0 + 'BRAWLERS OFICIAL'!AO6)-'BRAWLERS OFICIAL'!AO6)/($BQ6)</f>
        <v>0</v>
      </c>
      <c r="AP6" s="101">
        <f>((0/1000 + 'BRAWLERS OFICIAL'!AP6)-'BRAWLERS OFICIAL'!AP6)</f>
        <v>0</v>
      </c>
      <c r="AQ6" s="101">
        <f>((0 + 'BRAWLERS OFICIAL'!AQ6)-'BRAWLERS OFICIAL'!AQ6)</f>
        <v>0</v>
      </c>
      <c r="AR6" s="101">
        <f>IF( 0 = (1-1), (1-1), ((0 + 'BRAWLERS OFICIAL'!AR6)/1.5) )</f>
        <v>0</v>
      </c>
      <c r="AS6" s="101">
        <f>IF( 0 = (1-1), (1-1), ((0 + 'BRAWLERS OFICIAL'!AS6)/1.5) )</f>
        <v>0</v>
      </c>
      <c r="AT6" s="101">
        <f>IF( 0 = (1-1), (1-1), ((0 + 'BRAWLERS OFICIAL'!AT6)/2) )</f>
        <v>0</v>
      </c>
      <c r="AU6" s="101">
        <f>((0 + 'BRAWLERS OFICIAL'!AU6)-'BRAWLERS OFICIAL'!AU6)/($BQ6)</f>
        <v>0</v>
      </c>
      <c r="AV6" s="101">
        <f>(((0)/4 + 'BRAWLERS OFICIAL'!AV6)-'BRAWLERS OFICIAL'!AV6)</f>
        <v>0</v>
      </c>
      <c r="AW6" s="101">
        <v>2.5</v>
      </c>
      <c r="AX6" s="101" t="s">
        <v>449</v>
      </c>
      <c r="AY6" s="100">
        <f>((( 0 )/3 + 'BRAWLERS OFICIAL'!AY6)-'BRAWLERS OFICIAL'!AY6)</f>
        <v>0</v>
      </c>
      <c r="AZ6" s="100">
        <f>((( 0 )/2 + 'BRAWLERS OFICIAL'!AZ6)-'BRAWLERS OFICIAL'!AZ6)/($BQ6)</f>
        <v>0</v>
      </c>
      <c r="BA6" s="100">
        <f>((( 0 )/2 + 'BRAWLERS OFICIAL'!BA6)-'BRAWLERS OFICIAL'!BA6)</f>
        <v>0</v>
      </c>
      <c r="BB6" s="100">
        <f>((( 0 )/3 + 'BRAWLERS OFICIAL'!BB6)-'BRAWLERS OFICIAL'!BB6)</f>
        <v>0</v>
      </c>
      <c r="BC6" s="100">
        <f>((( 0 )/2 + 'BRAWLERS OFICIAL'!BC6)-'BRAWLERS OFICIAL'!BC6)/($BQ6)</f>
        <v>0</v>
      </c>
      <c r="BD6" s="100">
        <f>((( 0 )/3 + 'BRAWLERS OFICIAL'!BD6)-'BRAWLERS OFICIAL'!BD6)</f>
        <v>0</v>
      </c>
      <c r="BE6" s="100">
        <f>((( 0 )/3 + 'BRAWLERS OFICIAL'!BE6)-'BRAWLERS OFICIAL'!BE6)</f>
        <v>0</v>
      </c>
      <c r="BF6" s="100">
        <f>((0 + 'BRAWLERS OFICIAL'!BF6)-'BRAWLERS OFICIAL'!BF6)/($BQ6)</f>
        <v>0</v>
      </c>
      <c r="BG6" s="100">
        <f>((0 + 'BRAWLERS OFICIAL'!BG6)-'BRAWLERS OFICIAL'!BG6)/($BQ6)</f>
        <v>0</v>
      </c>
      <c r="BH6" s="100">
        <f>((( 0 )/2 + 'BRAWLERS OFICIAL'!BH6)-'BRAWLERS OFICIAL'!BH6)</f>
        <v>0</v>
      </c>
      <c r="BI6" s="100">
        <f>((0 + 'BRAWLERS OFICIAL'!BI6)-'BRAWLERS OFICIAL'!BI6)/($BQ6)</f>
        <v>0</v>
      </c>
      <c r="BJ6" s="100">
        <f>((( 0 )/2 + 'BRAWLERS OFICIAL'!BJ6)-'BRAWLERS OFICIAL'!BJ6)</f>
        <v>0</v>
      </c>
      <c r="BK6" s="100">
        <f>((( 0 )/3 + 'BRAWLERS OFICIAL'!BK6)-'BRAWLERS OFICIAL'!BK6)</f>
        <v>0</v>
      </c>
      <c r="BL6" s="100">
        <f>((( 0 )/2 + 'BRAWLERS OFICIAL'!BL6)-'BRAWLERS OFICIAL'!BL6)</f>
        <v>0</v>
      </c>
      <c r="BM6" s="100">
        <f>((0 + 'BRAWLERS OFICIAL'!BM6)-'BRAWLERS OFICIAL'!BM6)/($BQ6)</f>
        <v>0</v>
      </c>
      <c r="BN6" s="100">
        <f>((0 + 'BRAWLERS OFICIAL'!BN6)-'BRAWLERS OFICIAL'!BN6)/($BQ6)</f>
        <v>0</v>
      </c>
      <c r="BO6" s="100">
        <f>((0 + 'BRAWLERS OFICIAL'!BO6)-'BRAWLERS OFICIAL'!BO6)/($BQ6)</f>
        <v>0</v>
      </c>
      <c r="BQ6" s="100">
        <f>('BRAWLERS OFICIAL'!F6 / 'BRAWLERS OFICIAL'!J6 / (1 + ('BRAWLERS OFICIAL'!AA6/5)))</f>
        <v>1.4814814814814814</v>
      </c>
    </row>
    <row r="7" spans="1:69">
      <c r="B7" s="97" t="s">
        <v>450</v>
      </c>
      <c r="C7" s="70" t="s">
        <v>62</v>
      </c>
      <c r="D7" s="134" t="s">
        <v>375</v>
      </c>
      <c r="E7" s="134" t="s">
        <v>358</v>
      </c>
      <c r="F7" s="100">
        <f>((0 + 'BRAWLERS OFICIAL'!F7)-'BRAWLERS OFICIAL'!F7)</f>
        <v>0</v>
      </c>
      <c r="G7" s="100">
        <f>((0 + 'BRAWLERS OFICIAL'!G7)-'BRAWLERS OFICIAL'!G7)</f>
        <v>0</v>
      </c>
      <c r="H7" s="100">
        <f>((0 + 'BRAWLERS OFICIAL'!H7)-'BRAWLERS OFICIAL'!H7)</f>
        <v>0</v>
      </c>
      <c r="I7" s="100">
        <f>((0 + 'BRAWLERS OFICIAL'!I7)-'BRAWLERS OFICIAL'!I7)</f>
        <v>0</v>
      </c>
      <c r="J7" s="100">
        <f>(('BRAWLERS OFICIAL'!J7/20*3/10 + 'BRAWLERS OFICIAL'!J7)-'BRAWLERS OFICIAL'!J7)</f>
        <v>5.9999999999999609E-2</v>
      </c>
      <c r="K7" s="100">
        <f>(('BRAWLERS OFICIAL'!K7/20*3/10 + 'BRAWLERS OFICIAL'!K7)-'BRAWLERS OFICIAL'!K7)</f>
        <v>5.9999999999999609E-2</v>
      </c>
      <c r="L7" s="100">
        <f>(('BRAWLERS OFICIAL'!L7/20*3/10 + 'BRAWLERS OFICIAL'!L7)-'BRAWLERS OFICIAL'!L7)</f>
        <v>3.7500000000000089E-2</v>
      </c>
      <c r="M7" s="100">
        <f>(('BRAWLERS OFICIAL'!M7/20*3/10 + 'BRAWLERS OFICIAL'!M7)-'BRAWLERS OFICIAL'!M7)</f>
        <v>1.8000000000000016E-2</v>
      </c>
      <c r="N7" s="100">
        <f>(('BRAWLERS OFICIAL'!N7/20*3/10 + 'BRAWLERS OFICIAL'!N7)-'BRAWLERS OFICIAL'!N7)</f>
        <v>7.4999999999999512E-3</v>
      </c>
      <c r="O7" s="100">
        <f>((0 + 'BRAWLERS OFICIAL'!O7)-'BRAWLERS OFICIAL'!O7)</f>
        <v>0</v>
      </c>
      <c r="P7" s="100">
        <f>((0 + 'BRAWLERS OFICIAL'!P7)-'BRAWLERS OFICIAL'!P7)</f>
        <v>0</v>
      </c>
      <c r="Q7" s="100">
        <f>((0 + 'BRAWLERS OFICIAL'!Q7)-'BRAWLERS OFICIAL'!Q7)</f>
        <v>0</v>
      </c>
      <c r="R7" s="100">
        <f>((0 + 'BRAWLERS OFICIAL'!R7)-'BRAWLERS OFICIAL'!R7)</f>
        <v>0</v>
      </c>
      <c r="S7" s="100">
        <f>((0 + 'BRAWLERS OFICIAL'!S7)-'BRAWLERS OFICIAL'!S7)</f>
        <v>0</v>
      </c>
      <c r="T7" s="100">
        <f>((0 + 'BRAWLERS OFICIAL'!T7)-'BRAWLERS OFICIAL'!T7)</f>
        <v>0</v>
      </c>
      <c r="U7" s="100">
        <f>((0 + 'BRAWLERS OFICIAL'!U7)-'BRAWLERS OFICIAL'!U7)</f>
        <v>0</v>
      </c>
      <c r="V7" s="100">
        <f>((0 + 'BRAWLERS OFICIAL'!V7)-'BRAWLERS OFICIAL'!V7)/($BQ7)</f>
        <v>0</v>
      </c>
      <c r="W7" s="100">
        <f>(0 + 'BRAWLERS OFICIAL'!W7)-'BRAWLERS OFICIAL'!W7</f>
        <v>0</v>
      </c>
      <c r="X7" s="103">
        <f>(( 0 + 'BRAWLERS OFICIAL'!X7 + AP7 + AY7/3.5 )-'BRAWLERS OFICIAL'!X7)/($BQ7)</f>
        <v>0</v>
      </c>
      <c r="Y7" s="101">
        <f>((0 + 'BRAWLERS OFICIAL'!Y7)-'BRAWLERS OFICIAL'!Y7)/($BQ7)</f>
        <v>0</v>
      </c>
      <c r="Z7" s="101">
        <f>((5 + 10 + 7)/3) -'BRAWLERS OFICIAL'!Z7</f>
        <v>1.333333333333333</v>
      </c>
      <c r="AA7" s="101">
        <f>((0 + 'BRAWLERS OFICIAL'!AA7)-'BRAWLERS OFICIAL'!AA7)/($BQ7)</f>
        <v>0</v>
      </c>
      <c r="AB7" s="101">
        <f>((0 + 'BRAWLERS OFICIAL'!AB7)-'BRAWLERS OFICIAL'!AB7)</f>
        <v>0</v>
      </c>
      <c r="AC7" s="101">
        <f>(((0)/4 + 'BRAWLERS OFICIAL'!AC7)-'BRAWLERS OFICIAL'!AC7)/($BQ7)</f>
        <v>0</v>
      </c>
      <c r="AD7" s="101">
        <f>((0 + 'BRAWLERS OFICIAL'!AD7)-'BRAWLERS OFICIAL'!AD7)/($BQ7)</f>
        <v>0</v>
      </c>
      <c r="AE7" s="101">
        <f>((0 + 'BRAWLERS OFICIAL'!AE7)-'BRAWLERS OFICIAL'!AE7)/($BQ7)</f>
        <v>0</v>
      </c>
      <c r="AF7" s="101">
        <f>((0 + 'BRAWLERS OFICIAL'!AF7)-'BRAWLERS OFICIAL'!AF7)/($BQ7)</f>
        <v>0</v>
      </c>
      <c r="AG7" s="101">
        <f>((0 + 'BRAWLERS OFICIAL'!AG7)-'BRAWLERS OFICIAL'!AG7)</f>
        <v>0</v>
      </c>
      <c r="AH7" s="101">
        <f>((0 + 'BRAWLERS OFICIAL'!AH7)-'BRAWLERS OFICIAL'!AH7)</f>
        <v>0</v>
      </c>
      <c r="AI7" s="101">
        <f>((0 + 'BRAWLERS OFICIAL'!AI7)-'BRAWLERS OFICIAL'!AI7)</f>
        <v>0</v>
      </c>
      <c r="AJ7" s="101">
        <f>((1 + 'BRAWLERS OFICIAL'!AJ7)-'BRAWLERS OFICIAL'!AJ7)/($BQ7)</f>
        <v>0.71111111111111114</v>
      </c>
      <c r="AK7" s="101">
        <f>((9)-'BRAWLERS OFICIAL'!AK7)/($BQ7)</f>
        <v>1.4222222222222223</v>
      </c>
      <c r="AL7" s="101">
        <f>(((BK7/5+1)*AK7 + 'BRAWLERS OFICIAL'!AL7)-'BRAWLERS OFICIAL'!AL7)/($BQ7)</f>
        <v>1.0113580246913583</v>
      </c>
      <c r="AM7" s="101">
        <f>IF( 0 = (1-1), (1-1), ((0 + 'BRAWLERS OFICIAL'!AM7)/1.5)-'BRAWLERS OFICIAL'!AM7 )</f>
        <v>0</v>
      </c>
      <c r="AN7" s="101">
        <f t="shared" si="0"/>
        <v>0</v>
      </c>
      <c r="AO7" s="101">
        <f>((0 + 'BRAWLERS OFICIAL'!AO7)-'BRAWLERS OFICIAL'!AO7)/($BQ7)</f>
        <v>0</v>
      </c>
      <c r="AP7" s="101">
        <f>((0/1000 + 'BRAWLERS OFICIAL'!AP7)-'BRAWLERS OFICIAL'!AP7)</f>
        <v>0</v>
      </c>
      <c r="AQ7" s="101">
        <f>((0 + 'BRAWLERS OFICIAL'!AQ7)-'BRAWLERS OFICIAL'!AQ7)</f>
        <v>0</v>
      </c>
      <c r="AR7" s="101">
        <f>IF( 0 = (1-1), (1-1), ((0 + 'BRAWLERS OFICIAL'!AR7)/1.5) )</f>
        <v>0</v>
      </c>
      <c r="AS7" s="101">
        <f>IF( 0 = (1-1), (1-1), ((0 + 'BRAWLERS OFICIAL'!AS7)/1.5) )</f>
        <v>0</v>
      </c>
      <c r="AT7" s="101">
        <f>IF( 0 = (1-1), (1-1), ((0 + 'BRAWLERS OFICIAL'!AT7)/2) )</f>
        <v>0</v>
      </c>
      <c r="AU7" s="101">
        <f>((0 + 'BRAWLERS OFICIAL'!AU7)-'BRAWLERS OFICIAL'!AU7)/($BQ7)</f>
        <v>0</v>
      </c>
      <c r="AV7" s="101">
        <f>(((0)/4 + 'BRAWLERS OFICIAL'!AV7)-'BRAWLERS OFICIAL'!AV7)</f>
        <v>0</v>
      </c>
      <c r="AW7" s="101">
        <v>0</v>
      </c>
      <c r="AX7" s="101" t="s">
        <v>390</v>
      </c>
      <c r="AY7" s="100">
        <f>((( 0 )/3 + 'BRAWLERS OFICIAL'!AY7)-'BRAWLERS OFICIAL'!AY7)</f>
        <v>0</v>
      </c>
      <c r="AZ7" s="100">
        <f>((( 0 )/2 + 'BRAWLERS OFICIAL'!AZ7)-'BRAWLERS OFICIAL'!AZ7)/($BQ7)</f>
        <v>0</v>
      </c>
      <c r="BA7" s="100">
        <f>((( 0 )/2 + 'BRAWLERS OFICIAL'!BA7)-'BRAWLERS OFICIAL'!BA7)</f>
        <v>0</v>
      </c>
      <c r="BB7" s="100">
        <f>((( 0 )/3 + 'BRAWLERS OFICIAL'!BB7)-'BRAWLERS OFICIAL'!BB7)</f>
        <v>0</v>
      </c>
      <c r="BC7" s="100">
        <f>((( 0 )/2 + 'BRAWLERS OFICIAL'!BC7)-'BRAWLERS OFICIAL'!BC7)/($BQ7)</f>
        <v>0</v>
      </c>
      <c r="BD7" s="100">
        <f>((( 0 )/3 + 'BRAWLERS OFICIAL'!BD7)-'BRAWLERS OFICIAL'!BD7)</f>
        <v>0</v>
      </c>
      <c r="BE7" s="100">
        <f>((( 0 )/3 + 'BRAWLERS OFICIAL'!BE7)-'BRAWLERS OFICIAL'!BE7)</f>
        <v>0</v>
      </c>
      <c r="BF7" s="100">
        <f>((0 + 'BRAWLERS OFICIAL'!BF7)-'BRAWLERS OFICIAL'!BF7)/($BQ7)</f>
        <v>0</v>
      </c>
      <c r="BG7" s="100">
        <f>((0 + 'BRAWLERS OFICIAL'!BG7)-'BRAWLERS OFICIAL'!BG7)/($BQ7)</f>
        <v>0</v>
      </c>
      <c r="BH7" s="100">
        <f>((( 0 )/2 + 'BRAWLERS OFICIAL'!BH7)-'BRAWLERS OFICIAL'!BH7)</f>
        <v>0</v>
      </c>
      <c r="BI7" s="100">
        <f>((0 + 'BRAWLERS OFICIAL'!BI7)-'BRAWLERS OFICIAL'!BI7)/($BQ7)</f>
        <v>0</v>
      </c>
      <c r="BJ7" s="100">
        <f>((( 0 )/2 + 'BRAWLERS OFICIAL'!BJ7)-'BRAWLERS OFICIAL'!BJ7)</f>
        <v>0</v>
      </c>
      <c r="BK7" s="100">
        <f>((( 0 )/3 + 'BRAWLERS OFICIAL'!BK7)-'BRAWLERS OFICIAL'!BK7)</f>
        <v>0</v>
      </c>
      <c r="BL7" s="100">
        <f>((( 0 )/2 + 'BRAWLERS OFICIAL'!BL7)-'BRAWLERS OFICIAL'!BL7)</f>
        <v>0</v>
      </c>
      <c r="BM7" s="100">
        <f>((0 + 'BRAWLERS OFICIAL'!BM7)-'BRAWLERS OFICIAL'!BM7)/($BQ7)</f>
        <v>0</v>
      </c>
      <c r="BN7" s="100">
        <f>((0 + 'BRAWLERS OFICIAL'!BN7)-'BRAWLERS OFICIAL'!BN7)/($BQ7)</f>
        <v>0</v>
      </c>
      <c r="BO7" s="100">
        <f>((0 + 'BRAWLERS OFICIAL'!BO7)-'BRAWLERS OFICIAL'!BO7)/($BQ7)</f>
        <v>0</v>
      </c>
      <c r="BQ7" s="100">
        <f>('BRAWLERS OFICIAL'!F7 / 'BRAWLERS OFICIAL'!J7 / (1 + ('BRAWLERS OFICIAL'!AA7/5)))</f>
        <v>1.40625</v>
      </c>
    </row>
    <row r="8" spans="1:69">
      <c r="B8" s="97" t="s">
        <v>451</v>
      </c>
      <c r="C8" s="70" t="s">
        <v>44</v>
      </c>
      <c r="D8" s="134" t="s">
        <v>361</v>
      </c>
      <c r="E8" s="134" t="s">
        <v>325</v>
      </c>
      <c r="F8" s="100">
        <f>((0 + 'BRAWLERS OFICIAL'!F8)-'BRAWLERS OFICIAL'!F8)</f>
        <v>0</v>
      </c>
      <c r="G8" s="100">
        <f>((0 + 'BRAWLERS OFICIAL'!G8)-'BRAWLERS OFICIAL'!G8)</f>
        <v>0</v>
      </c>
      <c r="H8" s="100">
        <f>((0 + 'BRAWLERS OFICIAL'!H8)-'BRAWLERS OFICIAL'!H8)</f>
        <v>0</v>
      </c>
      <c r="I8" s="100">
        <f>((0 + 'BRAWLERS OFICIAL'!I8)-'BRAWLERS OFICIAL'!I8)</f>
        <v>0</v>
      </c>
      <c r="J8" s="100">
        <f>((0 + 'BRAWLERS OFICIAL'!J8)-'BRAWLERS OFICIAL'!J8)</f>
        <v>0</v>
      </c>
      <c r="K8" s="100">
        <f>((0 + 'BRAWLERS OFICIAL'!K8)-'BRAWLERS OFICIAL'!K8)</f>
        <v>0</v>
      </c>
      <c r="L8" s="100">
        <f>((0 + 'BRAWLERS OFICIAL'!L8)-'BRAWLERS OFICIAL'!L8)</f>
        <v>0</v>
      </c>
      <c r="M8" s="100">
        <f>((0 + 'BRAWLERS OFICIAL'!M8)-'BRAWLERS OFICIAL'!M8)</f>
        <v>0</v>
      </c>
      <c r="N8" s="100">
        <f>((0 + 'BRAWLERS OFICIAL'!N8)-'BRAWLERS OFICIAL'!N8)</f>
        <v>0</v>
      </c>
      <c r="O8" s="100">
        <f>((0 + 'BRAWLERS OFICIAL'!O8)-'BRAWLERS OFICIAL'!O8)</f>
        <v>0</v>
      </c>
      <c r="P8" s="100">
        <f>((0 + 'BRAWLERS OFICIAL'!P8)-'BRAWLERS OFICIAL'!P8)</f>
        <v>0</v>
      </c>
      <c r="Q8" s="100">
        <f>((0 + 'BRAWLERS OFICIAL'!Q8)-'BRAWLERS OFICIAL'!Q8)</f>
        <v>0</v>
      </c>
      <c r="R8" s="100">
        <f>((0 + 'BRAWLERS OFICIAL'!R8)-'BRAWLERS OFICIAL'!R8)</f>
        <v>0</v>
      </c>
      <c r="S8" s="100">
        <f>((0 + 'BRAWLERS OFICIAL'!S8)-'BRAWLERS OFICIAL'!S8)</f>
        <v>0</v>
      </c>
      <c r="T8" s="100">
        <f>((0 + 'BRAWLERS OFICIAL'!T8)-'BRAWLERS OFICIAL'!T8)</f>
        <v>0</v>
      </c>
      <c r="U8" s="100">
        <f>((0 + 'BRAWLERS OFICIAL'!U8)-'BRAWLERS OFICIAL'!U8)</f>
        <v>0</v>
      </c>
      <c r="V8" s="100">
        <f>((0 + 'BRAWLERS OFICIAL'!V8)-'BRAWLERS OFICIAL'!V8)/($BQ8)</f>
        <v>0</v>
      </c>
      <c r="W8" s="100">
        <f>(0 + 'BRAWLERS OFICIAL'!W8)-'BRAWLERS OFICIAL'!W8</f>
        <v>0</v>
      </c>
      <c r="X8" s="103">
        <f>(( 0 + 'BRAWLERS OFICIAL'!X8 + AP8 + AY8/3.5 )-'BRAWLERS OFICIAL'!X8)/($BQ8)</f>
        <v>0</v>
      </c>
      <c r="Y8" s="101">
        <f>((0 + 'BRAWLERS OFICIAL'!Y8)-'BRAWLERS OFICIAL'!Y8)/($BQ8)</f>
        <v>0</v>
      </c>
      <c r="Z8" s="101">
        <f>(((0)/3 + 'BRAWLERS OFICIAL'!Z8)-'BRAWLERS OFICIAL'!Z8)</f>
        <v>0</v>
      </c>
      <c r="AA8" s="101">
        <f>((0 + 'BRAWLERS OFICIAL'!AA8)-'BRAWLERS OFICIAL'!AA8)/($BQ8)</f>
        <v>0</v>
      </c>
      <c r="AB8" s="101">
        <f>((0 + 'BRAWLERS OFICIAL'!AB8)-'BRAWLERS OFICIAL'!AB8)</f>
        <v>0</v>
      </c>
      <c r="AC8" s="101">
        <f>(((0)/4 + 'BRAWLERS OFICIAL'!AC8)-'BRAWLERS OFICIAL'!AC8)/($BQ8)</f>
        <v>0</v>
      </c>
      <c r="AD8" s="101">
        <f>((0 + 'BRAWLERS OFICIAL'!AD8)-'BRAWLERS OFICIAL'!AD8)/($BQ8)</f>
        <v>0</v>
      </c>
      <c r="AE8" s="101">
        <f>((0 + 'BRAWLERS OFICIAL'!AE8)-'BRAWLERS OFICIAL'!AE8)/($BQ8)</f>
        <v>0</v>
      </c>
      <c r="AF8" s="101">
        <f>((0 + 'BRAWLERS OFICIAL'!AF8)-'BRAWLERS OFICIAL'!AF8)/($BQ8)</f>
        <v>0</v>
      </c>
      <c r="AG8" s="101">
        <f>((0 + 'BRAWLERS OFICIAL'!AG8)-'BRAWLERS OFICIAL'!AG8)</f>
        <v>0</v>
      </c>
      <c r="AH8" s="101">
        <f>((0 + 'BRAWLERS OFICIAL'!AH8)-'BRAWLERS OFICIAL'!AH8)</f>
        <v>0</v>
      </c>
      <c r="AI8" s="101">
        <f>((0 + 'BRAWLERS OFICIAL'!AI8)-'BRAWLERS OFICIAL'!AI8)</f>
        <v>0</v>
      </c>
      <c r="AJ8" s="101">
        <f>((0 + 'BRAWLERS OFICIAL'!AJ8)-'BRAWLERS OFICIAL'!AJ8)/($BQ8)</f>
        <v>0</v>
      </c>
      <c r="AK8" s="101">
        <f>((0 + 'BRAWLERS OFICIAL'!AK8)-'BRAWLERS OFICIAL'!AK8)/($BQ8)</f>
        <v>0</v>
      </c>
      <c r="AL8" s="101">
        <f>(((BK8/5+1)*AK8 + 'BRAWLERS OFICIAL'!AL8)-'BRAWLERS OFICIAL'!AL8)/($BQ8)</f>
        <v>0</v>
      </c>
      <c r="AM8" s="101">
        <f>IF( 0 = (1-1), (1-1), ((0 + 'BRAWLERS OFICIAL'!AM8)/1.5)-'BRAWLERS OFICIAL'!AM8 )</f>
        <v>0</v>
      </c>
      <c r="AN8" s="101">
        <f t="shared" si="0"/>
        <v>0</v>
      </c>
      <c r="AO8" s="101">
        <f>((0 + 'BRAWLERS OFICIAL'!AO8)-'BRAWLERS OFICIAL'!AO8)/($BQ8)</f>
        <v>0</v>
      </c>
      <c r="AP8" s="101">
        <f>((0/1000 + 'BRAWLERS OFICIAL'!AP8)-'BRAWLERS OFICIAL'!AP8)</f>
        <v>0</v>
      </c>
      <c r="AQ8" s="101">
        <f>((0 + 'BRAWLERS OFICIAL'!AQ8)-'BRAWLERS OFICIAL'!AQ8)</f>
        <v>0</v>
      </c>
      <c r="AR8" s="101">
        <f>IF( 0 = (1-1), (1-1), ((0 + 'BRAWLERS OFICIAL'!AR8)/1.5) )</f>
        <v>0</v>
      </c>
      <c r="AS8" s="101">
        <f>IF( 0 = (1-1), (1-1), ((0 + 'BRAWLERS OFICIAL'!AS8)/1.5) )</f>
        <v>0</v>
      </c>
      <c r="AT8" s="101">
        <f>IF( 0 = (1-1), (1-1), ((0 + 'BRAWLERS OFICIAL'!AT8)/2) )</f>
        <v>0</v>
      </c>
      <c r="AU8" s="101">
        <f>((0 + 'BRAWLERS OFICIAL'!AU8)-'BRAWLERS OFICIAL'!AU8)/($BQ8)</f>
        <v>0</v>
      </c>
      <c r="AV8" s="101">
        <f>(((0)/4 + 'BRAWLERS OFICIAL'!AV8)-'BRAWLERS OFICIAL'!AV8)</f>
        <v>0</v>
      </c>
      <c r="AW8" s="101">
        <v>0</v>
      </c>
      <c r="AX8" s="101" t="s">
        <v>390</v>
      </c>
      <c r="AY8" s="100">
        <f>((( 0 )/3 + 'BRAWLERS OFICIAL'!AY8)-'BRAWLERS OFICIAL'!AY8)</f>
        <v>0</v>
      </c>
      <c r="AZ8" s="100">
        <f>((( 0 )/2 + 'BRAWLERS OFICIAL'!AZ8)-'BRAWLERS OFICIAL'!AZ8)/($BQ8)</f>
        <v>0</v>
      </c>
      <c r="BA8" s="100">
        <f>((( 0 )/2 + 'BRAWLERS OFICIAL'!BA8)-'BRAWLERS OFICIAL'!BA8)</f>
        <v>0</v>
      </c>
      <c r="BB8" s="100">
        <f>((( 0 )/3 + 'BRAWLERS OFICIAL'!BB8)-'BRAWLERS OFICIAL'!BB8)</f>
        <v>0</v>
      </c>
      <c r="BC8" s="100">
        <f>((( 0 )/2 + 'BRAWLERS OFICIAL'!BC8)-'BRAWLERS OFICIAL'!BC8)/($BQ8)</f>
        <v>0</v>
      </c>
      <c r="BD8" s="100">
        <f>((( 0 )/3 + 'BRAWLERS OFICIAL'!BD8)-'BRAWLERS OFICIAL'!BD8)</f>
        <v>0</v>
      </c>
      <c r="BE8" s="100">
        <f>((( 0 )/3 + 'BRAWLERS OFICIAL'!BE8)-'BRAWLERS OFICIAL'!BE8)</f>
        <v>0</v>
      </c>
      <c r="BF8" s="100">
        <f>((0 + 'BRAWLERS OFICIAL'!BF8)-'BRAWLERS OFICIAL'!BF8)/($BQ8)</f>
        <v>0</v>
      </c>
      <c r="BG8" s="100">
        <f>((0 + 'BRAWLERS OFICIAL'!BG8)-'BRAWLERS OFICIAL'!BG8)/($BQ8)</f>
        <v>0</v>
      </c>
      <c r="BH8" s="100">
        <f>((( 0 )/2 + 'BRAWLERS OFICIAL'!BH8)-'BRAWLERS OFICIAL'!BH8)</f>
        <v>0</v>
      </c>
      <c r="BI8" s="100">
        <f>((6 + 'BRAWLERS OFICIAL'!BI8)-'BRAWLERS OFICIAL'!BI8)/($BQ8)</f>
        <v>3.2</v>
      </c>
      <c r="BJ8" s="100">
        <f>((( 0 )/2 + 'BRAWLERS OFICIAL'!BJ8)-'BRAWLERS OFICIAL'!BJ8)</f>
        <v>0</v>
      </c>
      <c r="BK8" s="100">
        <f>((( 0 )/3 + 'BRAWLERS OFICIAL'!BK8)-'BRAWLERS OFICIAL'!BK8)</f>
        <v>0</v>
      </c>
      <c r="BL8" s="100">
        <f>((( 0 )/2 + 'BRAWLERS OFICIAL'!BL8)-'BRAWLERS OFICIAL'!BL8)</f>
        <v>0</v>
      </c>
      <c r="BM8" s="100">
        <f>((0 + 'BRAWLERS OFICIAL'!BM8)-'BRAWLERS OFICIAL'!BM8)/($BQ8)</f>
        <v>0</v>
      </c>
      <c r="BN8" s="100">
        <f>((0 + 'BRAWLERS OFICIAL'!BN8)-'BRAWLERS OFICIAL'!BN8)/($BQ8)</f>
        <v>0</v>
      </c>
      <c r="BO8" s="100">
        <f>((0 + 'BRAWLERS OFICIAL'!BO8)-'BRAWLERS OFICIAL'!BO8)/($BQ8)</f>
        <v>0</v>
      </c>
      <c r="BQ8" s="100">
        <f>('BRAWLERS OFICIAL'!F8 / 'BRAWLERS OFICIAL'!J8 / (1 + ('BRAWLERS OFICIAL'!AA8/5)))</f>
        <v>1.875</v>
      </c>
    </row>
    <row r="9" spans="1:69">
      <c r="B9" s="97" t="s">
        <v>452</v>
      </c>
      <c r="C9" s="98" t="s">
        <v>95</v>
      </c>
      <c r="D9" s="135" t="s">
        <v>363</v>
      </c>
      <c r="E9" s="135" t="s">
        <v>374</v>
      </c>
      <c r="F9" s="100">
        <f>((0 + 'BRAWLERS OFICIAL'!F9)-'BRAWLERS OFICIAL'!F9)</f>
        <v>0</v>
      </c>
      <c r="G9" s="100">
        <f>((0 + 'BRAWLERS OFICIAL'!G9)-'BRAWLERS OFICIAL'!G9)</f>
        <v>0</v>
      </c>
      <c r="H9" s="100">
        <f>((0 + 'BRAWLERS OFICIAL'!H9)-'BRAWLERS OFICIAL'!H9)</f>
        <v>0</v>
      </c>
      <c r="I9" s="100">
        <f>((0 + 'BRAWLERS OFICIAL'!I9)-'BRAWLERS OFICIAL'!I9)</f>
        <v>0</v>
      </c>
      <c r="J9" s="100">
        <f>((0 + 'BRAWLERS OFICIAL'!J9)-'BRAWLERS OFICIAL'!J9)</f>
        <v>0</v>
      </c>
      <c r="K9" s="100">
        <f>((0 + 'BRAWLERS OFICIAL'!K9)-'BRAWLERS OFICIAL'!K9)</f>
        <v>0</v>
      </c>
      <c r="L9" s="100">
        <f>((0 + 'BRAWLERS OFICIAL'!L9)-'BRAWLERS OFICIAL'!L9)</f>
        <v>0</v>
      </c>
      <c r="M9" s="100">
        <f>((0 + 'BRAWLERS OFICIAL'!M9)-'BRAWLERS OFICIAL'!M9)</f>
        <v>0</v>
      </c>
      <c r="N9" s="100">
        <f>((0 + 'BRAWLERS OFICIAL'!N9)-'BRAWLERS OFICIAL'!N9)</f>
        <v>0</v>
      </c>
      <c r="O9" s="100">
        <f>((0 + 'BRAWLERS OFICIAL'!O9)-'BRAWLERS OFICIAL'!O9)</f>
        <v>0</v>
      </c>
      <c r="P9" s="100">
        <f>((0 + 'BRAWLERS OFICIAL'!P9)-'BRAWLERS OFICIAL'!P9)</f>
        <v>0</v>
      </c>
      <c r="Q9" s="100">
        <f>((0 + 'BRAWLERS OFICIAL'!Q9)-'BRAWLERS OFICIAL'!Q9)</f>
        <v>0</v>
      </c>
      <c r="R9" s="100">
        <f>((0 + 'BRAWLERS OFICIAL'!R9)-'BRAWLERS OFICIAL'!R9)</f>
        <v>0</v>
      </c>
      <c r="S9" s="100">
        <f>((1280/2 + 'BRAWLERS OFICIAL'!S9)-'BRAWLERS OFICIAL'!S9)</f>
        <v>640</v>
      </c>
      <c r="T9" s="100">
        <f>((0 + 'BRAWLERS OFICIAL'!T9)-'BRAWLERS OFICIAL'!T9)</f>
        <v>0</v>
      </c>
      <c r="U9" s="100">
        <f>((0 + 'BRAWLERS OFICIAL'!U9)-'BRAWLERS OFICIAL'!U9)</f>
        <v>0</v>
      </c>
      <c r="V9" s="100">
        <f>((0 + 'BRAWLERS OFICIAL'!V9)-'BRAWLERS OFICIAL'!V9)/($BQ9)</f>
        <v>0</v>
      </c>
      <c r="W9" s="100">
        <f>(0 + 'BRAWLERS OFICIAL'!W9)-'BRAWLERS OFICIAL'!W9</f>
        <v>0</v>
      </c>
      <c r="X9" s="103">
        <f>(( 0 + 'BRAWLERS OFICIAL'!X9 + AP9 + AY9/3.5 )-'BRAWLERS OFICIAL'!X9)/($BQ9)</f>
        <v>0</v>
      </c>
      <c r="Y9" s="101">
        <f>((0 + 'BRAWLERS OFICIAL'!Y9)-'BRAWLERS OFICIAL'!Y9)/($BQ9)</f>
        <v>0</v>
      </c>
      <c r="Z9" s="101">
        <f>(((6 + 5 + 4)/3)-'BRAWLERS OFICIAL'!Z9)</f>
        <v>0.33333333333333304</v>
      </c>
      <c r="AA9" s="101">
        <f>((0 + 'BRAWLERS OFICIAL'!AA9)-'BRAWLERS OFICIAL'!AA9)/($BQ9)</f>
        <v>0</v>
      </c>
      <c r="AB9" s="101">
        <f>((0 + 'BRAWLERS OFICIAL'!AB9)-'BRAWLERS OFICIAL'!AB9)</f>
        <v>0</v>
      </c>
      <c r="AC9" s="101">
        <f>(((3 + 1 + 2 + 3)/4 + 'BRAWLERS OFICIAL'!AC9)-'BRAWLERS OFICIAL'!AC9)/($BQ9)</f>
        <v>2.0249999999999999</v>
      </c>
      <c r="AD9" s="101">
        <f>((0 + 'BRAWLERS OFICIAL'!AD9)-'BRAWLERS OFICIAL'!AD9)/($BQ9)</f>
        <v>0</v>
      </c>
      <c r="AE9" s="101">
        <f>((0 + 'BRAWLERS OFICIAL'!AE9)-'BRAWLERS OFICIAL'!AE9)/($BQ9)</f>
        <v>0</v>
      </c>
      <c r="AF9" s="101">
        <f>((0 + 'BRAWLERS OFICIAL'!AF9)-'BRAWLERS OFICIAL'!AF9)/($BQ9)</f>
        <v>0</v>
      </c>
      <c r="AG9" s="101">
        <f>((0 + 'BRAWLERS OFICIAL'!AG9)-'BRAWLERS OFICIAL'!AG9)</f>
        <v>0</v>
      </c>
      <c r="AH9" s="101">
        <f>((0 + 'BRAWLERS OFICIAL'!AH9)-'BRAWLERS OFICIAL'!AH9)</f>
        <v>0</v>
      </c>
      <c r="AI9" s="101">
        <f>((0 + 'BRAWLERS OFICIAL'!AI9)-'BRAWLERS OFICIAL'!AI9)</f>
        <v>0</v>
      </c>
      <c r="AJ9" s="101">
        <f>((0 + 'BRAWLERS OFICIAL'!AJ9)-'BRAWLERS OFICIAL'!AJ9)/($BQ9)</f>
        <v>0</v>
      </c>
      <c r="AK9" s="101">
        <f>((0 + 'BRAWLERS OFICIAL'!AK9)-'BRAWLERS OFICIAL'!AK9)/($BQ9)</f>
        <v>0</v>
      </c>
      <c r="AL9" s="101">
        <f>(((BK9/5+1)*AK9 + 'BRAWLERS OFICIAL'!AL9)-'BRAWLERS OFICIAL'!AL9)/($BQ9)</f>
        <v>0</v>
      </c>
      <c r="AM9" s="101">
        <f>IF( 0 = (1-1), (1-1), ((0 + 'BRAWLERS OFICIAL'!AM9)/1.5)-'BRAWLERS OFICIAL'!AM9 )</f>
        <v>0</v>
      </c>
      <c r="AN9" s="101">
        <f t="shared" si="0"/>
        <v>0</v>
      </c>
      <c r="AO9" s="101">
        <f>((0 + 'BRAWLERS OFICIAL'!AO9)-'BRAWLERS OFICIAL'!AO9)/($BQ9)</f>
        <v>0</v>
      </c>
      <c r="AP9" s="101">
        <f>((0/1000 + 'BRAWLERS OFICIAL'!AP9)-'BRAWLERS OFICIAL'!AP9)</f>
        <v>0</v>
      </c>
      <c r="AQ9" s="101">
        <f>((0 + 'BRAWLERS OFICIAL'!AQ9)-'BRAWLERS OFICIAL'!AQ9)</f>
        <v>0</v>
      </c>
      <c r="AR9" s="101">
        <f>IF( 0 = (1-1), (1-1), ((0 + 'BRAWLERS OFICIAL'!AR9)/1.5) )</f>
        <v>0</v>
      </c>
      <c r="AS9" s="101">
        <f>IF( 0 = (1-1), (1-1), ((0 + 'BRAWLERS OFICIAL'!AS9)/1.5) )</f>
        <v>0</v>
      </c>
      <c r="AT9" s="101">
        <f>IF( 0 = (1-1), (1-1), ((0 + 'BRAWLERS OFICIAL'!AT9)/2) )</f>
        <v>0</v>
      </c>
      <c r="AU9" s="101">
        <f>((0 + 'BRAWLERS OFICIAL'!AU9)-'BRAWLERS OFICIAL'!AU9)/($BQ9)</f>
        <v>0</v>
      </c>
      <c r="AV9" s="101">
        <f>(((0)/4 + 'BRAWLERS OFICIAL'!AV9)-'BRAWLERS OFICIAL'!AV9)</f>
        <v>0</v>
      </c>
      <c r="AW9" s="101">
        <v>0</v>
      </c>
      <c r="AX9" s="101" t="s">
        <v>390</v>
      </c>
      <c r="AY9" s="100">
        <f>((( 0 )/3 + 'BRAWLERS OFICIAL'!AY9)-'BRAWLERS OFICIAL'!AY9)</f>
        <v>0</v>
      </c>
      <c r="AZ9" s="100">
        <f>((( 0 )/2 + 'BRAWLERS OFICIAL'!AZ9)-'BRAWLERS OFICIAL'!AZ9)/($BQ9)</f>
        <v>0</v>
      </c>
      <c r="BA9" s="100">
        <f>((( 0 )/2 + 'BRAWLERS OFICIAL'!BA9)-'BRAWLERS OFICIAL'!BA9)</f>
        <v>0</v>
      </c>
      <c r="BB9" s="100">
        <f>((( 0 )/3 + 'BRAWLERS OFICIAL'!BB9)-'BRAWLERS OFICIAL'!BB9)</f>
        <v>0</v>
      </c>
      <c r="BC9" s="100">
        <f>((( 0 )/2 + 'BRAWLERS OFICIAL'!BC9)-'BRAWLERS OFICIAL'!BC9)/($BQ9)</f>
        <v>0</v>
      </c>
      <c r="BD9" s="100">
        <f>((( 0 )/3 + 'BRAWLERS OFICIAL'!BD9)-'BRAWLERS OFICIAL'!BD9)</f>
        <v>0</v>
      </c>
      <c r="BE9" s="100">
        <f>((( 0 )/3 + 'BRAWLERS OFICIAL'!BE9)-'BRAWLERS OFICIAL'!BE9)</f>
        <v>0</v>
      </c>
      <c r="BF9" s="100">
        <f>((0 + 'BRAWLERS OFICIAL'!BF9)-'BRAWLERS OFICIAL'!BF9)/($BQ9)</f>
        <v>0</v>
      </c>
      <c r="BG9" s="100">
        <f>((0 + 'BRAWLERS OFICIAL'!BG9)-'BRAWLERS OFICIAL'!BG9)/($BQ9)</f>
        <v>0</v>
      </c>
      <c r="BH9" s="100">
        <f>((( 0 )/2 + 'BRAWLERS OFICIAL'!BH9)-'BRAWLERS OFICIAL'!BH9)</f>
        <v>0</v>
      </c>
      <c r="BI9" s="100">
        <f>((0 + 'BRAWLERS OFICIAL'!BI9)-'BRAWLERS OFICIAL'!BI9)/($BQ9)</f>
        <v>0</v>
      </c>
      <c r="BJ9" s="100">
        <f>((( 0 )/2 + 'BRAWLERS OFICIAL'!BJ9)-'BRAWLERS OFICIAL'!BJ9)</f>
        <v>0</v>
      </c>
      <c r="BK9" s="100">
        <f>((( 6 + 5 + 4 )/3)-'BRAWLERS OFICIAL'!BK9)</f>
        <v>5</v>
      </c>
      <c r="BL9" s="100">
        <f>((( 0 )/2 + 'BRAWLERS OFICIAL'!BL9)-'BRAWLERS OFICIAL'!BL9)</f>
        <v>0</v>
      </c>
      <c r="BM9" s="100">
        <f>((0 + 'BRAWLERS OFICIAL'!BM9)-'BRAWLERS OFICIAL'!BM9)/($BQ9)</f>
        <v>0</v>
      </c>
      <c r="BN9" s="100">
        <f>((0 + 'BRAWLERS OFICIAL'!BN9)-'BRAWLERS OFICIAL'!BN9)/($BQ9)</f>
        <v>0</v>
      </c>
      <c r="BO9" s="100">
        <f>((0 + 'BRAWLERS OFICIAL'!BO9)-'BRAWLERS OFICIAL'!BO9)/($BQ9)</f>
        <v>0</v>
      </c>
      <c r="BQ9" s="100">
        <f>('BRAWLERS OFICIAL'!F9 / 'BRAWLERS OFICIAL'!J9 / (1 + ('BRAWLERS OFICIAL'!AA9/5)))</f>
        <v>1.1111111111111112</v>
      </c>
    </row>
    <row r="10" spans="1:69">
      <c r="B10" s="97" t="s">
        <v>453</v>
      </c>
      <c r="C10" s="98" t="s">
        <v>87</v>
      </c>
      <c r="D10" s="135" t="s">
        <v>351</v>
      </c>
      <c r="E10" s="135" t="s">
        <v>389</v>
      </c>
      <c r="F10" s="100">
        <f>((0 + 'BRAWLERS OFICIAL'!F10)-'BRAWLERS OFICIAL'!F10)</f>
        <v>0</v>
      </c>
      <c r="G10" s="100">
        <f>((0 + 'BRAWLERS OFICIAL'!G10)-'BRAWLERS OFICIAL'!G10)</f>
        <v>0</v>
      </c>
      <c r="H10" s="100">
        <f>((0 + 'BRAWLERS OFICIAL'!H10)-'BRAWLERS OFICIAL'!H10)</f>
        <v>0</v>
      </c>
      <c r="I10" s="100">
        <f>((0 + 'BRAWLERS OFICIAL'!I10)-'BRAWLERS OFICIAL'!I10)</f>
        <v>0</v>
      </c>
      <c r="J10" s="100">
        <f>((0 + 'BRAWLERS OFICIAL'!J10)-'BRAWLERS OFICIAL'!J10)</f>
        <v>0</v>
      </c>
      <c r="K10" s="100">
        <f>((0 + 'BRAWLERS OFICIAL'!K10)-'BRAWLERS OFICIAL'!K10)</f>
        <v>0</v>
      </c>
      <c r="L10" s="100">
        <f>((0 + 'BRAWLERS OFICIAL'!L10)-'BRAWLERS OFICIAL'!L10)</f>
        <v>0</v>
      </c>
      <c r="M10" s="100">
        <f>((0 + 'BRAWLERS OFICIAL'!M10)-'BRAWLERS OFICIAL'!M10)</f>
        <v>0</v>
      </c>
      <c r="N10" s="100">
        <f>((0 + 'BRAWLERS OFICIAL'!N10)-'BRAWLERS OFICIAL'!N10)</f>
        <v>0</v>
      </c>
      <c r="O10" s="100">
        <f>((0 + 'BRAWLERS OFICIAL'!O10)-'BRAWLERS OFICIAL'!O10)</f>
        <v>0</v>
      </c>
      <c r="P10" s="100">
        <f>((0 + 'BRAWLERS OFICIAL'!P10)-'BRAWLERS OFICIAL'!P10)</f>
        <v>0</v>
      </c>
      <c r="Q10" s="100">
        <f>((0 + 'BRAWLERS OFICIAL'!Q10)-'BRAWLERS OFICIAL'!Q10)</f>
        <v>0</v>
      </c>
      <c r="R10" s="100">
        <f>((0 + 'BRAWLERS OFICIAL'!R10)-'BRAWLERS OFICIAL'!R10)</f>
        <v>0</v>
      </c>
      <c r="S10" s="100">
        <f>((0 + 'BRAWLERS OFICIAL'!S10)-'BRAWLERS OFICIAL'!S10)</f>
        <v>0</v>
      </c>
      <c r="T10" s="100">
        <f>((0 + 'BRAWLERS OFICIAL'!T10)-'BRAWLERS OFICIAL'!T10)</f>
        <v>0</v>
      </c>
      <c r="U10" s="100">
        <f>((0 + 'BRAWLERS OFICIAL'!U10)-'BRAWLERS OFICIAL'!U10)</f>
        <v>0</v>
      </c>
      <c r="V10" s="100">
        <f>((0 + 'BRAWLERS OFICIAL'!V10)-'BRAWLERS OFICIAL'!V10)</f>
        <v>0</v>
      </c>
      <c r="W10" s="100">
        <f>(0 + 'BRAWLERS OFICIAL'!W10)-'BRAWLERS OFICIAL'!W10</f>
        <v>0</v>
      </c>
      <c r="X10" s="103">
        <f>(( 0 + 'BRAWLERS OFICIAL'!X10 + AP10 + 0/3.5 )-'BRAWLERS OFICIAL'!X10)/($BQ10)</f>
        <v>0</v>
      </c>
      <c r="Y10" s="101">
        <f>((0 + 'BRAWLERS OFICIAL'!Y10)-'BRAWLERS OFICIAL'!Y10)/($BQ10)</f>
        <v>0</v>
      </c>
      <c r="Z10" s="101">
        <f>(((0)/3 + 'BRAWLERS OFICIAL'!Z10)-'BRAWLERS OFICIAL'!Z10)</f>
        <v>0</v>
      </c>
      <c r="AA10" s="101">
        <f>((0 + 'BRAWLERS OFICIAL'!AA10)-'BRAWLERS OFICIAL'!AA10)/($BQ10)</f>
        <v>0</v>
      </c>
      <c r="AB10" s="101">
        <f>((0 + 'BRAWLERS OFICIAL'!AB10)-'BRAWLERS OFICIAL'!AB10)</f>
        <v>0</v>
      </c>
      <c r="AC10" s="101">
        <f>(((0)/4 + 'BRAWLERS OFICIAL'!AC10)-'BRAWLERS OFICIAL'!AC10)/($BQ10)</f>
        <v>0</v>
      </c>
      <c r="AD10" s="101">
        <f>((0 + 'BRAWLERS OFICIAL'!AD10)-'BRAWLERS OFICIAL'!AD10)/($BQ10)</f>
        <v>0</v>
      </c>
      <c r="AE10" s="101">
        <f>((0 + 'BRAWLERS OFICIAL'!AE10)-'BRAWLERS OFICIAL'!AE10)/($BQ10)</f>
        <v>0</v>
      </c>
      <c r="AF10" s="101">
        <f>((0 + 'BRAWLERS OFICIAL'!AF10)-'BRAWLERS OFICIAL'!AF10)/($BQ10)</f>
        <v>0</v>
      </c>
      <c r="AG10" s="101">
        <f>((0 + 'BRAWLERS OFICIAL'!AG10)-'BRAWLERS OFICIAL'!AG10)</f>
        <v>0</v>
      </c>
      <c r="AH10" s="101">
        <f>((0 + 'BRAWLERS OFICIAL'!AH10)-'BRAWLERS OFICIAL'!AH10)</f>
        <v>0</v>
      </c>
      <c r="AI10" s="101">
        <f>((0 + 'BRAWLERS OFICIAL'!AI10)-'BRAWLERS OFICIAL'!AI10)</f>
        <v>0</v>
      </c>
      <c r="AJ10" s="101">
        <f>((0 + 'BRAWLERS OFICIAL'!AJ10)-'BRAWLERS OFICIAL'!AJ10)/($BQ10)</f>
        <v>0</v>
      </c>
      <c r="AK10" s="101">
        <f>((0 + 'BRAWLERS OFICIAL'!AK10)-'BRAWLERS OFICIAL'!AK10)/($BQ10)</f>
        <v>0</v>
      </c>
      <c r="AL10" s="101">
        <f>(((BK10/5+1)*AK10 + 'BRAWLERS OFICIAL'!AL10)-'BRAWLERS OFICIAL'!AL10)/($BQ10)</f>
        <v>0</v>
      </c>
      <c r="AM10" s="101">
        <f>IF( 0 = (1-1), (1-1), ((0 + 'BRAWLERS OFICIAL'!AM10)/1.5)-'BRAWLERS OFICIAL'!AM10 )</f>
        <v>0</v>
      </c>
      <c r="AN10" s="101">
        <f t="shared" si="0"/>
        <v>0</v>
      </c>
      <c r="AO10" s="101">
        <f>((0 + 'BRAWLERS OFICIAL'!AO10)-'BRAWLERS OFICIAL'!AO10)/($BQ10)</f>
        <v>0</v>
      </c>
      <c r="AP10" s="101">
        <f>((0/1000 + 'BRAWLERS OFICIAL'!AP10)-'BRAWLERS OFICIAL'!AP10)</f>
        <v>0</v>
      </c>
      <c r="AQ10" s="101">
        <f>((0 + 'BRAWLERS OFICIAL'!AQ10)-'BRAWLERS OFICIAL'!AQ10)</f>
        <v>0</v>
      </c>
      <c r="AR10" s="101">
        <f>IF( 0 = (1-1), (1-1), ((0 + 'BRAWLERS OFICIAL'!AR10)/1.5) )</f>
        <v>0</v>
      </c>
      <c r="AS10" s="101">
        <f>IF( 0 = (1-1), (1-1), ((0 + 'BRAWLERS OFICIAL'!AS10)/1.5) )</f>
        <v>0</v>
      </c>
      <c r="AT10" s="101">
        <f>IF( 0 = (1-1), (1-1), ((0 + 'BRAWLERS OFICIAL'!AT10)/2) )</f>
        <v>0</v>
      </c>
      <c r="AU10" s="101">
        <f>((0 + 'BRAWLERS OFICIAL'!AU10)-'BRAWLERS OFICIAL'!AU10)/($BQ10)</f>
        <v>0</v>
      </c>
      <c r="AV10" s="101">
        <f>(((0)/4 + 'BRAWLERS OFICIAL'!AV10)-'BRAWLERS OFICIAL'!AV10)</f>
        <v>0</v>
      </c>
      <c r="AW10" s="101">
        <v>0</v>
      </c>
      <c r="AX10" s="101" t="s">
        <v>390</v>
      </c>
      <c r="AY10" s="100">
        <f>((10 + 3 + 9)/3 + 'BRAWLERS OFICIAL'!AY10)-'BRAWLERS OFICIAL'!AY10</f>
        <v>7.3333333333333321</v>
      </c>
      <c r="AZ10" s="100">
        <f>((( 0 )/2 + 'BRAWLERS OFICIAL'!AZ10)-'BRAWLERS OFICIAL'!AZ10)/($BQ10)</f>
        <v>0</v>
      </c>
      <c r="BA10" s="100">
        <f>((( 0 )/2 + 'BRAWLERS OFICIAL'!BA10)-'BRAWLERS OFICIAL'!BA10)</f>
        <v>0</v>
      </c>
      <c r="BB10" s="100">
        <f>((( 0 )/3 + 'BRAWLERS OFICIAL'!BB10)-'BRAWLERS OFICIAL'!BB10)</f>
        <v>0</v>
      </c>
      <c r="BC10" s="100">
        <f>((( 0 )/2 + 'BRAWLERS OFICIAL'!BC10)-'BRAWLERS OFICIAL'!BC10)/($BQ10)</f>
        <v>0</v>
      </c>
      <c r="BD10" s="100">
        <f>((( 0 )/3 + 'BRAWLERS OFICIAL'!BD10)-'BRAWLERS OFICIAL'!BD10)</f>
        <v>0</v>
      </c>
      <c r="BE10" s="100">
        <f>((( 0 )/3 + 'BRAWLERS OFICIAL'!BE10)-'BRAWLERS OFICIAL'!BE10)</f>
        <v>0</v>
      </c>
      <c r="BF10" s="100">
        <f>((0 + 'BRAWLERS OFICIAL'!BF10)-'BRAWLERS OFICIAL'!BF10)/($BQ10)</f>
        <v>0</v>
      </c>
      <c r="BG10" s="100">
        <f>((0 + 'BRAWLERS OFICIAL'!BG10)-'BRAWLERS OFICIAL'!BG10)/($BQ10)</f>
        <v>0</v>
      </c>
      <c r="BH10" s="100">
        <f>((( 0 )/2 + 'BRAWLERS OFICIAL'!BH10)-'BRAWLERS OFICIAL'!BH10)</f>
        <v>0</v>
      </c>
      <c r="BI10" s="100">
        <f>((0 + 'BRAWLERS OFICIAL'!BI10)-'BRAWLERS OFICIAL'!BI10)/($BQ10)</f>
        <v>0</v>
      </c>
      <c r="BJ10" s="100">
        <f>((( 0 )/2 + 'BRAWLERS OFICIAL'!BJ10)-'BRAWLERS OFICIAL'!BJ10)</f>
        <v>0</v>
      </c>
      <c r="BK10" s="100">
        <f>((( 0 )/3 + 'BRAWLERS OFICIAL'!BK10)-'BRAWLERS OFICIAL'!BK10)</f>
        <v>0</v>
      </c>
      <c r="BL10" s="100">
        <f>((( 0 )/2 + 'BRAWLERS OFICIAL'!BL10)-'BRAWLERS OFICIAL'!BL10)</f>
        <v>0</v>
      </c>
      <c r="BM10" s="100">
        <f>((0 + 'BRAWLERS OFICIAL'!BM10)-'BRAWLERS OFICIAL'!BM10)/($BQ10)</f>
        <v>0</v>
      </c>
      <c r="BN10" s="100">
        <f>((0 + 'BRAWLERS OFICIAL'!BN10)-'BRAWLERS OFICIAL'!BN10)/($BQ10)</f>
        <v>0</v>
      </c>
      <c r="BO10" s="100">
        <f>((0 + 'BRAWLERS OFICIAL'!BO10)-'BRAWLERS OFICIAL'!BO10)/($BQ10)</f>
        <v>0</v>
      </c>
      <c r="BQ10" s="100">
        <v>1</v>
      </c>
    </row>
    <row r="11" spans="1:69">
      <c r="B11" s="97" t="s">
        <v>454</v>
      </c>
      <c r="C11" s="70" t="s">
        <v>15</v>
      </c>
      <c r="D11" s="134" t="s">
        <v>384</v>
      </c>
      <c r="E11" s="134" t="s">
        <v>351</v>
      </c>
      <c r="F11" s="100">
        <f>((0 + 'BRAWLERS OFICIAL'!F11)-'BRAWLERS OFICIAL'!F11)</f>
        <v>0</v>
      </c>
      <c r="G11" s="100">
        <f>((0 + 'BRAWLERS OFICIAL'!G11)-'BRAWLERS OFICIAL'!G11)</f>
        <v>0</v>
      </c>
      <c r="H11" s="100">
        <f>((0 + 'BRAWLERS OFICIAL'!H11)-'BRAWLERS OFICIAL'!H11)</f>
        <v>0</v>
      </c>
      <c r="I11" s="100">
        <f>(('BRAWLERS OFICIAL'!I11/2 + 'BRAWLERS OFICIAL'!I11)-'BRAWLERS OFICIAL'!I11)</f>
        <v>0.63250000000000006</v>
      </c>
      <c r="J11" s="100">
        <f>((0 + 'BRAWLERS OFICIAL'!J11)-'BRAWLERS OFICIAL'!J11)</f>
        <v>0</v>
      </c>
      <c r="K11" s="100">
        <f>((0 + 'BRAWLERS OFICIAL'!K11)-'BRAWLERS OFICIAL'!K11)</f>
        <v>0</v>
      </c>
      <c r="L11" s="100">
        <f>((0 + 'BRAWLERS OFICIAL'!L11)-'BRAWLERS OFICIAL'!L11)</f>
        <v>0</v>
      </c>
      <c r="M11" s="100">
        <f>((0 + 'BRAWLERS OFICIAL'!M11)-'BRAWLERS OFICIAL'!M11)</f>
        <v>0</v>
      </c>
      <c r="N11" s="100">
        <f>((0 + 'BRAWLERS OFICIAL'!N11)-'BRAWLERS OFICIAL'!N11)</f>
        <v>0</v>
      </c>
      <c r="O11" s="100">
        <f>((0 + 'BRAWLERS OFICIAL'!O11)-'BRAWLERS OFICIAL'!O11)</f>
        <v>0</v>
      </c>
      <c r="P11" s="100">
        <f>((0 + 'BRAWLERS OFICIAL'!P11)-'BRAWLERS OFICIAL'!P11)</f>
        <v>0</v>
      </c>
      <c r="Q11" s="100">
        <f>((0 + 'BRAWLERS OFICIAL'!Q11)-'BRAWLERS OFICIAL'!Q11)</f>
        <v>0</v>
      </c>
      <c r="R11" s="100">
        <f>((0 + 'BRAWLERS OFICIAL'!R11)-'BRAWLERS OFICIAL'!R11)</f>
        <v>0</v>
      </c>
      <c r="S11" s="100">
        <f>((0 + 'BRAWLERS OFICIAL'!S11)-'BRAWLERS OFICIAL'!S11)</f>
        <v>0</v>
      </c>
      <c r="T11" s="100">
        <f>((0 + 'BRAWLERS OFICIAL'!T11)-'BRAWLERS OFICIAL'!T11)</f>
        <v>0</v>
      </c>
      <c r="U11" s="100">
        <f>((0 + 'BRAWLERS OFICIAL'!U11)-'BRAWLERS OFICIAL'!U11)</f>
        <v>0</v>
      </c>
      <c r="V11" s="100">
        <f>((0 + 'BRAWLERS OFICIAL'!V11)-'BRAWLERS OFICIAL'!V11)/($BQ11)</f>
        <v>0</v>
      </c>
      <c r="W11" s="100">
        <f>(0 + 'BRAWLERS OFICIAL'!W11)-'BRAWLERS OFICIAL'!W11</f>
        <v>0</v>
      </c>
      <c r="X11" s="103">
        <f>(( 0 + 'BRAWLERS OFICIAL'!X11 + AP11 + AY11/3.5 )-'BRAWLERS OFICIAL'!X11)/($BQ11)</f>
        <v>0.28571428571428559</v>
      </c>
      <c r="Y11" s="101">
        <f>((0 + 'BRAWLERS OFICIAL'!Y11)-'BRAWLERS OFICIAL'!Y11)/($BQ11)</f>
        <v>0</v>
      </c>
      <c r="Z11" s="101">
        <f>(((0)/3 + 'BRAWLERS OFICIAL'!Z11)-'BRAWLERS OFICIAL'!Z11)</f>
        <v>0</v>
      </c>
      <c r="AA11" s="101">
        <f>((0 + 'BRAWLERS OFICIAL'!AA11)-'BRAWLERS OFICIAL'!AA11)/($BQ11)</f>
        <v>0</v>
      </c>
      <c r="AB11" s="101">
        <f>((0 + 'BRAWLERS OFICIAL'!AB11)-'BRAWLERS OFICIAL'!AB11)</f>
        <v>0</v>
      </c>
      <c r="AC11" s="101">
        <f>(((0)/4 + 'BRAWLERS OFICIAL'!AC11)-'BRAWLERS OFICIAL'!AC11)/($BQ11)</f>
        <v>0</v>
      </c>
      <c r="AD11" s="101">
        <f>((0 + 'BRAWLERS OFICIAL'!AD11)-'BRAWLERS OFICIAL'!AD11)/($BQ11)</f>
        <v>0</v>
      </c>
      <c r="AE11" s="101">
        <f>((0 + 'BRAWLERS OFICIAL'!AE11)-'BRAWLERS OFICIAL'!AE11)/($BQ11)</f>
        <v>0</v>
      </c>
      <c r="AF11" s="101">
        <f>((0 + 'BRAWLERS OFICIAL'!AF11)-'BRAWLERS OFICIAL'!AF11)/($BQ11)</f>
        <v>0</v>
      </c>
      <c r="AG11" s="101">
        <f>((0 + 'BRAWLERS OFICIAL'!AG11)-'BRAWLERS OFICIAL'!AG11)</f>
        <v>0</v>
      </c>
      <c r="AH11" s="101">
        <f>((0 + 'BRAWLERS OFICIAL'!AH11)-'BRAWLERS OFICIAL'!AH11)</f>
        <v>0</v>
      </c>
      <c r="AI11" s="101">
        <f>((0 + 'BRAWLERS OFICIAL'!AI11)-'BRAWLERS OFICIAL'!AI11)</f>
        <v>0</v>
      </c>
      <c r="AJ11" s="101">
        <f>((0 + 'BRAWLERS OFICIAL'!AJ11)-'BRAWLERS OFICIAL'!AJ11)/($BQ11)</f>
        <v>0</v>
      </c>
      <c r="AK11" s="101">
        <f>((0 + 'BRAWLERS OFICIAL'!AK11)-'BRAWLERS OFICIAL'!AK11)/($BQ11)</f>
        <v>0</v>
      </c>
      <c r="AL11" s="101">
        <f>(((BK11/5+1)*AK11 + 'BRAWLERS OFICIAL'!AL11)-'BRAWLERS OFICIAL'!AL11)/($BQ11)</f>
        <v>0</v>
      </c>
      <c r="AM11" s="101">
        <f>IF( 0 = (1-1), (1-1), ((0 + 'BRAWLERS OFICIAL'!AM11)/1.5)-'BRAWLERS OFICIAL'!AM11 )</f>
        <v>0</v>
      </c>
      <c r="AN11" s="101">
        <f t="shared" si="0"/>
        <v>0</v>
      </c>
      <c r="AO11" s="101">
        <f>((0 + 'BRAWLERS OFICIAL'!AO11)-'BRAWLERS OFICIAL'!AO11)/($BQ11)</f>
        <v>0</v>
      </c>
      <c r="AP11" s="101">
        <f>((0/1000 + 'BRAWLERS OFICIAL'!AP11)-'BRAWLERS OFICIAL'!AP11)</f>
        <v>0</v>
      </c>
      <c r="AQ11" s="101">
        <f>((0 + 'BRAWLERS OFICIAL'!AQ11)-'BRAWLERS OFICIAL'!AQ11)</f>
        <v>0</v>
      </c>
      <c r="AR11" s="101">
        <f>IF( 0 = (1-1), (1-1), ((0 + 'BRAWLERS OFICIAL'!AR11)/1.5) )</f>
        <v>0</v>
      </c>
      <c r="AS11" s="101">
        <f>IF( 0 = (1-1), (1-1), ((0 + 'BRAWLERS OFICIAL'!AS11)/1.5) )</f>
        <v>0</v>
      </c>
      <c r="AT11" s="101">
        <f>IF( 0 = (1-1), (1-1), ((0 + 'BRAWLERS OFICIAL'!AT11)/2) )</f>
        <v>0</v>
      </c>
      <c r="AU11" s="101">
        <f>((0 + 'BRAWLERS OFICIAL'!AU11)-'BRAWLERS OFICIAL'!AU11)/($BQ11)</f>
        <v>0</v>
      </c>
      <c r="AV11" s="101">
        <f>(((0)/4 + 'BRAWLERS OFICIAL'!AV11)-'BRAWLERS OFICIAL'!AV11)</f>
        <v>0</v>
      </c>
      <c r="AW11" s="101">
        <v>0</v>
      </c>
      <c r="AX11" s="101" t="s">
        <v>390</v>
      </c>
      <c r="AY11" s="100">
        <f>(10 + 3+8 + 3)/3-'BRAWLERS OFICIAL'!AY11</f>
        <v>1</v>
      </c>
      <c r="AZ11" s="100">
        <f>((( 0 )/2 + 'BRAWLERS OFICIAL'!AZ11)-'BRAWLERS OFICIAL'!AZ11)/($BQ11)</f>
        <v>0</v>
      </c>
      <c r="BA11" s="100">
        <f>((( 0 )/2 + 'BRAWLERS OFICIAL'!BA11)-'BRAWLERS OFICIAL'!BA11)</f>
        <v>0</v>
      </c>
      <c r="BB11" s="100">
        <f>((( 0 )/3 + 'BRAWLERS OFICIAL'!BB11)-'BRAWLERS OFICIAL'!BB11)</f>
        <v>0</v>
      </c>
      <c r="BC11" s="100">
        <f>((( 0 )/2 + 'BRAWLERS OFICIAL'!BC11)-'BRAWLERS OFICIAL'!BC11)/($BQ11)</f>
        <v>0</v>
      </c>
      <c r="BD11" s="100">
        <f>((( 0 )/3 + 'BRAWLERS OFICIAL'!BD11)-'BRAWLERS OFICIAL'!BD11)</f>
        <v>0</v>
      </c>
      <c r="BE11" s="100">
        <f>((( 0 )/3 + 'BRAWLERS OFICIAL'!BE11)-'BRAWLERS OFICIAL'!BE11)</f>
        <v>0</v>
      </c>
      <c r="BF11" s="100">
        <f>((0 + 'BRAWLERS OFICIAL'!BF11)-'BRAWLERS OFICIAL'!BF11)/($BQ11)</f>
        <v>0</v>
      </c>
      <c r="BG11" s="100">
        <f>((0 + 'BRAWLERS OFICIAL'!BG11)-'BRAWLERS OFICIAL'!BG11)/($BQ11)</f>
        <v>0</v>
      </c>
      <c r="BH11" s="100">
        <f>((( 0 )/2 + 'BRAWLERS OFICIAL'!BH11)-'BRAWLERS OFICIAL'!BH11)</f>
        <v>0</v>
      </c>
      <c r="BI11" s="100">
        <f>((0 + 'BRAWLERS OFICIAL'!BI11)-'BRAWLERS OFICIAL'!BI11)/($BQ11)</f>
        <v>0</v>
      </c>
      <c r="BJ11" s="100">
        <f>((( 0 )/2 + 'BRAWLERS OFICIAL'!BJ11)-'BRAWLERS OFICIAL'!BJ11)</f>
        <v>0</v>
      </c>
      <c r="BK11" s="100">
        <f>((( 0 )/3 + 'BRAWLERS OFICIAL'!BK11)-'BRAWLERS OFICIAL'!BK11)</f>
        <v>0</v>
      </c>
      <c r="BL11" s="100">
        <f>((( 0 )/2 + 'BRAWLERS OFICIAL'!BL11)-'BRAWLERS OFICIAL'!BL11)</f>
        <v>0</v>
      </c>
      <c r="BM11" s="100">
        <f>((0 + 'BRAWLERS OFICIAL'!BM11)-'BRAWLERS OFICIAL'!BM11)/($BQ11)</f>
        <v>0</v>
      </c>
      <c r="BN11" s="100">
        <f>((0 + 'BRAWLERS OFICIAL'!BN11)-'BRAWLERS OFICIAL'!BN11)/($BQ11)</f>
        <v>0</v>
      </c>
      <c r="BO11" s="100">
        <f>((0 + 'BRAWLERS OFICIAL'!BO11)-'BRAWLERS OFICIAL'!BO11)/($BQ11)</f>
        <v>0</v>
      </c>
      <c r="BQ11" s="100">
        <v>1</v>
      </c>
    </row>
    <row r="12" spans="1:69">
      <c r="B12" s="97" t="s">
        <v>455</v>
      </c>
      <c r="C12" s="98" t="s">
        <v>43</v>
      </c>
      <c r="D12" s="135" t="s">
        <v>365</v>
      </c>
      <c r="E12" s="135" t="s">
        <v>329</v>
      </c>
      <c r="F12" s="100">
        <f>((0 + 'BRAWLERS OFICIAL'!F12)-'BRAWLERS OFICIAL'!F12)</f>
        <v>0</v>
      </c>
      <c r="G12" s="100">
        <f>((0 + 'BRAWLERS OFICIAL'!G12)-'BRAWLERS OFICIAL'!G12)</f>
        <v>0</v>
      </c>
      <c r="H12" s="100">
        <f>(('BRAWLERS OFICIAL'!H12/20*3 + 'BRAWLERS OFICIAL'!H12)-'BRAWLERS OFICIAL'!H12)</f>
        <v>348</v>
      </c>
      <c r="I12" s="100">
        <f>((0 + 'BRAWLERS OFICIAL'!I12)-'BRAWLERS OFICIAL'!I12)</f>
        <v>0</v>
      </c>
      <c r="J12" s="100">
        <f>((0 + 'BRAWLERS OFICIAL'!J12)-'BRAWLERS OFICIAL'!J12)</f>
        <v>0</v>
      </c>
      <c r="K12" s="100">
        <f>((0 + 'BRAWLERS OFICIAL'!K12)-'BRAWLERS OFICIAL'!K12)</f>
        <v>0</v>
      </c>
      <c r="L12" s="100">
        <f>((0 + 'BRAWLERS OFICIAL'!L12)-'BRAWLERS OFICIAL'!L12)</f>
        <v>0</v>
      </c>
      <c r="M12" s="100">
        <f>((0 + 'BRAWLERS OFICIAL'!M12)-'BRAWLERS OFICIAL'!M12)</f>
        <v>0</v>
      </c>
      <c r="N12" s="100">
        <f>((0 + 'BRAWLERS OFICIAL'!N12)-'BRAWLERS OFICIAL'!N12)</f>
        <v>0</v>
      </c>
      <c r="O12" s="100">
        <f>((0 + 'BRAWLERS OFICIAL'!O12)-'BRAWLERS OFICIAL'!O12)</f>
        <v>0</v>
      </c>
      <c r="P12" s="100">
        <f>((0 + 'BRAWLERS OFICIAL'!P12)-'BRAWLERS OFICIAL'!P12)</f>
        <v>0</v>
      </c>
      <c r="Q12" s="100">
        <f>((0 + 'BRAWLERS OFICIAL'!Q12)-'BRAWLERS OFICIAL'!Q12)</f>
        <v>0</v>
      </c>
      <c r="R12" s="100">
        <f>((0 + 'BRAWLERS OFICIAL'!R12)-'BRAWLERS OFICIAL'!R12)</f>
        <v>0</v>
      </c>
      <c r="S12" s="100">
        <f>((0 + 'BRAWLERS OFICIAL'!S12)-'BRAWLERS OFICIAL'!S12)</f>
        <v>0</v>
      </c>
      <c r="T12" s="100">
        <f>((0 + 'BRAWLERS OFICIAL'!T12)-'BRAWLERS OFICIAL'!T12)</f>
        <v>0</v>
      </c>
      <c r="U12" s="100">
        <f>((0 + 'BRAWLERS OFICIAL'!U12)-'BRAWLERS OFICIAL'!U12)</f>
        <v>0</v>
      </c>
      <c r="V12" s="100">
        <f>((0 + 'BRAWLERS OFICIAL'!V12)-'BRAWLERS OFICIAL'!V12)/($BQ12)</f>
        <v>0</v>
      </c>
      <c r="W12" s="100">
        <f>(0 + 'BRAWLERS OFICIAL'!W12)-'BRAWLERS OFICIAL'!W12</f>
        <v>0</v>
      </c>
      <c r="X12" s="103">
        <f>(( 0 + 'BRAWLERS OFICIAL'!X12 + AP12 + (6 + 9 + 3)/3/3.5 )-'BRAWLERS OFICIAL'!X12)/($BQ12)</f>
        <v>0.68571428571428539</v>
      </c>
      <c r="Y12" s="101">
        <f>((0 + 'BRAWLERS OFICIAL'!Y12)-'BRAWLERS OFICIAL'!Y12)/($BQ12)</f>
        <v>0</v>
      </c>
      <c r="Z12" s="101">
        <f>(((0)/3 + 'BRAWLERS OFICIAL'!Z12)-'BRAWLERS OFICIAL'!Z12)</f>
        <v>0</v>
      </c>
      <c r="AA12" s="101">
        <f>((0 + 'BRAWLERS OFICIAL'!AA12)-'BRAWLERS OFICIAL'!AA12)/($BQ12)</f>
        <v>0</v>
      </c>
      <c r="AB12" s="101">
        <f>((0 + 'BRAWLERS OFICIAL'!AB12)-'BRAWLERS OFICIAL'!AB12)</f>
        <v>0</v>
      </c>
      <c r="AC12" s="101">
        <f>(((0)/4 + 'BRAWLERS OFICIAL'!AC12)-'BRAWLERS OFICIAL'!AC12)/($BQ12)</f>
        <v>0</v>
      </c>
      <c r="AD12" s="101">
        <f>((0 + 'BRAWLERS OFICIAL'!AD12)-'BRAWLERS OFICIAL'!AD12)/($BQ12)</f>
        <v>0</v>
      </c>
      <c r="AE12" s="101">
        <f>((0 + 'BRAWLERS OFICIAL'!AE12)-'BRAWLERS OFICIAL'!AE12)/($BQ12)</f>
        <v>0</v>
      </c>
      <c r="AF12" s="101">
        <f>((0 + 'BRAWLERS OFICIAL'!AF12)-'BRAWLERS OFICIAL'!AF12)/($BQ12)</f>
        <v>0</v>
      </c>
      <c r="AG12" s="101">
        <f>((0 + 'BRAWLERS OFICIAL'!AG12)-'BRAWLERS OFICIAL'!AG12)</f>
        <v>0</v>
      </c>
      <c r="AH12" s="101">
        <f>((0 + 'BRAWLERS OFICIAL'!AH12)-'BRAWLERS OFICIAL'!AH12)</f>
        <v>0</v>
      </c>
      <c r="AI12" s="101">
        <f>((0 + 'BRAWLERS OFICIAL'!AI12)-'BRAWLERS OFICIAL'!AI12)</f>
        <v>0</v>
      </c>
      <c r="AJ12" s="101">
        <f>((0 + 'BRAWLERS OFICIAL'!AJ12)-'BRAWLERS OFICIAL'!AJ12)/($BQ12)</f>
        <v>0</v>
      </c>
      <c r="AK12" s="101">
        <f>((0 + 'BRAWLERS OFICIAL'!AK12)-'BRAWLERS OFICIAL'!AK12)/($BQ12)</f>
        <v>0</v>
      </c>
      <c r="AL12" s="101">
        <f>(((BK12/5+1)*AK12 + 'BRAWLERS OFICIAL'!AL12)-'BRAWLERS OFICIAL'!AL12)/($BQ12)</f>
        <v>0</v>
      </c>
      <c r="AM12" s="101">
        <f>IF( 0 = (1-1), (1-1), ((0 + 'BRAWLERS OFICIAL'!AM12)/1.5)-'BRAWLERS OFICIAL'!AM12 )</f>
        <v>0</v>
      </c>
      <c r="AN12" s="101">
        <f t="shared" si="0"/>
        <v>0</v>
      </c>
      <c r="AO12" s="101">
        <f>((0 + 'BRAWLERS OFICIAL'!AO12)-'BRAWLERS OFICIAL'!AO12)/($BQ12)</f>
        <v>0</v>
      </c>
      <c r="AP12" s="101">
        <f>((0/1000 + 'BRAWLERS OFICIAL'!AP12)-'BRAWLERS OFICIAL'!AP12)</f>
        <v>0</v>
      </c>
      <c r="AQ12" s="101">
        <f>((0 + 'BRAWLERS OFICIAL'!AQ12)-'BRAWLERS OFICIAL'!AQ12)</f>
        <v>0</v>
      </c>
      <c r="AR12" s="101">
        <f>IF( 0 = (1-1), (1-1), ((0 + 'BRAWLERS OFICIAL'!AR12)/1.5) )</f>
        <v>0</v>
      </c>
      <c r="AS12" s="101">
        <f>IF( 0 = (1-1), (1-1), ((0 + 'BRAWLERS OFICIAL'!AS12)/1.5) )</f>
        <v>0</v>
      </c>
      <c r="AT12" s="101">
        <f>IF( 0 = (1-1), (1-1), ((0 + 'BRAWLERS OFICIAL'!AT12)/2) )</f>
        <v>0</v>
      </c>
      <c r="AU12" s="101">
        <f>((0 + 'BRAWLERS OFICIAL'!AU12)-'BRAWLERS OFICIAL'!AU12)/($BQ12)</f>
        <v>0</v>
      </c>
      <c r="AV12" s="101">
        <f>(((0)/4 + 'BRAWLERS OFICIAL'!AV12)-'BRAWLERS OFICIAL'!AV12)</f>
        <v>0</v>
      </c>
      <c r="AW12" s="101">
        <v>2.5</v>
      </c>
      <c r="AX12" s="101" t="s">
        <v>456</v>
      </c>
      <c r="AY12" s="100">
        <f>((( 0 )/3 + 'BRAWLERS OFICIAL'!AY12)-'BRAWLERS OFICIAL'!AY12)</f>
        <v>0</v>
      </c>
      <c r="AZ12" s="100">
        <f>((( 0 )/2 + 'BRAWLERS OFICIAL'!AZ12)-'BRAWLERS OFICIAL'!AZ12)/($BQ12)</f>
        <v>0</v>
      </c>
      <c r="BA12" s="100">
        <f>((( 0 )/2 + 'BRAWLERS OFICIAL'!BA12)-'BRAWLERS OFICIAL'!BA12)</f>
        <v>0</v>
      </c>
      <c r="BB12" s="100">
        <f>((( 0 )/3 + 'BRAWLERS OFICIAL'!BB12)-'BRAWLERS OFICIAL'!BB12)</f>
        <v>0</v>
      </c>
      <c r="BC12" s="100">
        <f>((( 0 )/2 + 'BRAWLERS OFICIAL'!BC12)-'BRAWLERS OFICIAL'!BC12)/($BQ12)</f>
        <v>0</v>
      </c>
      <c r="BD12" s="100">
        <f>((( 0 )/3 + 'BRAWLERS OFICIAL'!BD12)-'BRAWLERS OFICIAL'!BD12)</f>
        <v>0</v>
      </c>
      <c r="BE12" s="100">
        <f>((( 0 )/3 + 'BRAWLERS OFICIAL'!BE12)-'BRAWLERS OFICIAL'!BE12)</f>
        <v>0</v>
      </c>
      <c r="BF12" s="100">
        <f>((0 + 'BRAWLERS OFICIAL'!BF12)-'BRAWLERS OFICIAL'!BF12)/($BQ12)</f>
        <v>0</v>
      </c>
      <c r="BG12" s="100">
        <f>((0 + 'BRAWLERS OFICIAL'!BG12)-'BRAWLERS OFICIAL'!BG12)/($BQ12)</f>
        <v>0</v>
      </c>
      <c r="BH12" s="100">
        <f>((( 0 )/2 + 'BRAWLERS OFICIAL'!BH12)-'BRAWLERS OFICIAL'!BH12)</f>
        <v>0</v>
      </c>
      <c r="BI12" s="100">
        <f>((0 + 'BRAWLERS OFICIAL'!BI12)-'BRAWLERS OFICIAL'!BI12)/($BQ12)</f>
        <v>0</v>
      </c>
      <c r="BJ12" s="100">
        <f>((( 0 )/2 + 'BRAWLERS OFICIAL'!BJ12)-'BRAWLERS OFICIAL'!BJ12)</f>
        <v>0</v>
      </c>
      <c r="BK12" s="100">
        <f>((( 0 )/3 + 'BRAWLERS OFICIAL'!BK12)-'BRAWLERS OFICIAL'!BK12)</f>
        <v>0</v>
      </c>
      <c r="BL12" s="100">
        <f>((( 0 )/2 + 'BRAWLERS OFICIAL'!BL12)-'BRAWLERS OFICIAL'!BL12)</f>
        <v>0</v>
      </c>
      <c r="BM12" s="100">
        <f>((0 + 'BRAWLERS OFICIAL'!BM12)-'BRAWLERS OFICIAL'!BM12)/($BQ12)</f>
        <v>0</v>
      </c>
      <c r="BN12" s="100">
        <f>((0 + 'BRAWLERS OFICIAL'!BN12)-'BRAWLERS OFICIAL'!BN12)/($BQ12)</f>
        <v>0</v>
      </c>
      <c r="BO12" s="100">
        <f>((0 + 'BRAWLERS OFICIAL'!BO12)-'BRAWLERS OFICIAL'!BO12)/($BQ12)</f>
        <v>0</v>
      </c>
      <c r="BQ12" s="100">
        <v>2.5</v>
      </c>
    </row>
    <row r="13" spans="1:69">
      <c r="B13" s="97" t="s">
        <v>457</v>
      </c>
      <c r="C13" s="70" t="s">
        <v>93</v>
      </c>
      <c r="D13" s="134" t="s">
        <v>325</v>
      </c>
      <c r="E13" s="134" t="s">
        <v>358</v>
      </c>
      <c r="F13" s="100">
        <f>((0 + 'BRAWLERS OFICIAL'!F13)-'BRAWLERS OFICIAL'!F13)</f>
        <v>0</v>
      </c>
      <c r="G13" s="100">
        <f>((0 + 'BRAWLERS OFICIAL'!G13)-'BRAWLERS OFICIAL'!G13)</f>
        <v>0</v>
      </c>
      <c r="H13" s="100">
        <f>((0 + 'BRAWLERS OFICIAL'!H13)-'BRAWLERS OFICIAL'!H13)</f>
        <v>0</v>
      </c>
      <c r="I13" s="100">
        <f>((0 + 'BRAWLERS OFICIAL'!I13)-'BRAWLERS OFICIAL'!I13)</f>
        <v>0</v>
      </c>
      <c r="J13" s="100">
        <f>((0 + 'BRAWLERS OFICIAL'!J13)-'BRAWLERS OFICIAL'!J13)</f>
        <v>0</v>
      </c>
      <c r="K13" s="100">
        <f>((0 + 'BRAWLERS OFICIAL'!K13)-'BRAWLERS OFICIAL'!K13)</f>
        <v>0</v>
      </c>
      <c r="L13" s="100">
        <f>((0 + 'BRAWLERS OFICIAL'!L13)-'BRAWLERS OFICIAL'!L13)</f>
        <v>0</v>
      </c>
      <c r="M13" s="100">
        <f>((0 + 'BRAWLERS OFICIAL'!M13)-'BRAWLERS OFICIAL'!M13)</f>
        <v>0</v>
      </c>
      <c r="N13" s="100">
        <f>((0 + 'BRAWLERS OFICIAL'!N13)-'BRAWLERS OFICIAL'!N13)</f>
        <v>0</v>
      </c>
      <c r="O13" s="100">
        <f>((0 + 'BRAWLERS OFICIAL'!O13)-'BRAWLERS OFICIAL'!O13)</f>
        <v>0</v>
      </c>
      <c r="P13" s="100">
        <f>((0 + 'BRAWLERS OFICIAL'!P13)-'BRAWLERS OFICIAL'!P13)</f>
        <v>0</v>
      </c>
      <c r="Q13" s="100">
        <f>((216*9/2 + 'BRAWLERS OFICIAL'!Q13)-'BRAWLERS OFICIAL'!Q13)</f>
        <v>972</v>
      </c>
      <c r="R13" s="100">
        <f>((216*9/3 + 'BRAWLERS OFICIAL'!R13)-'BRAWLERS OFICIAL'!R13)</f>
        <v>648</v>
      </c>
      <c r="S13" s="100">
        <f>((216*9/4 + 'BRAWLERS OFICIAL'!S13)-'BRAWLERS OFICIAL'!S13)</f>
        <v>486</v>
      </c>
      <c r="T13" s="100">
        <f>((216*9/5 + 'BRAWLERS OFICIAL'!T13)-'BRAWLERS OFICIAL'!T13)</f>
        <v>388.8</v>
      </c>
      <c r="U13" s="100">
        <f>((216*9 + 'BRAWLERS OFICIAL'!U13)-'BRAWLERS OFICIAL'!U13)</f>
        <v>1944</v>
      </c>
      <c r="V13" s="100">
        <f>((0 + 'BRAWLERS OFICIAL'!V13)-'BRAWLERS OFICIAL'!V13)/($BQ13)</f>
        <v>0</v>
      </c>
      <c r="W13" s="100">
        <f>(0 + 'BRAWLERS OFICIAL'!W13)-'BRAWLERS OFICIAL'!W13</f>
        <v>0</v>
      </c>
      <c r="X13" s="103">
        <f>(( 0 + 'BRAWLERS OFICIAL'!X13 + AP13 + AY13/3.5 )-'BRAWLERS OFICIAL'!X13)/($BQ13)</f>
        <v>0</v>
      </c>
      <c r="Y13" s="101">
        <f>((4 + 'BRAWLERS OFICIAL'!Y13)-'BRAWLERS OFICIAL'!Y13)/($BQ13)</f>
        <v>1.3333333333333333</v>
      </c>
      <c r="Z13" s="101">
        <f>(((0)/3 + 'BRAWLERS OFICIAL'!Z13)-'BRAWLERS OFICIAL'!Z13)</f>
        <v>0</v>
      </c>
      <c r="AA13" s="101">
        <f>((2 + 'BRAWLERS OFICIAL'!AA13)-'BRAWLERS OFICIAL'!AA13)/($BQ13)</f>
        <v>0.66666666666666663</v>
      </c>
      <c r="AB13" s="101">
        <f>((2 + 'BRAWLERS OFICIAL'!AB13)-'BRAWLERS OFICIAL'!AB13)</f>
        <v>2</v>
      </c>
      <c r="AC13" s="101">
        <f>(((11 + 10 + 9 + 5)/4)-'BRAWLERS OFICIAL'!AC13)/($BQ13)</f>
        <v>0.16666666666666666</v>
      </c>
      <c r="AD13" s="101">
        <f>((0 + 'BRAWLERS OFICIAL'!AD13)-'BRAWLERS OFICIAL'!AD13)/($BQ13)</f>
        <v>0</v>
      </c>
      <c r="AE13" s="101">
        <f>((0 + 'BRAWLERS OFICIAL'!AE13)-'BRAWLERS OFICIAL'!AE13)/($BQ13)</f>
        <v>0</v>
      </c>
      <c r="AF13" s="101">
        <f>((0 + 'BRAWLERS OFICIAL'!AF13)-'BRAWLERS OFICIAL'!AF13)/($BQ13)</f>
        <v>0</v>
      </c>
      <c r="AG13" s="101">
        <f>((0 + 'BRAWLERS OFICIAL'!AG13)-'BRAWLERS OFICIAL'!AG13)</f>
        <v>0</v>
      </c>
      <c r="AH13" s="101">
        <f>((0 + 'BRAWLERS OFICIAL'!AH13)-'BRAWLERS OFICIAL'!AH13)</f>
        <v>0</v>
      </c>
      <c r="AI13" s="101">
        <f>((0 + 'BRAWLERS OFICIAL'!AI13)-'BRAWLERS OFICIAL'!AI13)</f>
        <v>0</v>
      </c>
      <c r="AJ13" s="101">
        <f>((0 + 'BRAWLERS OFICIAL'!AJ13)-'BRAWLERS OFICIAL'!AJ13)/($BQ13)</f>
        <v>0</v>
      </c>
      <c r="AK13" s="101">
        <f>((0 + 'BRAWLERS OFICIAL'!AK13)-'BRAWLERS OFICIAL'!AK13)/($BQ13)</f>
        <v>0</v>
      </c>
      <c r="AL13" s="101">
        <f>(((BK13/5+1)*AK13 + 'BRAWLERS OFICIAL'!AL13)-'BRAWLERS OFICIAL'!AL13)/($BQ13)</f>
        <v>0</v>
      </c>
      <c r="AM13" s="101">
        <f>IF( 0 = (1-1), (1-1), ((0 + 'BRAWLERS OFICIAL'!AM13)/1.5)-'BRAWLERS OFICIAL'!AM13 )</f>
        <v>0</v>
      </c>
      <c r="AN13" s="101">
        <f t="shared" si="0"/>
        <v>0</v>
      </c>
      <c r="AO13" s="101">
        <f>((0 + 'BRAWLERS OFICIAL'!AO13)-'BRAWLERS OFICIAL'!AO13)/($BQ13)</f>
        <v>0</v>
      </c>
      <c r="AP13" s="101">
        <f>((0/1000 + 'BRAWLERS OFICIAL'!AP13)-'BRAWLERS OFICIAL'!AP13)</f>
        <v>0</v>
      </c>
      <c r="AQ13" s="101">
        <f>((0 + 'BRAWLERS OFICIAL'!AQ13)-'BRAWLERS OFICIAL'!AQ13)</f>
        <v>0</v>
      </c>
      <c r="AR13" s="101">
        <f>IF( 0 = (1-1), (1-1), ((0 + 'BRAWLERS OFICIAL'!AR13)/1.5) )</f>
        <v>0</v>
      </c>
      <c r="AS13" s="101">
        <f>IF( 0 = (1-1), (1-1), ((0 + 'BRAWLERS OFICIAL'!AS13)/1.5) )</f>
        <v>0</v>
      </c>
      <c r="AT13" s="101">
        <f>IF( 0 = (1-1), (1-1), ((0 + 'BRAWLERS OFICIAL'!AT13)/2) )</f>
        <v>0</v>
      </c>
      <c r="AU13" s="101">
        <f>((0 + 'BRAWLERS OFICIAL'!AU13)-'BRAWLERS OFICIAL'!AU13)/($BQ13)</f>
        <v>0</v>
      </c>
      <c r="AV13" s="101">
        <f>(10 + 10 + 3 + 5)/4</f>
        <v>7</v>
      </c>
      <c r="AW13" s="101">
        <v>0</v>
      </c>
      <c r="AX13" s="101" t="s">
        <v>390</v>
      </c>
      <c r="AY13" s="100">
        <f>((( 0 )/3 + 'BRAWLERS OFICIAL'!AY13)-'BRAWLERS OFICIAL'!AY13)</f>
        <v>0</v>
      </c>
      <c r="AZ13" s="100">
        <f>((( 0 )/2 + 'BRAWLERS OFICIAL'!AZ13)-'BRAWLERS OFICIAL'!AZ13)/($BQ13)</f>
        <v>0</v>
      </c>
      <c r="BA13" s="100">
        <f>((( 0 )/2 + 'BRAWLERS OFICIAL'!BA13)-'BRAWLERS OFICIAL'!BA13)</f>
        <v>0</v>
      </c>
      <c r="BB13" s="100">
        <f>((( 0 )/3 + 'BRAWLERS OFICIAL'!BB13)-'BRAWLERS OFICIAL'!BB13)</f>
        <v>0</v>
      </c>
      <c r="BC13" s="100">
        <f>((( 0 )/2 + 'BRAWLERS OFICIAL'!BC13)-'BRAWLERS OFICIAL'!BC13)/($BQ13)</f>
        <v>0</v>
      </c>
      <c r="BD13" s="100">
        <f>((( 0 )/3 + 'BRAWLERS OFICIAL'!BD13)-'BRAWLERS OFICIAL'!BD13)</f>
        <v>0</v>
      </c>
      <c r="BE13" s="100">
        <f>((( 0 )/3 + 'BRAWLERS OFICIAL'!BE13)-'BRAWLERS OFICIAL'!BE13)</f>
        <v>0</v>
      </c>
      <c r="BF13" s="100">
        <f>((0 + 'BRAWLERS OFICIAL'!BF13)-'BRAWLERS OFICIAL'!BF13)/($BQ13)</f>
        <v>0</v>
      </c>
      <c r="BG13" s="100">
        <f>((0 + 'BRAWLERS OFICIAL'!BG13)-'BRAWLERS OFICIAL'!BG13)/($BQ13)</f>
        <v>0</v>
      </c>
      <c r="BH13" s="100">
        <f>((( 0 )/2 + 'BRAWLERS OFICIAL'!BH13)-'BRAWLERS OFICIAL'!BH13)</f>
        <v>0</v>
      </c>
      <c r="BI13" s="100">
        <f>((0 + 'BRAWLERS OFICIAL'!BI13)-'BRAWLERS OFICIAL'!BI13)/($BQ13)</f>
        <v>0</v>
      </c>
      <c r="BJ13" s="100">
        <f>((( 0 )/2 + 'BRAWLERS OFICIAL'!BJ13)-'BRAWLERS OFICIAL'!BJ13)</f>
        <v>0</v>
      </c>
      <c r="BK13" s="100">
        <f>((( 0 )/3 + 'BRAWLERS OFICIAL'!BK13)-'BRAWLERS OFICIAL'!BK13)</f>
        <v>0</v>
      </c>
      <c r="BL13" s="100">
        <f>((( 0 )/2 + 'BRAWLERS OFICIAL'!BL13)-'BRAWLERS OFICIAL'!BL13)</f>
        <v>0</v>
      </c>
      <c r="BM13" s="100">
        <f>((0 + 'BRAWLERS OFICIAL'!BM13)-'BRAWLERS OFICIAL'!BM13)/($BQ13)</f>
        <v>0</v>
      </c>
      <c r="BN13" s="100">
        <f>((0 + 'BRAWLERS OFICIAL'!BN13)-'BRAWLERS OFICIAL'!BN13)/($BQ13)</f>
        <v>0</v>
      </c>
      <c r="BO13" s="100">
        <f>((0 + 'BRAWLERS OFICIAL'!BO13)-'BRAWLERS OFICIAL'!BO13)/($BQ13)</f>
        <v>0</v>
      </c>
      <c r="BQ13" s="100">
        <f>('BRAWLERS OFICIAL'!F13 / 'BRAWLERS OFICIAL'!J13 / (1 + ('BRAWLERS OFICIAL'!AA13/5)))</f>
        <v>3</v>
      </c>
    </row>
    <row r="14" spans="1:69">
      <c r="B14" s="97" t="s">
        <v>458</v>
      </c>
      <c r="C14" s="98" t="s">
        <v>53</v>
      </c>
      <c r="D14" s="135" t="s">
        <v>373</v>
      </c>
      <c r="E14" s="135" t="s">
        <v>325</v>
      </c>
      <c r="F14" s="100">
        <f>((0 + 'BRAWLERS OFICIAL'!F14)-'BRAWLERS OFICIAL'!F14)</f>
        <v>0</v>
      </c>
      <c r="G14" s="100">
        <f>((0 + 'BRAWLERS OFICIAL'!G14)-'BRAWLERS OFICIAL'!G14)</f>
        <v>0</v>
      </c>
      <c r="H14" s="100">
        <f>((0 + 'BRAWLERS OFICIAL'!H14)-'BRAWLERS OFICIAL'!H14)</f>
        <v>0</v>
      </c>
      <c r="I14" s="100">
        <f>((0 + 'BRAWLERS OFICIAL'!I14)-'BRAWLERS OFICIAL'!I14)</f>
        <v>0</v>
      </c>
      <c r="J14" s="100">
        <f>((0.3 + 'BRAWLERS OFICIAL'!J14)-'BRAWLERS OFICIAL'!J14)</f>
        <v>0.30000000000000004</v>
      </c>
      <c r="K14" s="100">
        <f>((0.3 + 'BRAWLERS OFICIAL'!K14)-'BRAWLERS OFICIAL'!K14)</f>
        <v>0.30000000000000004</v>
      </c>
      <c r="L14" s="100">
        <f>((0.2 + 'BRAWLERS OFICIAL'!L14)-'BRAWLERS OFICIAL'!L14)</f>
        <v>0.19999999999999996</v>
      </c>
      <c r="M14" s="100">
        <f>((0 + 'BRAWLERS OFICIAL'!M14)-'BRAWLERS OFICIAL'!M14)</f>
        <v>0</v>
      </c>
      <c r="N14" s="100">
        <f>((0 + 'BRAWLERS OFICIAL'!N14)-'BRAWLERS OFICIAL'!N14)</f>
        <v>0</v>
      </c>
      <c r="O14" s="100">
        <f>((0 + 'BRAWLERS OFICIAL'!O14)-'BRAWLERS OFICIAL'!O14)</f>
        <v>0</v>
      </c>
      <c r="P14" s="100">
        <f>((0 + 'BRAWLERS OFICIAL'!P14)-'BRAWLERS OFICIAL'!P14)</f>
        <v>0</v>
      </c>
      <c r="Q14" s="100">
        <f>((0 + 'BRAWLERS OFICIAL'!Q14)-'BRAWLERS OFICIAL'!Q14)</f>
        <v>0</v>
      </c>
      <c r="R14" s="100">
        <f>((0 + 'BRAWLERS OFICIAL'!R14)-'BRAWLERS OFICIAL'!R14)</f>
        <v>0</v>
      </c>
      <c r="S14" s="100">
        <f>((0 + 'BRAWLERS OFICIAL'!S14)-'BRAWLERS OFICIAL'!S14)</f>
        <v>0</v>
      </c>
      <c r="T14" s="100">
        <f>((0 + 'BRAWLERS OFICIAL'!T14)-'BRAWLERS OFICIAL'!T14)</f>
        <v>0</v>
      </c>
      <c r="U14" s="100">
        <f>((0 + 'BRAWLERS OFICIAL'!U14)-'BRAWLERS OFICIAL'!U14)</f>
        <v>0</v>
      </c>
      <c r="V14" s="100">
        <f>((0 + 'BRAWLERS OFICIAL'!V14)-'BRAWLERS OFICIAL'!V14)</f>
        <v>0</v>
      </c>
      <c r="W14" s="100">
        <f>(0 + 'BRAWLERS OFICIAL'!W14)-'BRAWLERS OFICIAL'!W14</f>
        <v>0</v>
      </c>
      <c r="X14" s="103">
        <f>(( 0 + 'BRAWLERS OFICIAL'!X14 + AP14 + AY14/3.5 )-'BRAWLERS OFICIAL'!X14)/($BQ14)</f>
        <v>0</v>
      </c>
      <c r="Y14" s="101">
        <f>((0.5 + 'BRAWLERS OFICIAL'!Y14)-'BRAWLERS OFICIAL'!Y14)/($BQ14)</f>
        <v>0.25</v>
      </c>
      <c r="Z14" s="101">
        <f>(((0)/3 + 'BRAWLERS OFICIAL'!Z14)-'BRAWLERS OFICIAL'!Z14)</f>
        <v>0</v>
      </c>
      <c r="AA14" s="101">
        <f>((0 + 'BRAWLERS OFICIAL'!AA14)-'BRAWLERS OFICIAL'!AA14)/($BQ14)</f>
        <v>0</v>
      </c>
      <c r="AB14" s="101">
        <f>((0 + 'BRAWLERS OFICIAL'!AB14)-'BRAWLERS OFICIAL'!AB14)</f>
        <v>0</v>
      </c>
      <c r="AC14" s="101">
        <f>(((0)/4 + 'BRAWLERS OFICIAL'!AC14)-'BRAWLERS OFICIAL'!AC14)/($BQ14)</f>
        <v>0</v>
      </c>
      <c r="AD14" s="101">
        <f>((0 + 'BRAWLERS OFICIAL'!AD14)-'BRAWLERS OFICIAL'!AD14)/($BQ14)</f>
        <v>0</v>
      </c>
      <c r="AE14" s="101">
        <f>((0 + 'BRAWLERS OFICIAL'!AE14)-'BRAWLERS OFICIAL'!AE14)/($BQ14)</f>
        <v>0</v>
      </c>
      <c r="AF14" s="101">
        <f>((0 + 'BRAWLERS OFICIAL'!AF14)-'BRAWLERS OFICIAL'!AF14)/($BQ14)</f>
        <v>0</v>
      </c>
      <c r="AG14" s="101">
        <f>((0 + 'BRAWLERS OFICIAL'!AG14)-'BRAWLERS OFICIAL'!AG14)</f>
        <v>0</v>
      </c>
      <c r="AH14" s="101">
        <f>((0 + 'BRAWLERS OFICIAL'!AH14)-'BRAWLERS OFICIAL'!AH14)</f>
        <v>0</v>
      </c>
      <c r="AI14" s="101">
        <f>((0 + 'BRAWLERS OFICIAL'!AI14)-'BRAWLERS OFICIAL'!AI14)</f>
        <v>0</v>
      </c>
      <c r="AJ14" s="101">
        <f>((0 + 'BRAWLERS OFICIAL'!AJ14)-'BRAWLERS OFICIAL'!AJ14)/($BQ14)</f>
        <v>0</v>
      </c>
      <c r="AK14" s="101">
        <f>((0 + 'BRAWLERS OFICIAL'!AK14)-'BRAWLERS OFICIAL'!AK14)/($BQ14)</f>
        <v>0</v>
      </c>
      <c r="AL14" s="101">
        <f>(((BK14/5+1)*AK14 + 'BRAWLERS OFICIAL'!AL14)-'BRAWLERS OFICIAL'!AL14)/($BQ14)</f>
        <v>0</v>
      </c>
      <c r="AM14" s="101">
        <f>IF( 0 = (1-1), (1-1), ((0 + 'BRAWLERS OFICIAL'!AM14)/1.5)-'BRAWLERS OFICIAL'!AM14 )</f>
        <v>0</v>
      </c>
      <c r="AN14" s="101">
        <f t="shared" si="0"/>
        <v>0</v>
      </c>
      <c r="AO14" s="101">
        <f>((0 + 'BRAWLERS OFICIAL'!AO14)-'BRAWLERS OFICIAL'!AO14)/($BQ14)</f>
        <v>0</v>
      </c>
      <c r="AP14" s="101">
        <f>((0/1000 + 'BRAWLERS OFICIAL'!AP14)-'BRAWLERS OFICIAL'!AP14)</f>
        <v>0</v>
      </c>
      <c r="AQ14" s="101">
        <f>((0 + 'BRAWLERS OFICIAL'!AQ14)-'BRAWLERS OFICIAL'!AQ14)</f>
        <v>0</v>
      </c>
      <c r="AR14" s="101">
        <f>IF( 0 = (1-1), (1-1), ((0 + 'BRAWLERS OFICIAL'!AR14)/1.5) )</f>
        <v>0</v>
      </c>
      <c r="AS14" s="101">
        <f>IF( 0 = (1-1), (1-1), ((0 + 'BRAWLERS OFICIAL'!AS14)/1.5) )</f>
        <v>0</v>
      </c>
      <c r="AT14" s="101">
        <f>IF( 0 = (1-1), (1-1), ((0 + 'BRAWLERS OFICIAL'!AT14)/2) )</f>
        <v>0</v>
      </c>
      <c r="AU14" s="101">
        <f>((0 + 'BRAWLERS OFICIAL'!AU14)-'BRAWLERS OFICIAL'!AU14)/($BQ14)</f>
        <v>0</v>
      </c>
      <c r="AV14" s="101">
        <f>(((0)/4 + 'BRAWLERS OFICIAL'!AV14)-'BRAWLERS OFICIAL'!AV14)</f>
        <v>0</v>
      </c>
      <c r="AW14" s="101">
        <v>0</v>
      </c>
      <c r="AX14" s="101" t="s">
        <v>390</v>
      </c>
      <c r="AY14" s="100">
        <f>((( 0 )/3 + 'BRAWLERS OFICIAL'!AY14)-'BRAWLERS OFICIAL'!AY14)</f>
        <v>0</v>
      </c>
      <c r="AZ14" s="100">
        <f>((( 0 )/2 + 'BRAWLERS OFICIAL'!AZ14)-'BRAWLERS OFICIAL'!AZ14)/($BQ14)</f>
        <v>0</v>
      </c>
      <c r="BA14" s="100">
        <f>((( 0 )/2 + 'BRAWLERS OFICIAL'!BA14)-'BRAWLERS OFICIAL'!BA14)</f>
        <v>0</v>
      </c>
      <c r="BB14" s="100">
        <f>((( 0 )/3 + 'BRAWLERS OFICIAL'!BB14)-'BRAWLERS OFICIAL'!BB14)</f>
        <v>0</v>
      </c>
      <c r="BC14" s="100">
        <f>((( 0 )/2 + 'BRAWLERS OFICIAL'!BC14)-'BRAWLERS OFICIAL'!BC14)/($BQ14)</f>
        <v>0</v>
      </c>
      <c r="BD14" s="100">
        <f>((( 0 )/3 + 'BRAWLERS OFICIAL'!BD14)-'BRAWLERS OFICIAL'!BD14)</f>
        <v>0</v>
      </c>
      <c r="BE14" s="100">
        <f>((( 0 )/3 + 'BRAWLERS OFICIAL'!BE14)-'BRAWLERS OFICIAL'!BE14)</f>
        <v>0</v>
      </c>
      <c r="BF14" s="100">
        <f>((0 + 'BRAWLERS OFICIAL'!BF14)-'BRAWLERS OFICIAL'!BF14)/($BQ14)</f>
        <v>0</v>
      </c>
      <c r="BG14" s="100">
        <f>((0 + 'BRAWLERS OFICIAL'!BG14)-'BRAWLERS OFICIAL'!BG14)/($BQ14)</f>
        <v>0</v>
      </c>
      <c r="BH14" s="100">
        <f>((( 0 )/2 + 'BRAWLERS OFICIAL'!BH14)-'BRAWLERS OFICIAL'!BH14)</f>
        <v>0</v>
      </c>
      <c r="BI14" s="100">
        <f>((0 + 'BRAWLERS OFICIAL'!BI14)-'BRAWLERS OFICIAL'!BI14)/($BQ14)</f>
        <v>0</v>
      </c>
      <c r="BJ14" s="100">
        <f>((( 0 )/2 + 'BRAWLERS OFICIAL'!BJ14)-'BRAWLERS OFICIAL'!BJ14)</f>
        <v>0</v>
      </c>
      <c r="BK14" s="100">
        <f>((( 0 )/3 + 'BRAWLERS OFICIAL'!BK14)-'BRAWLERS OFICIAL'!BK14)</f>
        <v>0</v>
      </c>
      <c r="BL14" s="100">
        <f>((( 0 )/2 + 'BRAWLERS OFICIAL'!BL14)-'BRAWLERS OFICIAL'!BL14)</f>
        <v>0</v>
      </c>
      <c r="BM14" s="100">
        <f>((0 + 'BRAWLERS OFICIAL'!BM14)-'BRAWLERS OFICIAL'!BM14)/($BQ14)</f>
        <v>0</v>
      </c>
      <c r="BN14" s="100">
        <f>((0 + 'BRAWLERS OFICIAL'!BN14)-'BRAWLERS OFICIAL'!BN14)/($BQ14)</f>
        <v>0</v>
      </c>
      <c r="BO14" s="100">
        <f>((0 + 'BRAWLERS OFICIAL'!BO14)-'BRAWLERS OFICIAL'!BO14)/($BQ14)</f>
        <v>0</v>
      </c>
      <c r="BQ14" s="100">
        <v>2</v>
      </c>
    </row>
    <row r="15" spans="1:69">
      <c r="B15" s="97" t="s">
        <v>459</v>
      </c>
      <c r="C15" s="98" t="s">
        <v>84</v>
      </c>
      <c r="D15" s="135" t="s">
        <v>383</v>
      </c>
      <c r="E15" s="135" t="s">
        <v>386</v>
      </c>
      <c r="F15" s="100">
        <f>((0 + 'BRAWLERS OFICIAL'!F15)-'BRAWLERS OFICIAL'!F15)</f>
        <v>0</v>
      </c>
      <c r="G15" s="100">
        <f>((0 + 'BRAWLERS OFICIAL'!G15)-'BRAWLERS OFICIAL'!G15)</f>
        <v>0</v>
      </c>
      <c r="H15" s="100">
        <f>((0 + 'BRAWLERS OFICIAL'!H15)-'BRAWLERS OFICIAL'!H15)</f>
        <v>0</v>
      </c>
      <c r="I15" s="100">
        <f>((0 + 'BRAWLERS OFICIAL'!I15)-'BRAWLERS OFICIAL'!I15)</f>
        <v>0</v>
      </c>
      <c r="J15" s="100">
        <f>((0 + 'BRAWLERS OFICIAL'!J15)-'BRAWLERS OFICIAL'!J15)</f>
        <v>0</v>
      </c>
      <c r="K15" s="100">
        <f>((0 + 'BRAWLERS OFICIAL'!K15)-'BRAWLERS OFICIAL'!K15)</f>
        <v>0</v>
      </c>
      <c r="L15" s="100">
        <f>((0 + 'BRAWLERS OFICIAL'!L15)-'BRAWLERS OFICIAL'!L15)</f>
        <v>0</v>
      </c>
      <c r="M15" s="100">
        <f>((0 + 'BRAWLERS OFICIAL'!M15)-'BRAWLERS OFICIAL'!M15)</f>
        <v>0</v>
      </c>
      <c r="N15" s="100">
        <f>((0 + 'BRAWLERS OFICIAL'!N15)-'BRAWLERS OFICIAL'!N15)</f>
        <v>0</v>
      </c>
      <c r="O15" s="100">
        <f>((0 + 'BRAWLERS OFICIAL'!O15)-'BRAWLERS OFICIAL'!O15)</f>
        <v>0</v>
      </c>
      <c r="P15" s="100">
        <f>((0 + 'BRAWLERS OFICIAL'!P15)-'BRAWLERS OFICIAL'!P15)</f>
        <v>0</v>
      </c>
      <c r="Q15" s="100">
        <f>((0 + 'BRAWLERS OFICIAL'!Q15)-'BRAWLERS OFICIAL'!Q15)</f>
        <v>0</v>
      </c>
      <c r="R15" s="100">
        <f>((0 + 'BRAWLERS OFICIAL'!R15)-'BRAWLERS OFICIAL'!R15)</f>
        <v>0</v>
      </c>
      <c r="S15" s="100">
        <f>((0 + 'BRAWLERS OFICIAL'!S15)-'BRAWLERS OFICIAL'!S15)</f>
        <v>0</v>
      </c>
      <c r="T15" s="100">
        <f>((0 + 'BRAWLERS OFICIAL'!T15)-'BRAWLERS OFICIAL'!T15)</f>
        <v>0</v>
      </c>
      <c r="U15" s="100">
        <f>((0 + 'BRAWLERS OFICIAL'!U15)-'BRAWLERS OFICIAL'!U15)</f>
        <v>0</v>
      </c>
      <c r="V15" s="100">
        <f>((0 + 'BRAWLERS OFICIAL'!V15)-'BRAWLERS OFICIAL'!V15)</f>
        <v>0</v>
      </c>
      <c r="W15" s="100">
        <f>(0 + 'BRAWLERS OFICIAL'!W15)-'BRAWLERS OFICIAL'!W15</f>
        <v>0</v>
      </c>
      <c r="X15" s="103">
        <f>(( 0 + 'BRAWLERS OFICIAL'!X15 + AP15 + AY15/3.5 )-'BRAWLERS OFICIAL'!X15)/($BQ15)</f>
        <v>0</v>
      </c>
      <c r="Y15" s="101">
        <f>((0 + 'BRAWLERS OFICIAL'!Y15)-'BRAWLERS OFICIAL'!Y15)/($BQ15)</f>
        <v>0</v>
      </c>
      <c r="Z15" s="101">
        <f>(((0)/3 + 'BRAWLERS OFICIAL'!Z15)-'BRAWLERS OFICIAL'!Z15)</f>
        <v>0</v>
      </c>
      <c r="AA15" s="101">
        <f>((0 + 'BRAWLERS OFICIAL'!AA15)-'BRAWLERS OFICIAL'!AA15)/($BQ15)</f>
        <v>0</v>
      </c>
      <c r="AB15" s="101">
        <f>((0 + 'BRAWLERS OFICIAL'!AB15)-'BRAWLERS OFICIAL'!AB15)</f>
        <v>0</v>
      </c>
      <c r="AC15" s="101">
        <f>(((0)/4 + 'BRAWLERS OFICIAL'!AC15)-'BRAWLERS OFICIAL'!AC15)/($BQ15)</f>
        <v>0</v>
      </c>
      <c r="AD15" s="101">
        <f>((0 + 'BRAWLERS OFICIAL'!AD15)-'BRAWLERS OFICIAL'!AD15)/($BQ15)</f>
        <v>0</v>
      </c>
      <c r="AE15" s="101">
        <f>((0 + 'BRAWLERS OFICIAL'!AE15)-'BRAWLERS OFICIAL'!AE15)/($BQ15)</f>
        <v>0</v>
      </c>
      <c r="AF15" s="101">
        <f>((0 + 'BRAWLERS OFICIAL'!AF15)-'BRAWLERS OFICIAL'!AF15)/($BQ15)</f>
        <v>0</v>
      </c>
      <c r="AG15" s="101">
        <f>((0 + 'BRAWLERS OFICIAL'!AG15)-'BRAWLERS OFICIAL'!AG15)</f>
        <v>0</v>
      </c>
      <c r="AH15" s="101">
        <f>((0 + 'BRAWLERS OFICIAL'!AH15)-'BRAWLERS OFICIAL'!AH15)</f>
        <v>0</v>
      </c>
      <c r="AI15" s="101">
        <f>((0 + 'BRAWLERS OFICIAL'!AI15)-'BRAWLERS OFICIAL'!AI15)</f>
        <v>0</v>
      </c>
      <c r="AJ15" s="101">
        <f>((0 + 'BRAWLERS OFICIAL'!AJ15)-'BRAWLERS OFICIAL'!AJ15)/($BQ15)</f>
        <v>0</v>
      </c>
      <c r="AK15" s="101">
        <f>((0 + 'BRAWLERS OFICIAL'!AK15)-'BRAWLERS OFICIAL'!AK15)/($BQ15)</f>
        <v>0</v>
      </c>
      <c r="AL15" s="101">
        <f>(((BK15/5+1)*AK15 + 'BRAWLERS OFICIAL'!AL15)-'BRAWLERS OFICIAL'!AL15)/($BQ15)</f>
        <v>0</v>
      </c>
      <c r="AM15" s="101">
        <f>IF( 0 = (1-1), (1-1), ((0 + 'BRAWLERS OFICIAL'!AM15)/1.5)-'BRAWLERS OFICIAL'!AM15 )</f>
        <v>0</v>
      </c>
      <c r="AN15" s="101">
        <f t="shared" si="0"/>
        <v>0</v>
      </c>
      <c r="AO15" s="101">
        <f>((0 + 'BRAWLERS OFICIAL'!AO15)-'BRAWLERS OFICIAL'!AO15)/($BQ15)</f>
        <v>0</v>
      </c>
      <c r="AP15" s="101">
        <f>((0/1000 + 'BRAWLERS OFICIAL'!AP15)-'BRAWLERS OFICIAL'!AP15)</f>
        <v>0</v>
      </c>
      <c r="AQ15" s="101">
        <f>((0 + 'BRAWLERS OFICIAL'!AQ15)-'BRAWLERS OFICIAL'!AQ15)</f>
        <v>0</v>
      </c>
      <c r="AR15" s="101">
        <f>IF( 0 = (1-1), (1-1), ((0 + 'BRAWLERS OFICIAL'!AR15)/1.5) )</f>
        <v>0</v>
      </c>
      <c r="AS15" s="101">
        <f>IF( 0 = (1-1), (1-1), ((0 + 'BRAWLERS OFICIAL'!AS15)/1.5) )</f>
        <v>0</v>
      </c>
      <c r="AT15" s="101">
        <f>IF( 0 = (1-1), (1-1), ((0 + 'BRAWLERS OFICIAL'!AT15)/2) )</f>
        <v>0</v>
      </c>
      <c r="AU15" s="101">
        <f>((2 + 'BRAWLERS OFICIAL'!AU15)-'BRAWLERS OFICIAL'!AU15)/($BQ15)</f>
        <v>2</v>
      </c>
      <c r="AV15" s="101">
        <f>(((0)/4 + 'BRAWLERS OFICIAL'!AV15)-'BRAWLERS OFICIAL'!AV15)</f>
        <v>0</v>
      </c>
      <c r="AW15" s="101">
        <v>0</v>
      </c>
      <c r="AX15" s="101" t="s">
        <v>390</v>
      </c>
      <c r="AY15" s="100">
        <f>((( 0 )/3 + 'BRAWLERS OFICIAL'!AY15)-'BRAWLERS OFICIAL'!AY15)</f>
        <v>0</v>
      </c>
      <c r="AZ15" s="100">
        <f>((( 0 )/2 + 'BRAWLERS OFICIAL'!AZ15)-'BRAWLERS OFICIAL'!AZ15)/($BQ15)</f>
        <v>0</v>
      </c>
      <c r="BA15" s="100">
        <f>((( 0 )/2 + 'BRAWLERS OFICIAL'!BA15)-'BRAWLERS OFICIAL'!BA15)</f>
        <v>0</v>
      </c>
      <c r="BB15" s="100">
        <f>((( 0 )/3 + 'BRAWLERS OFICIAL'!BB15)-'BRAWLERS OFICIAL'!BB15)</f>
        <v>0</v>
      </c>
      <c r="BC15" s="100">
        <f>((( 0 )/2 + 'BRAWLERS OFICIAL'!BC15)-'BRAWLERS OFICIAL'!BC15)/($BQ15)</f>
        <v>0</v>
      </c>
      <c r="BD15" s="100">
        <f>((( 0 )/3 + 'BRAWLERS OFICIAL'!BD15)-'BRAWLERS OFICIAL'!BD15)</f>
        <v>0</v>
      </c>
      <c r="BE15" s="100">
        <f>((( 0 )/3 + 'BRAWLERS OFICIAL'!BE15)-'BRAWLERS OFICIAL'!BE15)</f>
        <v>0</v>
      </c>
      <c r="BF15" s="100">
        <f>((0 + 'BRAWLERS OFICIAL'!BF15)-'BRAWLERS OFICIAL'!BF15)/($BQ15)</f>
        <v>0</v>
      </c>
      <c r="BG15" s="100">
        <f>((0 + 'BRAWLERS OFICIAL'!BG15)-'BRAWLERS OFICIAL'!BG15)/($BQ15)</f>
        <v>0</v>
      </c>
      <c r="BH15" s="100">
        <f>((( 0 )/2 + 'BRAWLERS OFICIAL'!BH15)-'BRAWLERS OFICIAL'!BH15)</f>
        <v>0</v>
      </c>
      <c r="BI15" s="100">
        <f>((0 + 'BRAWLERS OFICIAL'!BI15)-'BRAWLERS OFICIAL'!BI15)/($BQ15)</f>
        <v>0</v>
      </c>
      <c r="BJ15" s="100">
        <f>((( 0 )/2 + 'BRAWLERS OFICIAL'!BJ15)-'BRAWLERS OFICIAL'!BJ15)</f>
        <v>0</v>
      </c>
      <c r="BK15" s="100">
        <f>((( 0 )/3 + 'BRAWLERS OFICIAL'!BK15)-'BRAWLERS OFICIAL'!BK15)</f>
        <v>0</v>
      </c>
      <c r="BL15" s="100">
        <f>((( 0 )/2 + 'BRAWLERS OFICIAL'!BL15)-'BRAWLERS OFICIAL'!BL15)</f>
        <v>0</v>
      </c>
      <c r="BM15" s="100">
        <f>((0 + 'BRAWLERS OFICIAL'!BM15)-'BRAWLERS OFICIAL'!BM15)/($BQ15)</f>
        <v>0</v>
      </c>
      <c r="BN15" s="100">
        <f>((0 + 'BRAWLERS OFICIAL'!BN15)-'BRAWLERS OFICIAL'!BN15)/($BQ15)</f>
        <v>0</v>
      </c>
      <c r="BO15" s="100">
        <f>((0 + 'BRAWLERS OFICIAL'!BO15)-'BRAWLERS OFICIAL'!BO15)/($BQ15)</f>
        <v>0</v>
      </c>
      <c r="BQ15" s="100">
        <v>1</v>
      </c>
    </row>
    <row r="16" spans="1:69">
      <c r="B16" s="97" t="s">
        <v>460</v>
      </c>
      <c r="C16" s="70" t="s">
        <v>77</v>
      </c>
      <c r="D16" s="134" t="s">
        <v>375</v>
      </c>
      <c r="E16" s="134" t="s">
        <v>376</v>
      </c>
      <c r="F16" s="100">
        <f>((0 + 'BRAWLERS OFICIAL'!F16)-'BRAWLERS OFICIAL'!F16)</f>
        <v>0</v>
      </c>
      <c r="G16" s="100">
        <f>((0 + 'BRAWLERS OFICIAL'!G16)-'BRAWLERS OFICIAL'!G16)</f>
        <v>0</v>
      </c>
      <c r="H16" s="100">
        <f>((0 + 'BRAWLERS OFICIAL'!H16)-'BRAWLERS OFICIAL'!H16)</f>
        <v>0</v>
      </c>
      <c r="I16" s="100">
        <f>((0 + 'BRAWLERS OFICIAL'!I16)-'BRAWLERS OFICIAL'!I16)</f>
        <v>0</v>
      </c>
      <c r="J16" s="100">
        <f>((0 + 'BRAWLERS OFICIAL'!J16)-'BRAWLERS OFICIAL'!J16)</f>
        <v>0</v>
      </c>
      <c r="K16" s="100">
        <f>((0 + 'BRAWLERS OFICIAL'!K16)-'BRAWLERS OFICIAL'!K16)</f>
        <v>0</v>
      </c>
      <c r="L16" s="100">
        <f>((0 + 'BRAWLERS OFICIAL'!L16)-'BRAWLERS OFICIAL'!L16)</f>
        <v>0</v>
      </c>
      <c r="M16" s="100">
        <f>((0 + 'BRAWLERS OFICIAL'!M16)-'BRAWLERS OFICIAL'!M16)</f>
        <v>0</v>
      </c>
      <c r="N16" s="100">
        <f>((0 + 'BRAWLERS OFICIAL'!N16)-'BRAWLERS OFICIAL'!N16)</f>
        <v>0</v>
      </c>
      <c r="O16" s="100">
        <f>((0 + 'BRAWLERS OFICIAL'!O16)-'BRAWLERS OFICIAL'!O16)</f>
        <v>0</v>
      </c>
      <c r="P16" s="100">
        <f>((0 + 'BRAWLERS OFICIAL'!P16)-'BRAWLERS OFICIAL'!P16)</f>
        <v>0</v>
      </c>
      <c r="Q16" s="100">
        <f>((0 + 'BRAWLERS OFICIAL'!Q16)-'BRAWLERS OFICIAL'!Q16)</f>
        <v>0</v>
      </c>
      <c r="R16" s="100">
        <f>((0 + 'BRAWLERS OFICIAL'!R16)-'BRAWLERS OFICIAL'!R16)</f>
        <v>0</v>
      </c>
      <c r="S16" s="100">
        <f>((0 + 'BRAWLERS OFICIAL'!S16)-'BRAWLERS OFICIAL'!S16)</f>
        <v>0</v>
      </c>
      <c r="T16" s="100">
        <f>((0 + 'BRAWLERS OFICIAL'!T16)-'BRAWLERS OFICIAL'!T16)</f>
        <v>0</v>
      </c>
      <c r="U16" s="100">
        <f>((0 + 'BRAWLERS OFICIAL'!U16)-'BRAWLERS OFICIAL'!U16)</f>
        <v>0</v>
      </c>
      <c r="V16" s="100">
        <f>((0 + 'BRAWLERS OFICIAL'!V16)-'BRAWLERS OFICIAL'!V16)</f>
        <v>0</v>
      </c>
      <c r="W16" s="100">
        <f>(0 + 'BRAWLERS OFICIAL'!W16)-'BRAWLERS OFICIAL'!W16</f>
        <v>0</v>
      </c>
      <c r="X16" s="103">
        <f>(( 1000/1400 + 'BRAWLERS OFICIAL'!X16 + AP16 + ( 4 + ('BRAWLERS OFICIAL'!X16*1400/500/5) + 9)/3/3.5 )-'BRAWLERS OFICIAL'!X16)/($BQ16)</f>
        <v>1.1717460317460313</v>
      </c>
      <c r="Y16" s="101">
        <f>((0 + 'BRAWLERS OFICIAL'!Y16)-'BRAWLERS OFICIAL'!Y16)/($BQ16)</f>
        <v>0</v>
      </c>
      <c r="Z16" s="101">
        <f>(((0)/3 + 'BRAWLERS OFICIAL'!Z16)-'BRAWLERS OFICIAL'!Z16)</f>
        <v>0</v>
      </c>
      <c r="AA16" s="101">
        <f>((0 + 'BRAWLERS OFICIAL'!AA16)-'BRAWLERS OFICIAL'!AA16)/($BQ16)</f>
        <v>0</v>
      </c>
      <c r="AB16" s="101">
        <f>((0 + 'BRAWLERS OFICIAL'!AB16)-'BRAWLERS OFICIAL'!AB16)</f>
        <v>0</v>
      </c>
      <c r="AC16" s="101">
        <f>(((0)/4 + 'BRAWLERS OFICIAL'!AC16)-'BRAWLERS OFICIAL'!AC16)/($BQ16)</f>
        <v>0</v>
      </c>
      <c r="AD16" s="101">
        <f>((0 + 'BRAWLERS OFICIAL'!AD16)-'BRAWLERS OFICIAL'!AD16)/($BQ16)</f>
        <v>0</v>
      </c>
      <c r="AE16" s="101">
        <f>((0 + 'BRAWLERS OFICIAL'!AE16)-'BRAWLERS OFICIAL'!AE16)/($BQ16)</f>
        <v>0</v>
      </c>
      <c r="AF16" s="101">
        <f>((0 + 'BRAWLERS OFICIAL'!AF16)-'BRAWLERS OFICIAL'!AF16)/($BQ16)</f>
        <v>0</v>
      </c>
      <c r="AG16" s="101">
        <f>((0 + 'BRAWLERS OFICIAL'!AG16)-'BRAWLERS OFICIAL'!AG16)</f>
        <v>0</v>
      </c>
      <c r="AH16" s="101">
        <f>((0 + 'BRAWLERS OFICIAL'!AH16)-'BRAWLERS OFICIAL'!AH16)</f>
        <v>0</v>
      </c>
      <c r="AI16" s="101">
        <f>((0 + 'BRAWLERS OFICIAL'!AI16)-'BRAWLERS OFICIAL'!AI16)</f>
        <v>0</v>
      </c>
      <c r="AJ16" s="101">
        <f>((0 + 'BRAWLERS OFICIAL'!AJ16)-'BRAWLERS OFICIAL'!AJ16)/($BQ16)</f>
        <v>0</v>
      </c>
      <c r="AK16" s="101">
        <f>((0 + 'BRAWLERS OFICIAL'!AK16)-'BRAWLERS OFICIAL'!AK16)/($BQ16)</f>
        <v>0</v>
      </c>
      <c r="AL16" s="101">
        <f>(((BK16/5+1)*AK16 + 'BRAWLERS OFICIAL'!AL16)-'BRAWLERS OFICIAL'!AL16)/($BQ16)</f>
        <v>0</v>
      </c>
      <c r="AM16" s="101">
        <f>IF( 0 = (1-1), (1-1), ((0 + 'BRAWLERS OFICIAL'!AM16)/1.5)-'BRAWLERS OFICIAL'!AM16 )</f>
        <v>0</v>
      </c>
      <c r="AN16" s="101">
        <f t="shared" si="0"/>
        <v>0</v>
      </c>
      <c r="AO16" s="101">
        <f>((0 + 'BRAWLERS OFICIAL'!AO16)-'BRAWLERS OFICIAL'!AO16)/($BQ16)</f>
        <v>0</v>
      </c>
      <c r="AP16" s="101">
        <f>((0/1000 + 'BRAWLERS OFICIAL'!AP16)-'BRAWLERS OFICIAL'!AP16)</f>
        <v>0</v>
      </c>
      <c r="AQ16" s="101">
        <f>((0 + 'BRAWLERS OFICIAL'!AQ16)-'BRAWLERS OFICIAL'!AQ16)</f>
        <v>0</v>
      </c>
      <c r="AR16" s="101">
        <f>IF( 0 = (1-1), (1-1), ((0 + 'BRAWLERS OFICIAL'!AR16)/1.5) )</f>
        <v>0</v>
      </c>
      <c r="AS16" s="101">
        <f>IF( 0 = (1-1), (1-1), ((0 + 'BRAWLERS OFICIAL'!AS16)/1.5) )</f>
        <v>0</v>
      </c>
      <c r="AT16" s="101">
        <f>IF( 0 = (1-1), (1-1), ((0 + 'BRAWLERS OFICIAL'!AT16)/2) )</f>
        <v>0</v>
      </c>
      <c r="AU16" s="101">
        <f>((0 + 'BRAWLERS OFICIAL'!AU16)-'BRAWLERS OFICIAL'!AU16)/($BQ16)</f>
        <v>0</v>
      </c>
      <c r="AV16" s="101">
        <f>(((0)/4 + 'BRAWLERS OFICIAL'!AV16)-'BRAWLERS OFICIAL'!AV16)</f>
        <v>0</v>
      </c>
      <c r="AW16" s="101">
        <v>5</v>
      </c>
      <c r="AX16" s="101" t="s">
        <v>461</v>
      </c>
      <c r="AY16" s="100">
        <f>((( 0 )/3 + 'BRAWLERS OFICIAL'!AY16)-'BRAWLERS OFICIAL'!AY16)</f>
        <v>0</v>
      </c>
      <c r="AZ16" s="100">
        <f>((( 0 )/2 + 'BRAWLERS OFICIAL'!AZ16)-'BRAWLERS OFICIAL'!AZ16)/($BQ16)</f>
        <v>0</v>
      </c>
      <c r="BA16" s="100">
        <f>((( 0 )/2 + 'BRAWLERS OFICIAL'!BA16)-'BRAWLERS OFICIAL'!BA16)</f>
        <v>0</v>
      </c>
      <c r="BB16" s="100">
        <f>((( 0 )/3 + 'BRAWLERS OFICIAL'!BB16)-'BRAWLERS OFICIAL'!BB16)</f>
        <v>0</v>
      </c>
      <c r="BC16" s="100">
        <f>((( 0 )/2 + 'BRAWLERS OFICIAL'!BC16)-'BRAWLERS OFICIAL'!BC16)/($BQ16)</f>
        <v>0</v>
      </c>
      <c r="BD16" s="100">
        <f>((( 0 )/3 + 'BRAWLERS OFICIAL'!BD16)-'BRAWLERS OFICIAL'!BD16)</f>
        <v>0</v>
      </c>
      <c r="BE16" s="100">
        <f>((( 0 )/3 + 'BRAWLERS OFICIAL'!BE16)-'BRAWLERS OFICIAL'!BE16)</f>
        <v>0</v>
      </c>
      <c r="BF16" s="100">
        <f>((0 + 'BRAWLERS OFICIAL'!BF16)-'BRAWLERS OFICIAL'!BF16)/($BQ16)</f>
        <v>0</v>
      </c>
      <c r="BG16" s="100">
        <f>((0 + 'BRAWLERS OFICIAL'!BG16)-'BRAWLERS OFICIAL'!BG16)/($BQ16)</f>
        <v>0</v>
      </c>
      <c r="BH16" s="100">
        <f>((( 0 )/2 + 'BRAWLERS OFICIAL'!BH16)-'BRAWLERS OFICIAL'!BH16)</f>
        <v>0</v>
      </c>
      <c r="BI16" s="100">
        <f>((0 + 'BRAWLERS OFICIAL'!BI16)-'BRAWLERS OFICIAL'!BI16)/($BQ16)</f>
        <v>0</v>
      </c>
      <c r="BJ16" s="100">
        <f>((( 0 )/2 + 'BRAWLERS OFICIAL'!BJ16)-'BRAWLERS OFICIAL'!BJ16)</f>
        <v>0</v>
      </c>
      <c r="BK16" s="100">
        <f>((( 0 )/3 + 'BRAWLERS OFICIAL'!BK16)-'BRAWLERS OFICIAL'!BK16)</f>
        <v>0</v>
      </c>
      <c r="BL16" s="100">
        <f>((( 0 )/2 + 'BRAWLERS OFICIAL'!BL16)-'BRAWLERS OFICIAL'!BL16)</f>
        <v>0</v>
      </c>
      <c r="BM16" s="100">
        <f>((0 + 'BRAWLERS OFICIAL'!BM16)-'BRAWLERS OFICIAL'!BM16)/($BQ16)</f>
        <v>0</v>
      </c>
      <c r="BN16" s="100">
        <f>((0 + 'BRAWLERS OFICIAL'!BN16)-'BRAWLERS OFICIAL'!BN16)/($BQ16)</f>
        <v>0</v>
      </c>
      <c r="BO16" s="100">
        <f>((0 + 'BRAWLERS OFICIAL'!BO16)-'BRAWLERS OFICIAL'!BO16)/($BQ16)</f>
        <v>0</v>
      </c>
      <c r="BQ16" s="100">
        <v>2</v>
      </c>
    </row>
    <row r="17" spans="2:69">
      <c r="B17" s="97" t="s">
        <v>216</v>
      </c>
      <c r="C17" s="98" t="s">
        <v>101</v>
      </c>
      <c r="D17" s="135" t="s">
        <v>372</v>
      </c>
      <c r="E17" s="135" t="s">
        <v>380</v>
      </c>
      <c r="F17" s="100">
        <f>((0 + 'BRAWLERS OFICIAL'!F17)-'BRAWLERS OFICIAL'!F17)</f>
        <v>0</v>
      </c>
      <c r="G17" s="100">
        <f>((0 + 'BRAWLERS OFICIAL'!G17)-'BRAWLERS OFICIAL'!G17)</f>
        <v>0</v>
      </c>
      <c r="H17" s="100">
        <f>((0 + 'BRAWLERS OFICIAL'!H17)-'BRAWLERS OFICIAL'!H17)</f>
        <v>0</v>
      </c>
      <c r="I17" s="100">
        <f>((0 + 'BRAWLERS OFICIAL'!I17)-'BRAWLERS OFICIAL'!I17)</f>
        <v>0</v>
      </c>
      <c r="J17" s="100">
        <f>((0 + 'BRAWLERS OFICIAL'!J17)-'BRAWLERS OFICIAL'!J17)</f>
        <v>0</v>
      </c>
      <c r="K17" s="100">
        <f>((0 + 'BRAWLERS OFICIAL'!K17)-'BRAWLERS OFICIAL'!K17)</f>
        <v>0</v>
      </c>
      <c r="L17" s="100">
        <f>((0 + 'BRAWLERS OFICIAL'!L17)-'BRAWLERS OFICIAL'!L17)</f>
        <v>0</v>
      </c>
      <c r="M17" s="100">
        <f>((0 + 'BRAWLERS OFICIAL'!M17)-'BRAWLERS OFICIAL'!M17)</f>
        <v>0</v>
      </c>
      <c r="N17" s="100">
        <f>((0 + 'BRAWLERS OFICIAL'!N17)-'BRAWLERS OFICIAL'!N17)</f>
        <v>0</v>
      </c>
      <c r="O17" s="100">
        <f>((0 + 'BRAWLERS OFICIAL'!O17)-'BRAWLERS OFICIAL'!O17)</f>
        <v>0</v>
      </c>
      <c r="P17" s="100">
        <f>((0 + 'BRAWLERS OFICIAL'!P17)-'BRAWLERS OFICIAL'!P17)</f>
        <v>0</v>
      </c>
      <c r="Q17" s="100">
        <f>((0 + 'BRAWLERS OFICIAL'!Q17)-'BRAWLERS OFICIAL'!Q17)</f>
        <v>0</v>
      </c>
      <c r="R17" s="100">
        <f>((0 + 'BRAWLERS OFICIAL'!R17)-'BRAWLERS OFICIAL'!R17)</f>
        <v>0</v>
      </c>
      <c r="S17" s="100">
        <f>((0 + 'BRAWLERS OFICIAL'!S17)-'BRAWLERS OFICIAL'!S17)</f>
        <v>0</v>
      </c>
      <c r="T17" s="100">
        <f>((0 + 'BRAWLERS OFICIAL'!T17)-'BRAWLERS OFICIAL'!T17)</f>
        <v>0</v>
      </c>
      <c r="U17" s="100">
        <f>((0 + 'BRAWLERS OFICIAL'!U17)-'BRAWLERS OFICIAL'!U17)</f>
        <v>0</v>
      </c>
      <c r="V17" s="100">
        <f>((0 + 'BRAWLERS OFICIAL'!V17)-'BRAWLERS OFICIAL'!V17)</f>
        <v>0</v>
      </c>
      <c r="W17" s="100">
        <f>(0 + 'BRAWLERS OFICIAL'!W17)-'BRAWLERS OFICIAL'!W17</f>
        <v>0</v>
      </c>
      <c r="X17" s="103">
        <f>(( 0.8 + 'BRAWLERS OFICIAL'!X17 + AP17 + AY17/3.5 )-'BRAWLERS OFICIAL'!X17)/($BQ17)</f>
        <v>0.80000000000000027</v>
      </c>
      <c r="Y17" s="101">
        <f>((0 + 'BRAWLERS OFICIAL'!Y17)-'BRAWLERS OFICIAL'!Y17)/($BQ17)</f>
        <v>0</v>
      </c>
      <c r="Z17" s="101">
        <f>(((0)/3 + 'BRAWLERS OFICIAL'!Z17)-'BRAWLERS OFICIAL'!Z17)</f>
        <v>0</v>
      </c>
      <c r="AA17" s="101">
        <f>((0 + 'BRAWLERS OFICIAL'!AA17)-'BRAWLERS OFICIAL'!AA17)/($BQ17)</f>
        <v>0</v>
      </c>
      <c r="AB17" s="101">
        <f>((0 + 'BRAWLERS OFICIAL'!AB17)-'BRAWLERS OFICIAL'!AB17)</f>
        <v>0</v>
      </c>
      <c r="AC17" s="101">
        <f>(((0)/4 + 'BRAWLERS OFICIAL'!AC17)-'BRAWLERS OFICIAL'!AC17)/($BQ17)</f>
        <v>0</v>
      </c>
      <c r="AD17" s="101">
        <f>((0 + 'BRAWLERS OFICIAL'!AD17)-'BRAWLERS OFICIAL'!AD17)/($BQ17)</f>
        <v>0</v>
      </c>
      <c r="AE17" s="101">
        <f>((0 + 'BRAWLERS OFICIAL'!AE17)-'BRAWLERS OFICIAL'!AE17)/($BQ17)</f>
        <v>0</v>
      </c>
      <c r="AF17" s="101">
        <f>((0 + 'BRAWLERS OFICIAL'!AF17)-'BRAWLERS OFICIAL'!AF17)/($BQ17)</f>
        <v>0</v>
      </c>
      <c r="AG17" s="101">
        <f>((0 + 'BRAWLERS OFICIAL'!AG17)-'BRAWLERS OFICIAL'!AG17)</f>
        <v>0</v>
      </c>
      <c r="AH17" s="101">
        <f>((0 + 'BRAWLERS OFICIAL'!AH17)-'BRAWLERS OFICIAL'!AH17)</f>
        <v>0</v>
      </c>
      <c r="AI17" s="101">
        <f>((0 + 'BRAWLERS OFICIAL'!AI17)-'BRAWLERS OFICIAL'!AI17)</f>
        <v>0</v>
      </c>
      <c r="AJ17" s="101">
        <f>((0 + 'BRAWLERS OFICIAL'!AJ17)-'BRAWLERS OFICIAL'!AJ17)/($BQ17)</f>
        <v>0</v>
      </c>
      <c r="AK17" s="101">
        <f>((0 + 'BRAWLERS OFICIAL'!AK17)-'BRAWLERS OFICIAL'!AK17)/($BQ17)</f>
        <v>0</v>
      </c>
      <c r="AL17" s="101">
        <f>(((BK17/5+1)*AK17 + 'BRAWLERS OFICIAL'!AL17)-'BRAWLERS OFICIAL'!AL17)/($BQ17)</f>
        <v>0</v>
      </c>
      <c r="AM17" s="101">
        <f>IF( 0 = (1-1), (1-1), ((0 + 'BRAWLERS OFICIAL'!AM17)/1.5)-'BRAWLERS OFICIAL'!AM17 )</f>
        <v>0</v>
      </c>
      <c r="AN17" s="101">
        <f t="shared" si="0"/>
        <v>0</v>
      </c>
      <c r="AO17" s="101">
        <f>((0 + 'BRAWLERS OFICIAL'!AO17)-'BRAWLERS OFICIAL'!AO17)/($BQ17)</f>
        <v>0</v>
      </c>
      <c r="AP17" s="101">
        <f>((0/1000 + 'BRAWLERS OFICIAL'!AP17)-'BRAWLERS OFICIAL'!AP17)</f>
        <v>0</v>
      </c>
      <c r="AQ17" s="101">
        <f>((0 + 'BRAWLERS OFICIAL'!AQ17)-'BRAWLERS OFICIAL'!AQ17)</f>
        <v>0</v>
      </c>
      <c r="AR17" s="101">
        <f>IF( 0 = (1-1), (1-1), ((0 + 'BRAWLERS OFICIAL'!AR17)/1.5) )</f>
        <v>0</v>
      </c>
      <c r="AS17" s="101">
        <f>IF( 0 = (1-1), (1-1), ((0 + 'BRAWLERS OFICIAL'!AS17)/1.5) )</f>
        <v>0</v>
      </c>
      <c r="AT17" s="101">
        <f>IF( 0 = (1-1), (1-1), ((0 + 'BRAWLERS OFICIAL'!AT17)/2) )</f>
        <v>0</v>
      </c>
      <c r="AU17" s="101">
        <f>((0 + 'BRAWLERS OFICIAL'!AU17)-'BRAWLERS OFICIAL'!AU17)/($BQ17)</f>
        <v>0</v>
      </c>
      <c r="AV17" s="101">
        <f>(((0)/4 + 'BRAWLERS OFICIAL'!AV17)-'BRAWLERS OFICIAL'!AV17)</f>
        <v>0</v>
      </c>
      <c r="AW17" s="101">
        <v>0</v>
      </c>
      <c r="AX17" s="101" t="s">
        <v>390</v>
      </c>
      <c r="AY17" s="100">
        <f>((( 0 )/3 + 'BRAWLERS OFICIAL'!AY17)-'BRAWLERS OFICIAL'!AY17)</f>
        <v>0</v>
      </c>
      <c r="AZ17" s="100">
        <f>((( 0 )/2 + 'BRAWLERS OFICIAL'!AZ17)-'BRAWLERS OFICIAL'!AZ17)/($BQ17)</f>
        <v>0</v>
      </c>
      <c r="BA17" s="100">
        <f>((( 0 )/2 + 'BRAWLERS OFICIAL'!BA17)-'BRAWLERS OFICIAL'!BA17)</f>
        <v>0</v>
      </c>
      <c r="BB17" s="100">
        <f>((( 0 )/3 + 'BRAWLERS OFICIAL'!BB17)-'BRAWLERS OFICIAL'!BB17)</f>
        <v>0</v>
      </c>
      <c r="BC17" s="100">
        <f>((( 0 )/2 + 'BRAWLERS OFICIAL'!BC17)-'BRAWLERS OFICIAL'!BC17)/($BQ17)</f>
        <v>0</v>
      </c>
      <c r="BD17" s="100">
        <f>((( 0 )/3 + 'BRAWLERS OFICIAL'!BD17)-'BRAWLERS OFICIAL'!BD17)</f>
        <v>0</v>
      </c>
      <c r="BE17" s="100">
        <f>((( 0 )/3 + 'BRAWLERS OFICIAL'!BE17)-'BRAWLERS OFICIAL'!BE17)</f>
        <v>0</v>
      </c>
      <c r="BF17" s="100">
        <f>((0 + 'BRAWLERS OFICIAL'!BF17)-'BRAWLERS OFICIAL'!BF17)/($BQ17)</f>
        <v>0</v>
      </c>
      <c r="BG17" s="100">
        <f>((0 + 'BRAWLERS OFICIAL'!BG17)-'BRAWLERS OFICIAL'!BG17)/($BQ17)</f>
        <v>0</v>
      </c>
      <c r="BH17" s="100">
        <f>((( 0 )/2 + 'BRAWLERS OFICIAL'!BH17)-'BRAWLERS OFICIAL'!BH17)</f>
        <v>0</v>
      </c>
      <c r="BI17" s="100">
        <f>((0 + 'BRAWLERS OFICIAL'!BI17)-'BRAWLERS OFICIAL'!BI17)/($BQ17)</f>
        <v>0</v>
      </c>
      <c r="BJ17" s="100">
        <f>((( 0 )/2 + 'BRAWLERS OFICIAL'!BJ17)-'BRAWLERS OFICIAL'!BJ17)</f>
        <v>0</v>
      </c>
      <c r="BK17" s="100">
        <f>((( 0 )/3 + 'BRAWLERS OFICIAL'!BK17)-'BRAWLERS OFICIAL'!BK17)</f>
        <v>0</v>
      </c>
      <c r="BL17" s="100">
        <f>((( 0 )/2 + 'BRAWLERS OFICIAL'!BL17)-'BRAWLERS OFICIAL'!BL17)</f>
        <v>0</v>
      </c>
      <c r="BM17" s="100">
        <f>((0 + 'BRAWLERS OFICIAL'!BM17)-'BRAWLERS OFICIAL'!BM17)/($BQ17)</f>
        <v>0</v>
      </c>
      <c r="BN17" s="100">
        <f>((0 + 'BRAWLERS OFICIAL'!BN17)-'BRAWLERS OFICIAL'!BN17)/($BQ17)</f>
        <v>0</v>
      </c>
      <c r="BO17" s="100">
        <f>((0 + 'BRAWLERS OFICIAL'!BO17)-'BRAWLERS OFICIAL'!BO17)/($BQ17)</f>
        <v>0</v>
      </c>
      <c r="BQ17" s="100">
        <v>1</v>
      </c>
    </row>
    <row r="18" spans="2:69">
      <c r="B18" s="97" t="s">
        <v>462</v>
      </c>
      <c r="C18" s="70" t="s">
        <v>57</v>
      </c>
      <c r="D18" s="134" t="s">
        <v>369</v>
      </c>
      <c r="E18" s="134" t="s">
        <v>383</v>
      </c>
      <c r="F18" s="100">
        <f>((0 + 'BRAWLERS OFICIAL'!F18)-'BRAWLERS OFICIAL'!F18)</f>
        <v>0</v>
      </c>
      <c r="G18" s="100">
        <f>((0 + 'BRAWLERS OFICIAL'!G18)-'BRAWLERS OFICIAL'!G18)</f>
        <v>0</v>
      </c>
      <c r="H18" s="100">
        <f>((0 + 'BRAWLERS OFICIAL'!H18)-'BRAWLERS OFICIAL'!H18)</f>
        <v>0</v>
      </c>
      <c r="I18" s="100">
        <f>((0 + 'BRAWLERS OFICIAL'!I18)-'BRAWLERS OFICIAL'!I18)</f>
        <v>0</v>
      </c>
      <c r="J18" s="100">
        <f>((0 + 'BRAWLERS OFICIAL'!J18)-'BRAWLERS OFICIAL'!J18)</f>
        <v>0</v>
      </c>
      <c r="K18" s="100">
        <f>((0 + 'BRAWLERS OFICIAL'!K18)-'BRAWLERS OFICIAL'!K18)</f>
        <v>0</v>
      </c>
      <c r="L18" s="100">
        <f>((0 + 'BRAWLERS OFICIAL'!L18)-'BRAWLERS OFICIAL'!L18)</f>
        <v>0</v>
      </c>
      <c r="M18" s="100">
        <f>((0 + 'BRAWLERS OFICIAL'!M18)-'BRAWLERS OFICIAL'!M18)</f>
        <v>0</v>
      </c>
      <c r="N18" s="100">
        <f>((0 + 'BRAWLERS OFICIAL'!N18)-'BRAWLERS OFICIAL'!N18)</f>
        <v>0</v>
      </c>
      <c r="O18" s="100">
        <f>((0 + 'BRAWLERS OFICIAL'!O18)-'BRAWLERS OFICIAL'!O18)</f>
        <v>0</v>
      </c>
      <c r="P18" s="100">
        <f>((0 + 'BRAWLERS OFICIAL'!P18)-'BRAWLERS OFICIAL'!P18)</f>
        <v>0</v>
      </c>
      <c r="Q18" s="100">
        <f>((0 + 'BRAWLERS OFICIAL'!Q18)-'BRAWLERS OFICIAL'!Q18)</f>
        <v>0</v>
      </c>
      <c r="R18" s="100">
        <f>((0 + 'BRAWLERS OFICIAL'!R18)-'BRAWLERS OFICIAL'!R18)</f>
        <v>0</v>
      </c>
      <c r="S18" s="100">
        <f>((0 + 'BRAWLERS OFICIAL'!S18)-'BRAWLERS OFICIAL'!S18)</f>
        <v>0</v>
      </c>
      <c r="T18" s="100">
        <f>((0 + 'BRAWLERS OFICIAL'!T18)-'BRAWLERS OFICIAL'!T18)</f>
        <v>0</v>
      </c>
      <c r="U18" s="100">
        <f>((0 + 'BRAWLERS OFICIAL'!U18)-'BRAWLERS OFICIAL'!U18)</f>
        <v>0</v>
      </c>
      <c r="V18" s="100">
        <f>((0 + 'BRAWLERS OFICIAL'!V18)-'BRAWLERS OFICIAL'!V18)</f>
        <v>0</v>
      </c>
      <c r="W18" s="100">
        <f>(0 + 'BRAWLERS OFICIAL'!W18)-'BRAWLERS OFICIAL'!W18</f>
        <v>0</v>
      </c>
      <c r="X18" s="103">
        <f>(( 0 + 'BRAWLERS OFICIAL'!X18 + AP18 + AY18/3.5 )-'BRAWLERS OFICIAL'!X18)/($BQ18)</f>
        <v>0.12857142857142856</v>
      </c>
      <c r="Y18" s="101">
        <f>((0 + 'BRAWLERS OFICIAL'!Y18)-'BRAWLERS OFICIAL'!Y18)/($BQ18)</f>
        <v>0</v>
      </c>
      <c r="Z18" s="101">
        <f>(((0)/3 + 'BRAWLERS OFICIAL'!Z18)-'BRAWLERS OFICIAL'!Z18)</f>
        <v>0</v>
      </c>
      <c r="AA18" s="101">
        <f>((0 + 'BRAWLERS OFICIAL'!AA18)-'BRAWLERS OFICIAL'!AA18)/($BQ18)</f>
        <v>0</v>
      </c>
      <c r="AB18" s="101">
        <f>((0 + 'BRAWLERS OFICIAL'!AB18)-'BRAWLERS OFICIAL'!AB18)</f>
        <v>0</v>
      </c>
      <c r="AC18" s="101">
        <f>(((0)/4 + 'BRAWLERS OFICIAL'!AC18)-'BRAWLERS OFICIAL'!AC18)/($BQ18)</f>
        <v>0</v>
      </c>
      <c r="AD18" s="101">
        <f>((0 + 'BRAWLERS OFICIAL'!AD18)-'BRAWLERS OFICIAL'!AD18)/($BQ18)</f>
        <v>0</v>
      </c>
      <c r="AE18" s="101">
        <f>((0 + 'BRAWLERS OFICIAL'!AE18)-'BRAWLERS OFICIAL'!AE18)/($BQ18)</f>
        <v>0</v>
      </c>
      <c r="AF18" s="101">
        <f>((0 + 'BRAWLERS OFICIAL'!AF18)-'BRAWLERS OFICIAL'!AF18)/($BQ18)</f>
        <v>0</v>
      </c>
      <c r="AG18" s="101">
        <f>((0 + 'BRAWLERS OFICIAL'!AG18)-'BRAWLERS OFICIAL'!AG18)</f>
        <v>0</v>
      </c>
      <c r="AH18" s="101">
        <f>((0 + 'BRAWLERS OFICIAL'!AH18)-'BRAWLERS OFICIAL'!AH18)</f>
        <v>0</v>
      </c>
      <c r="AI18" s="101">
        <f>((0 + 'BRAWLERS OFICIAL'!AI18)-'BRAWLERS OFICIAL'!AI18)</f>
        <v>0</v>
      </c>
      <c r="AJ18" s="101">
        <f>((0 + 'BRAWLERS OFICIAL'!AJ18)-'BRAWLERS OFICIAL'!AJ18)/($BQ18)</f>
        <v>0</v>
      </c>
      <c r="AK18" s="101">
        <f>((0 + 'BRAWLERS OFICIAL'!AK18)-'BRAWLERS OFICIAL'!AK18)/($BQ18)</f>
        <v>0</v>
      </c>
      <c r="AL18" s="101">
        <f>(((BK18/5+1)*AK18 + 'BRAWLERS OFICIAL'!AL18)-'BRAWLERS OFICIAL'!AL18)/($BQ18)</f>
        <v>0</v>
      </c>
      <c r="AM18" s="101">
        <f>IF( 0 = (1-1), (1-1), ((0 + 'BRAWLERS OFICIAL'!AM18)/1.5)-'BRAWLERS OFICIAL'!AM18 )</f>
        <v>0</v>
      </c>
      <c r="AN18" s="101">
        <f t="shared" si="0"/>
        <v>0</v>
      </c>
      <c r="AO18" s="101">
        <f>((0 + 'BRAWLERS OFICIAL'!AO18)-'BRAWLERS OFICIAL'!AO18)/($BQ18)</f>
        <v>0</v>
      </c>
      <c r="AP18" s="101">
        <f>(1500/1000/2 + 'BRAWLERS OFICIAL'!AP18)-'BRAWLERS OFICIAL'!AP18</f>
        <v>0.75</v>
      </c>
      <c r="AQ18" s="101">
        <f>((0 + 'BRAWLERS OFICIAL'!AQ18)-'BRAWLERS OFICIAL'!AQ18)</f>
        <v>0</v>
      </c>
      <c r="AR18" s="101">
        <f>IF( 0 = (1-1), (1-1), ((0 + 'BRAWLERS OFICIAL'!AR18)/1.5) )</f>
        <v>0</v>
      </c>
      <c r="AS18" s="101">
        <f>IF( 0 = (1-1), (1-1), ((0 + 'BRAWLERS OFICIAL'!AS18)/1.5) )</f>
        <v>0</v>
      </c>
      <c r="AT18" s="101">
        <f>IF( 0 = (1-1), (1-1), ((0 + 'BRAWLERS OFICIAL'!AT18)/2) )</f>
        <v>0</v>
      </c>
      <c r="AU18" s="101">
        <f>((0 + 'BRAWLERS OFICIAL'!AU18)-'BRAWLERS OFICIAL'!AU18)/($BQ18)</f>
        <v>0</v>
      </c>
      <c r="AV18" s="101">
        <f>(((0)/4 + 'BRAWLERS OFICIAL'!AV18)-'BRAWLERS OFICIAL'!AV18)</f>
        <v>0</v>
      </c>
      <c r="AW18" s="101">
        <v>0</v>
      </c>
      <c r="AX18" s="101" t="s">
        <v>390</v>
      </c>
      <c r="AY18" s="100">
        <f>((( 0 )/3 + 'BRAWLERS OFICIAL'!AY18)-'BRAWLERS OFICIAL'!AY18)</f>
        <v>0</v>
      </c>
      <c r="AZ18" s="100">
        <f>((( 0 )/2 + 'BRAWLERS OFICIAL'!AZ18)-'BRAWLERS OFICIAL'!AZ18)/($BQ18)</f>
        <v>0</v>
      </c>
      <c r="BA18" s="100">
        <f>((( 0 )/2 + 'BRAWLERS OFICIAL'!BA18)-'BRAWLERS OFICIAL'!BA18)</f>
        <v>0</v>
      </c>
      <c r="BB18" s="100">
        <f>((( 0 )/3 + 'BRAWLERS OFICIAL'!BB18)-'BRAWLERS OFICIAL'!BB18)</f>
        <v>0</v>
      </c>
      <c r="BC18" s="100">
        <f>((( 0 )/2 + 'BRAWLERS OFICIAL'!BC18)-'BRAWLERS OFICIAL'!BC18)/($BQ18)</f>
        <v>0</v>
      </c>
      <c r="BD18" s="100">
        <f>((( 0 )/3 + 'BRAWLERS OFICIAL'!BD18)-'BRAWLERS OFICIAL'!BD18)</f>
        <v>0</v>
      </c>
      <c r="BE18" s="100">
        <f>((( 0 )/3 + 'BRAWLERS OFICIAL'!BE18)-'BRAWLERS OFICIAL'!BE18)</f>
        <v>0</v>
      </c>
      <c r="BF18" s="100">
        <f>((0 + 'BRAWLERS OFICIAL'!BF18)-'BRAWLERS OFICIAL'!BF18)/($BQ18)</f>
        <v>0</v>
      </c>
      <c r="BG18" s="100">
        <f>((0 + 'BRAWLERS OFICIAL'!BG18)-'BRAWLERS OFICIAL'!BG18)/($BQ18)</f>
        <v>0</v>
      </c>
      <c r="BH18" s="100">
        <f>((( 0 )/2 + 'BRAWLERS OFICIAL'!BH18)-'BRAWLERS OFICIAL'!BH18)</f>
        <v>0</v>
      </c>
      <c r="BI18" s="100">
        <f>((0 + 'BRAWLERS OFICIAL'!BI18)-'BRAWLERS OFICIAL'!BI18)/($BQ18)</f>
        <v>0</v>
      </c>
      <c r="BJ18" s="100">
        <f>((( 0 )/2 + 'BRAWLERS OFICIAL'!BJ18)-'BRAWLERS OFICIAL'!BJ18)</f>
        <v>0</v>
      </c>
      <c r="BK18" s="100">
        <f>((( 0 )/3 + 'BRAWLERS OFICIAL'!BK18)-'BRAWLERS OFICIAL'!BK18)</f>
        <v>0</v>
      </c>
      <c r="BL18" s="100">
        <f>((( 0 )/2 + 'BRAWLERS OFICIAL'!BL18)-'BRAWLERS OFICIAL'!BL18)</f>
        <v>0</v>
      </c>
      <c r="BM18" s="100">
        <f>((0 + 'BRAWLERS OFICIAL'!BM18)-'BRAWLERS OFICIAL'!BM18)/($BQ18)</f>
        <v>0</v>
      </c>
      <c r="BN18" s="100">
        <f>((0 + 'BRAWLERS OFICIAL'!BN18)-'BRAWLERS OFICIAL'!BN18)/($BQ18)</f>
        <v>0</v>
      </c>
      <c r="BO18" s="100">
        <f>((0 + 'BRAWLERS OFICIAL'!BO18)-'BRAWLERS OFICIAL'!BO18)/($BQ18)</f>
        <v>0</v>
      </c>
      <c r="BQ18" s="100">
        <f>('BRAWLERS OFICIAL'!F18 / 'BRAWLERS OFICIAL'!J18 / (1 + ('BRAWLERS OFICIAL'!AA18/5)))</f>
        <v>5.8333333333333339</v>
      </c>
    </row>
    <row r="19" spans="2:69">
      <c r="B19" s="97" t="s">
        <v>463</v>
      </c>
      <c r="C19" s="70" t="s">
        <v>40</v>
      </c>
      <c r="D19" s="134" t="s">
        <v>374</v>
      </c>
      <c r="E19" s="134" t="s">
        <v>373</v>
      </c>
      <c r="F19" s="100">
        <f>((0 + 'BRAWLERS OFICIAL'!F19)-'BRAWLERS OFICIAL'!F19)</f>
        <v>0</v>
      </c>
      <c r="G19" s="100">
        <f>((0 + 'BRAWLERS OFICIAL'!G19)-'BRAWLERS OFICIAL'!G19)</f>
        <v>0</v>
      </c>
      <c r="H19" s="100">
        <f>((160 + 'BRAWLERS OFICIAL'!H19)-'BRAWLERS OFICIAL'!H19)</f>
        <v>160</v>
      </c>
      <c r="I19" s="100">
        <f>((0 + 'BRAWLERS OFICIAL'!I19)-'BRAWLERS OFICIAL'!I19)</f>
        <v>0</v>
      </c>
      <c r="J19" s="100">
        <f>((0 + 'BRAWLERS OFICIAL'!J19)-'BRAWLERS OFICIAL'!J19)</f>
        <v>0</v>
      </c>
      <c r="K19" s="100">
        <f>((0 + 'BRAWLERS OFICIAL'!K19)-'BRAWLERS OFICIAL'!K19)</f>
        <v>0</v>
      </c>
      <c r="L19" s="100">
        <f>((0 + 'BRAWLERS OFICIAL'!L19)-'BRAWLERS OFICIAL'!L19)</f>
        <v>0</v>
      </c>
      <c r="M19" s="100">
        <f>((0 + 'BRAWLERS OFICIAL'!M19)-'BRAWLERS OFICIAL'!M19)</f>
        <v>0</v>
      </c>
      <c r="N19" s="100">
        <f>((0 + 'BRAWLERS OFICIAL'!N19)-'BRAWLERS OFICIAL'!N19)</f>
        <v>0</v>
      </c>
      <c r="O19" s="100">
        <f>((0 + 'BRAWLERS OFICIAL'!O19)-'BRAWLERS OFICIAL'!O19)</f>
        <v>0</v>
      </c>
      <c r="P19" s="100">
        <f>((0 + 'BRAWLERS OFICIAL'!P19)-'BRAWLERS OFICIAL'!P19)</f>
        <v>0</v>
      </c>
      <c r="Q19" s="100">
        <f>((0 + 'BRAWLERS OFICIAL'!Q19)-'BRAWLERS OFICIAL'!Q19)</f>
        <v>0</v>
      </c>
      <c r="R19" s="100">
        <f>((0 + 'BRAWLERS OFICIAL'!R19)-'BRAWLERS OFICIAL'!R19)</f>
        <v>0</v>
      </c>
      <c r="S19" s="100">
        <f>((0 + 'BRAWLERS OFICIAL'!S19)-'BRAWLERS OFICIAL'!S19)</f>
        <v>0</v>
      </c>
      <c r="T19" s="100">
        <f>((0 + 'BRAWLERS OFICIAL'!T19)-'BRAWLERS OFICIAL'!T19)</f>
        <v>0</v>
      </c>
      <c r="U19" s="100">
        <f>((0 + 'BRAWLERS OFICIAL'!U19)-'BRAWLERS OFICIAL'!U19)</f>
        <v>0</v>
      </c>
      <c r="V19" s="100">
        <f>((0 + 'BRAWLERS OFICIAL'!V19)-'BRAWLERS OFICIAL'!V19)</f>
        <v>0</v>
      </c>
      <c r="W19" s="100">
        <f>(0 + 'BRAWLERS OFICIAL'!W19)-'BRAWLERS OFICIAL'!W19</f>
        <v>0</v>
      </c>
      <c r="X19" s="103">
        <f>(( 0 + 'BRAWLERS OFICIAL'!X19 + AP19 + AY19/3.5 )-'BRAWLERS OFICIAL'!X19)/($BQ19)</f>
        <v>0</v>
      </c>
      <c r="Y19" s="101">
        <f>((0 + 'BRAWLERS OFICIAL'!Y19)-'BRAWLERS OFICIAL'!Y19)/($BQ19)</f>
        <v>0</v>
      </c>
      <c r="Z19" s="101">
        <f>(((0)/3 + 'BRAWLERS OFICIAL'!Z19)-'BRAWLERS OFICIAL'!Z19)</f>
        <v>0</v>
      </c>
      <c r="AA19" s="101">
        <f>((0 + 'BRAWLERS OFICIAL'!AA19)-'BRAWLERS OFICIAL'!AA19)/($BQ19)</f>
        <v>0</v>
      </c>
      <c r="AB19" s="101">
        <f>((0 + 'BRAWLERS OFICIAL'!AB19)-'BRAWLERS OFICIAL'!AB19)</f>
        <v>0</v>
      </c>
      <c r="AC19" s="101">
        <f>(((0)/4 + 'BRAWLERS OFICIAL'!AC19)-'BRAWLERS OFICIAL'!AC19)/($BQ19)</f>
        <v>0</v>
      </c>
      <c r="AD19" s="101">
        <f>((0 + 'BRAWLERS OFICIAL'!AD19)-'BRAWLERS OFICIAL'!AD19)/($BQ19)</f>
        <v>0</v>
      </c>
      <c r="AE19" s="101">
        <f>((0 + 'BRAWLERS OFICIAL'!AE19)-'BRAWLERS OFICIAL'!AE19)/($BQ19)</f>
        <v>0</v>
      </c>
      <c r="AF19" s="101">
        <f>((0 + 'BRAWLERS OFICIAL'!AF19)-'BRAWLERS OFICIAL'!AF19)/($BQ19)</f>
        <v>0</v>
      </c>
      <c r="AG19" s="101">
        <f>((0 + 'BRAWLERS OFICIAL'!AG19)-'BRAWLERS OFICIAL'!AG19)</f>
        <v>0</v>
      </c>
      <c r="AH19" s="101">
        <f>((0 + 'BRAWLERS OFICIAL'!AH19)-'BRAWLERS OFICIAL'!AH19)</f>
        <v>0</v>
      </c>
      <c r="AI19" s="101">
        <f>((0 + 'BRAWLERS OFICIAL'!AI19)-'BRAWLERS OFICIAL'!AI19)</f>
        <v>0</v>
      </c>
      <c r="AJ19" s="101">
        <f>((0 + 'BRAWLERS OFICIAL'!AJ19)-'BRAWLERS OFICIAL'!AJ19)/($BQ19)</f>
        <v>0</v>
      </c>
      <c r="AK19" s="101">
        <f>((0 + 'BRAWLERS OFICIAL'!AK19)-'BRAWLERS OFICIAL'!AK19)/($BQ19)</f>
        <v>0</v>
      </c>
      <c r="AL19" s="101">
        <f>(((BK19/5+1)*AK19 + 'BRAWLERS OFICIAL'!AL19)-'BRAWLERS OFICIAL'!AL19)/($BQ19)</f>
        <v>0</v>
      </c>
      <c r="AM19" s="101">
        <f>IF( 0 = (1-1), (1-1), ((0 + 'BRAWLERS OFICIAL'!AM19)/1.5)-'BRAWLERS OFICIAL'!AM19 )</f>
        <v>0</v>
      </c>
      <c r="AN19" s="101">
        <f t="shared" si="0"/>
        <v>0</v>
      </c>
      <c r="AO19" s="101">
        <f>((0 + 'BRAWLERS OFICIAL'!AO19)-'BRAWLERS OFICIAL'!AO19)/($BQ19)</f>
        <v>0</v>
      </c>
      <c r="AP19" s="101">
        <f>((0/1000 + 'BRAWLERS OFICIAL'!AP19)-'BRAWLERS OFICIAL'!AP19)</f>
        <v>0</v>
      </c>
      <c r="AQ19" s="101">
        <f>((0 + 'BRAWLERS OFICIAL'!AQ19)-'BRAWLERS OFICIAL'!AQ19)</f>
        <v>0</v>
      </c>
      <c r="AR19" s="101">
        <f>IF( 0 = (1-1), (1-1), ((0 + 'BRAWLERS OFICIAL'!AR19)/1.5) )</f>
        <v>0</v>
      </c>
      <c r="AS19" s="101">
        <f>IF( 0 = (1-1), (1-1), ((0 + 'BRAWLERS OFICIAL'!AS19)/1.5) )</f>
        <v>0</v>
      </c>
      <c r="AT19" s="101">
        <f>IF( 0 = (1-1), (1-1), ((0 + 'BRAWLERS OFICIAL'!AT19)/2) )</f>
        <v>0</v>
      </c>
      <c r="AU19" s="101">
        <f>((0 + 'BRAWLERS OFICIAL'!AU19)-'BRAWLERS OFICIAL'!AU19)/($BQ19)</f>
        <v>0</v>
      </c>
      <c r="AV19" s="101">
        <f>(((0)/4 + 'BRAWLERS OFICIAL'!AV19)-'BRAWLERS OFICIAL'!AV19)</f>
        <v>0</v>
      </c>
      <c r="AW19" s="101">
        <v>0</v>
      </c>
      <c r="AX19" s="101" t="s">
        <v>390</v>
      </c>
      <c r="AY19" s="100">
        <f>((( 0 )/3 + 'BRAWLERS OFICIAL'!AY19)-'BRAWLERS OFICIAL'!AY19)</f>
        <v>0</v>
      </c>
      <c r="AZ19" s="100">
        <f>((( 0 )/2 + 'BRAWLERS OFICIAL'!AZ19)-'BRAWLERS OFICIAL'!AZ19)/($BQ19)</f>
        <v>0</v>
      </c>
      <c r="BA19" s="100">
        <f>((( 0 )/2 + 'BRAWLERS OFICIAL'!BA19)-'BRAWLERS OFICIAL'!BA19)</f>
        <v>0</v>
      </c>
      <c r="BB19" s="100">
        <f>((( 0 )/3 + 'BRAWLERS OFICIAL'!BB19)-'BRAWLERS OFICIAL'!BB19)</f>
        <v>0</v>
      </c>
      <c r="BC19" s="100">
        <f>((( 0 )/2 + 'BRAWLERS OFICIAL'!BC19)-'BRAWLERS OFICIAL'!BC19)/($BQ19)</f>
        <v>0</v>
      </c>
      <c r="BD19" s="100">
        <f>((( 0 )/3 + 'BRAWLERS OFICIAL'!BD19)-'BRAWLERS OFICIAL'!BD19)</f>
        <v>0</v>
      </c>
      <c r="BE19" s="100">
        <f>((( 0 )/3 + 'BRAWLERS OFICIAL'!BE19)-'BRAWLERS OFICIAL'!BE19)</f>
        <v>0</v>
      </c>
      <c r="BF19" s="100">
        <f>((0 + 'BRAWLERS OFICIAL'!BF19)-'BRAWLERS OFICIAL'!BF19)/($BQ19)</f>
        <v>0</v>
      </c>
      <c r="BG19" s="100">
        <f>((0 + 'BRAWLERS OFICIAL'!BG19)-'BRAWLERS OFICIAL'!BG19)/($BQ19)</f>
        <v>0</v>
      </c>
      <c r="BH19" s="100">
        <f>((( 0 )/2 + 'BRAWLERS OFICIAL'!BH19)-'BRAWLERS OFICIAL'!BH19)</f>
        <v>0</v>
      </c>
      <c r="BI19" s="100">
        <f>((0 + 'BRAWLERS OFICIAL'!BI19)-'BRAWLERS OFICIAL'!BI19)/($BQ19)</f>
        <v>0</v>
      </c>
      <c r="BJ19" s="100">
        <f>((( 0 )/2 + 'BRAWLERS OFICIAL'!BJ19)-'BRAWLERS OFICIAL'!BJ19)</f>
        <v>0</v>
      </c>
      <c r="BK19" s="100">
        <f>((( 0 )/3 + 'BRAWLERS OFICIAL'!BK19)-'BRAWLERS OFICIAL'!BK19)</f>
        <v>0</v>
      </c>
      <c r="BL19" s="100">
        <f>((( 0 )/2 + 'BRAWLERS OFICIAL'!BL19)-'BRAWLERS OFICIAL'!BL19)</f>
        <v>0</v>
      </c>
      <c r="BM19" s="100">
        <f>((0 + 'BRAWLERS OFICIAL'!BM19)-'BRAWLERS OFICIAL'!BM19)/($BQ19)</f>
        <v>0</v>
      </c>
      <c r="BN19" s="100">
        <f>((0 + 'BRAWLERS OFICIAL'!BN19)-'BRAWLERS OFICIAL'!BN19)/($BQ19)</f>
        <v>0</v>
      </c>
      <c r="BO19" s="100">
        <f>((0 + 'BRAWLERS OFICIAL'!BO19)-'BRAWLERS OFICIAL'!BO19)/($BQ19)</f>
        <v>0</v>
      </c>
      <c r="BQ19" s="100">
        <v>1</v>
      </c>
    </row>
    <row r="20" spans="2:69">
      <c r="B20" s="99" t="s">
        <v>464</v>
      </c>
      <c r="C20" s="9" t="s">
        <v>69</v>
      </c>
      <c r="D20" s="136" t="s">
        <v>390</v>
      </c>
      <c r="E20" s="136" t="s">
        <v>362</v>
      </c>
      <c r="F20" s="100">
        <f>((-3 + 'BRAWLERS OFICIAL'!F20)-'BRAWLERS OFICIAL'!F20)</f>
        <v>-3</v>
      </c>
      <c r="G20" s="100">
        <f>((0 + 'BRAWLERS OFICIAL'!G20)-'BRAWLERS OFICIAL'!G20)</f>
        <v>0</v>
      </c>
      <c r="H20" s="100">
        <f>((0 + 'BRAWLERS OFICIAL'!H20)-'BRAWLERS OFICIAL'!H20)</f>
        <v>0</v>
      </c>
      <c r="I20" s="100">
        <f>((0 + 'BRAWLERS OFICIAL'!I20)-'BRAWLERS OFICIAL'!I20)</f>
        <v>0</v>
      </c>
      <c r="J20" s="100">
        <f>((0 + 'BRAWLERS OFICIAL'!J20)-'BRAWLERS OFICIAL'!J20)</f>
        <v>0</v>
      </c>
      <c r="K20" s="100">
        <f>((0 + 'BRAWLERS OFICIAL'!K20)-'BRAWLERS OFICIAL'!K20)</f>
        <v>0</v>
      </c>
      <c r="L20" s="100">
        <f>((0 + 'BRAWLERS OFICIAL'!L20)-'BRAWLERS OFICIAL'!L20)</f>
        <v>0</v>
      </c>
      <c r="M20" s="100">
        <f>((0 + 'BRAWLERS OFICIAL'!M20)-'BRAWLERS OFICIAL'!M20)</f>
        <v>0</v>
      </c>
      <c r="N20" s="100">
        <f>((0 + 'BRAWLERS OFICIAL'!N20)-'BRAWLERS OFICIAL'!N20)</f>
        <v>0</v>
      </c>
      <c r="O20" s="100">
        <f>((0 + 'BRAWLERS OFICIAL'!O20)-'BRAWLERS OFICIAL'!O20)</f>
        <v>0</v>
      </c>
      <c r="P20" s="100">
        <f>((0 + 'BRAWLERS OFICIAL'!P20)-'BRAWLERS OFICIAL'!P20)</f>
        <v>0</v>
      </c>
      <c r="Q20" s="100">
        <f>((0 + 'BRAWLERS OFICIAL'!Q20)-'BRAWLERS OFICIAL'!Q20)</f>
        <v>0</v>
      </c>
      <c r="R20" s="100">
        <f>((0 + 'BRAWLERS OFICIAL'!R20)-'BRAWLERS OFICIAL'!R20)</f>
        <v>0</v>
      </c>
      <c r="S20" s="100">
        <f>((0 + 'BRAWLERS OFICIAL'!S20)-'BRAWLERS OFICIAL'!S20)</f>
        <v>0</v>
      </c>
      <c r="T20" s="100">
        <f>((0 + 'BRAWLERS OFICIAL'!T20)-'BRAWLERS OFICIAL'!T20)</f>
        <v>0</v>
      </c>
      <c r="U20" s="100">
        <f>((0 + 'BRAWLERS OFICIAL'!U20)-'BRAWLERS OFICIAL'!U20)</f>
        <v>0</v>
      </c>
      <c r="V20" s="100">
        <f>((0 + 'BRAWLERS OFICIAL'!V20)-'BRAWLERS OFICIAL'!V20)</f>
        <v>0</v>
      </c>
      <c r="W20" s="100">
        <f>(0 + 'BRAWLERS OFICIAL'!W20)-'BRAWLERS OFICIAL'!W20</f>
        <v>0</v>
      </c>
      <c r="X20" s="103">
        <f>(( 0 + 'BRAWLERS OFICIAL'!X20 + AP20 + AY20/3.5 )-'BRAWLERS OFICIAL'!X20)/($BQ20)</f>
        <v>0</v>
      </c>
      <c r="Y20" s="101">
        <f>((0 + 'BRAWLERS OFICIAL'!Y20)-'BRAWLERS OFICIAL'!Y20)/($BQ20)</f>
        <v>0</v>
      </c>
      <c r="Z20" s="101">
        <f>(((0)/3 + 'BRAWLERS OFICIAL'!Z20)-'BRAWLERS OFICIAL'!Z20)</f>
        <v>0</v>
      </c>
      <c r="AA20" s="101">
        <f>((0 + 'BRAWLERS OFICIAL'!AA20)-'BRAWLERS OFICIAL'!AA20)/($BQ20)</f>
        <v>0</v>
      </c>
      <c r="AB20" s="101">
        <f>((0 + 'BRAWLERS OFICIAL'!AB20)-'BRAWLERS OFICIAL'!AB20)</f>
        <v>0</v>
      </c>
      <c r="AC20" s="101">
        <f>(((0)/4 + 'BRAWLERS OFICIAL'!AC20)-'BRAWLERS OFICIAL'!AC20)/($BQ20)</f>
        <v>0</v>
      </c>
      <c r="AD20" s="101">
        <f>((0 + 'BRAWLERS OFICIAL'!AD20)-'BRAWLERS OFICIAL'!AD20)/($BQ20)</f>
        <v>0</v>
      </c>
      <c r="AE20" s="101">
        <f>((0 + 'BRAWLERS OFICIAL'!AE20)-'BRAWLERS OFICIAL'!AE20)/($BQ20)</f>
        <v>0</v>
      </c>
      <c r="AF20" s="101">
        <f>((0 + 'BRAWLERS OFICIAL'!AF20)-'BRAWLERS OFICIAL'!AF20)/($BQ20)</f>
        <v>0</v>
      </c>
      <c r="AG20" s="101">
        <f>((0 + 'BRAWLERS OFICIAL'!AG20)-'BRAWLERS OFICIAL'!AG20)</f>
        <v>0</v>
      </c>
      <c r="AH20" s="101">
        <f>((0 + 'BRAWLERS OFICIAL'!AH20)-'BRAWLERS OFICIAL'!AH20)</f>
        <v>0</v>
      </c>
      <c r="AI20" s="101">
        <f>((0 + 'BRAWLERS OFICIAL'!AI20)-'BRAWLERS OFICIAL'!AI20)</f>
        <v>0</v>
      </c>
      <c r="AJ20" s="101">
        <f>((0 + 'BRAWLERS OFICIAL'!AJ20)-'BRAWLERS OFICIAL'!AJ20)/($BQ20)</f>
        <v>0</v>
      </c>
      <c r="AK20" s="101">
        <f>((0 + 'BRAWLERS OFICIAL'!AK20)-'BRAWLERS OFICIAL'!AK20)/($BQ20)</f>
        <v>0</v>
      </c>
      <c r="AL20" s="101">
        <f>(((BK20/5+1)*AK20 + 'BRAWLERS OFICIAL'!AL20)-'BRAWLERS OFICIAL'!AL20)/($BQ20)</f>
        <v>0</v>
      </c>
      <c r="AM20" s="101">
        <f>IF( 0 = (1-1), (1-1), ((0 + 'BRAWLERS OFICIAL'!AM20)/1.5)-'BRAWLERS OFICIAL'!AM20 )</f>
        <v>0</v>
      </c>
      <c r="AN20" s="101">
        <f t="shared" ref="AN20" si="1">IF( 0 = (1-1), (1-1), ( 0 ) )</f>
        <v>0</v>
      </c>
      <c r="AO20" s="101">
        <f>((0 + 'BRAWLERS OFICIAL'!AO20)-'BRAWLERS OFICIAL'!AO20)/($BQ20)</f>
        <v>0</v>
      </c>
      <c r="AP20" s="101">
        <f>((0/1000 + 'BRAWLERS OFICIAL'!AP20)-'BRAWLERS OFICIAL'!AP20)</f>
        <v>0</v>
      </c>
      <c r="AQ20" s="101">
        <f>((0 + 'BRAWLERS OFICIAL'!AQ20)-'BRAWLERS OFICIAL'!AQ20)</f>
        <v>0</v>
      </c>
      <c r="AR20" s="101">
        <f>IF( 0 = (1-1), (1-1), ((0 + 'BRAWLERS OFICIAL'!AR20)/1.5) )</f>
        <v>0</v>
      </c>
      <c r="AS20" s="101">
        <f>IF( 0 = (1-1), (1-1), ((0 + 'BRAWLERS OFICIAL'!AS20)/1.5) )</f>
        <v>0</v>
      </c>
      <c r="AT20" s="101">
        <f>IF( 0 = (1-1), (1-1), ((0 + 'BRAWLERS OFICIAL'!AT20)/2) )</f>
        <v>0</v>
      </c>
      <c r="AU20" s="101">
        <f>((0 + 'BRAWLERS OFICIAL'!AU20)-'BRAWLERS OFICIAL'!AU20)/($BQ20)</f>
        <v>0</v>
      </c>
      <c r="AV20" s="101">
        <f>(((0)/4 + 'BRAWLERS OFICIAL'!AV20)-'BRAWLERS OFICIAL'!AV20)</f>
        <v>0</v>
      </c>
      <c r="AW20" s="101">
        <v>0</v>
      </c>
      <c r="AX20" s="101" t="s">
        <v>390</v>
      </c>
      <c r="AY20" s="100">
        <f>((( 0 )/3 + 'BRAWLERS OFICIAL'!AY20)-'BRAWLERS OFICIAL'!AY20)</f>
        <v>0</v>
      </c>
      <c r="AZ20" s="100">
        <f>((( 0 )/2 + 'BRAWLERS OFICIAL'!AZ20)-'BRAWLERS OFICIAL'!AZ20)/($BQ20)</f>
        <v>0</v>
      </c>
      <c r="BA20" s="100">
        <f>((( 0 )/2 + 'BRAWLERS OFICIAL'!BA20)-'BRAWLERS OFICIAL'!BA20)</f>
        <v>0</v>
      </c>
      <c r="BB20" s="100">
        <f>((( 0 )/3 + 'BRAWLERS OFICIAL'!BB20)-'BRAWLERS OFICIAL'!BB20)</f>
        <v>0</v>
      </c>
      <c r="BC20" s="100">
        <f>((( 0 )/2 + 'BRAWLERS OFICIAL'!BC20)-'BRAWLERS OFICIAL'!BC20)/($BQ20)</f>
        <v>0</v>
      </c>
      <c r="BD20" s="100">
        <f>((( 0 )/3 + 'BRAWLERS OFICIAL'!BD20)-'BRAWLERS OFICIAL'!BD20)</f>
        <v>0</v>
      </c>
      <c r="BE20" s="100">
        <f>((( 0 )/3 + 'BRAWLERS OFICIAL'!BE20)-'BRAWLERS OFICIAL'!BE20)</f>
        <v>0</v>
      </c>
      <c r="BF20" s="100">
        <f>((0 + 'BRAWLERS OFICIAL'!BF20)-'BRAWLERS OFICIAL'!BF20)/($BQ20)</f>
        <v>0</v>
      </c>
      <c r="BG20" s="100">
        <f>((0 + 'BRAWLERS OFICIAL'!BG20)-'BRAWLERS OFICIAL'!BG20)/($BQ20)</f>
        <v>0</v>
      </c>
      <c r="BH20" s="100">
        <f>((( 0 )/2 + 'BRAWLERS OFICIAL'!BH20)-'BRAWLERS OFICIAL'!BH20)</f>
        <v>0</v>
      </c>
      <c r="BI20" s="100">
        <f>((0 + 'BRAWLERS OFICIAL'!BI20)-'BRAWLERS OFICIAL'!BI20)/($BQ20)</f>
        <v>0</v>
      </c>
      <c r="BJ20" s="100">
        <f>((( 0 )/2 + 'BRAWLERS OFICIAL'!BJ20)-'BRAWLERS OFICIAL'!BJ20)</f>
        <v>0</v>
      </c>
      <c r="BK20" s="100">
        <f>((( 0 )/3 + 'BRAWLERS OFICIAL'!BK20)-'BRAWLERS OFICIAL'!BK20)</f>
        <v>0</v>
      </c>
      <c r="BL20" s="100">
        <f>((( 0 )/2 + 'BRAWLERS OFICIAL'!BL20)-'BRAWLERS OFICIAL'!BL20)</f>
        <v>0</v>
      </c>
      <c r="BM20" s="100">
        <f>((0 + 'BRAWLERS OFICIAL'!BM20)-'BRAWLERS OFICIAL'!BM20)/($BQ20)</f>
        <v>0</v>
      </c>
      <c r="BN20" s="100">
        <f>((0 + 'BRAWLERS OFICIAL'!BN20)-'BRAWLERS OFICIAL'!BN20)/($BQ20)</f>
        <v>0</v>
      </c>
      <c r="BO20" s="100">
        <f>((0 + 'BRAWLERS OFICIAL'!BO20)-'BRAWLERS OFICIAL'!BO20)/($BQ20)</f>
        <v>0</v>
      </c>
      <c r="BQ20" s="100">
        <v>1</v>
      </c>
    </row>
    <row r="21" spans="2:69">
      <c r="C21" t="s">
        <v>393</v>
      </c>
    </row>
    <row r="22" spans="2:69">
      <c r="B22" t="s">
        <v>465</v>
      </c>
      <c r="C22" t="s">
        <v>466</v>
      </c>
    </row>
    <row r="23" spans="2:69">
      <c r="B23" t="s">
        <v>467</v>
      </c>
      <c r="C23" t="s">
        <v>468</v>
      </c>
    </row>
  </sheetData>
  <conditionalFormatting sqref="F3:BO20">
    <cfRule type="cellIs" dxfId="6" priority="26" operator="greaterThan">
      <formula>0</formula>
    </cfRule>
  </conditionalFormatting>
  <conditionalFormatting sqref="BQ3:BQ20">
    <cfRule type="cellIs" dxfId="5" priority="25" operator="greaterThan">
      <formula>0</formula>
    </cfRule>
  </conditionalFormatting>
  <dataValidations count="1">
    <dataValidation allowBlank="1" showInputMessage="1" showErrorMessage="1" sqref="B2:B20" xr:uid="{A27FDCAC-D25D-4502-BDA4-C4175B7AA567}"/>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45D6AE9-4CD5-48A4-BFCF-136BAE7A0F89}">
          <x14:formula1>
            <xm:f>'BRAWLERS OFICIAL'!$F$2:$CP$2</xm:f>
          </x14:formula1>
          <xm:sqref>D3:E20</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EB2C4-65E2-4618-B9E8-CD1B7FAD0D68}">
  <dimension ref="A1:BQ23"/>
  <sheetViews>
    <sheetView workbookViewId="0">
      <pane xSplit="3" topLeftCell="AR1" activePane="topRight" state="frozen"/>
      <selection pane="topRight" activeCell="AX12" sqref="AX12"/>
    </sheetView>
  </sheetViews>
  <sheetFormatPr defaultRowHeight="15"/>
  <cols>
    <col min="1" max="1" width="9.140625" style="94"/>
    <col min="2" max="2" width="23.7109375" bestFit="1" customWidth="1"/>
  </cols>
  <sheetData>
    <row r="1" spans="1:69" s="94" customFormat="1">
      <c r="A1" s="93"/>
      <c r="Z1" s="94" t="s">
        <v>397</v>
      </c>
      <c r="AB1" s="94" t="s">
        <v>397</v>
      </c>
      <c r="AG1" s="94" t="s">
        <v>397</v>
      </c>
      <c r="AH1" s="94" t="s">
        <v>397</v>
      </c>
      <c r="AI1" s="94" t="s">
        <v>397</v>
      </c>
      <c r="AM1" s="94" t="s">
        <v>397</v>
      </c>
      <c r="AN1" s="94" t="s">
        <v>397</v>
      </c>
      <c r="AP1" s="94" t="s">
        <v>397</v>
      </c>
      <c r="AQ1" s="94" t="s">
        <v>397</v>
      </c>
      <c r="AR1" s="94" t="s">
        <v>397</v>
      </c>
      <c r="AS1" s="94" t="s">
        <v>397</v>
      </c>
      <c r="AT1" s="94" t="s">
        <v>397</v>
      </c>
      <c r="AV1" s="94" t="s">
        <v>397</v>
      </c>
      <c r="AY1" s="94" t="s">
        <v>397</v>
      </c>
      <c r="BA1" s="94" t="s">
        <v>397</v>
      </c>
      <c r="BB1" s="94" t="s">
        <v>397</v>
      </c>
      <c r="BD1" s="94" t="s">
        <v>397</v>
      </c>
      <c r="BE1" s="94" t="s">
        <v>397</v>
      </c>
      <c r="BH1" s="94" t="s">
        <v>397</v>
      </c>
      <c r="BJ1" s="94" t="s">
        <v>397</v>
      </c>
      <c r="BK1" s="94" t="s">
        <v>397</v>
      </c>
      <c r="BL1" s="94" t="s">
        <v>397</v>
      </c>
    </row>
    <row r="2" spans="1:69">
      <c r="B2" s="95" t="s">
        <v>398</v>
      </c>
      <c r="C2" s="95" t="s">
        <v>302</v>
      </c>
      <c r="D2" s="118" t="s">
        <v>303</v>
      </c>
      <c r="E2" s="118" t="s">
        <v>304</v>
      </c>
      <c r="F2" s="118" t="s">
        <v>305</v>
      </c>
      <c r="G2" s="118" t="s">
        <v>306</v>
      </c>
      <c r="H2" s="118" t="s">
        <v>307</v>
      </c>
      <c r="I2" s="118" t="s">
        <v>308</v>
      </c>
      <c r="J2" s="118" t="s">
        <v>309</v>
      </c>
      <c r="K2" s="118" t="s">
        <v>310</v>
      </c>
      <c r="L2" s="118" t="s">
        <v>311</v>
      </c>
      <c r="M2" s="118" t="s">
        <v>312</v>
      </c>
      <c r="N2" s="118" t="s">
        <v>313</v>
      </c>
      <c r="O2" s="118" t="s">
        <v>314</v>
      </c>
      <c r="P2" s="118" t="s">
        <v>315</v>
      </c>
      <c r="Q2" s="118" t="s">
        <v>316</v>
      </c>
      <c r="R2" s="118" t="s">
        <v>317</v>
      </c>
      <c r="S2" s="118" t="s">
        <v>318</v>
      </c>
      <c r="T2" s="118" t="s">
        <v>319</v>
      </c>
      <c r="U2" s="118" t="s">
        <v>320</v>
      </c>
      <c r="V2" s="118" t="s">
        <v>321</v>
      </c>
      <c r="W2" s="118" t="s">
        <v>322</v>
      </c>
      <c r="X2" s="95" t="s">
        <v>323</v>
      </c>
      <c r="Y2" s="95" t="s">
        <v>324</v>
      </c>
      <c r="Z2" s="95" t="s">
        <v>325</v>
      </c>
      <c r="AA2" s="95" t="s">
        <v>326</v>
      </c>
      <c r="AB2" s="95" t="s">
        <v>327</v>
      </c>
      <c r="AC2" s="95" t="s">
        <v>328</v>
      </c>
      <c r="AD2" s="95" t="s">
        <v>329</v>
      </c>
      <c r="AE2" s="95" t="s">
        <v>330</v>
      </c>
      <c r="AF2" s="95" t="s">
        <v>331</v>
      </c>
      <c r="AG2" s="95" t="s">
        <v>332</v>
      </c>
      <c r="AH2" s="95" t="s">
        <v>333</v>
      </c>
      <c r="AI2" s="118" t="s">
        <v>334</v>
      </c>
      <c r="AJ2" s="118" t="s">
        <v>335</v>
      </c>
      <c r="AK2" s="118" t="s">
        <v>336</v>
      </c>
      <c r="AL2" s="95" t="s">
        <v>337</v>
      </c>
      <c r="AM2" s="118" t="s">
        <v>338</v>
      </c>
      <c r="AN2" s="118" t="s">
        <v>339</v>
      </c>
      <c r="AO2" s="118" t="s">
        <v>340</v>
      </c>
      <c r="AP2" s="118" t="s">
        <v>341</v>
      </c>
      <c r="AQ2" s="118" t="s">
        <v>342</v>
      </c>
      <c r="AR2" s="118" t="s">
        <v>343</v>
      </c>
      <c r="AS2" s="118" t="s">
        <v>344</v>
      </c>
      <c r="AT2" s="118" t="s">
        <v>345</v>
      </c>
      <c r="AU2" s="118" t="s">
        <v>346</v>
      </c>
      <c r="AV2" s="118" t="s">
        <v>347</v>
      </c>
      <c r="AW2" s="118" t="s">
        <v>348</v>
      </c>
      <c r="AX2" s="118" t="s">
        <v>349</v>
      </c>
      <c r="AY2" s="95" t="s">
        <v>350</v>
      </c>
      <c r="AZ2" s="95" t="s">
        <v>351</v>
      </c>
      <c r="BA2" s="118" t="s">
        <v>352</v>
      </c>
      <c r="BB2" s="95" t="s">
        <v>353</v>
      </c>
      <c r="BC2" s="95" t="s">
        <v>354</v>
      </c>
      <c r="BD2" s="95" t="s">
        <v>355</v>
      </c>
      <c r="BE2" s="95" t="s">
        <v>356</v>
      </c>
      <c r="BF2" s="95" t="s">
        <v>357</v>
      </c>
      <c r="BG2" s="119" t="s">
        <v>358</v>
      </c>
      <c r="BH2" s="95" t="s">
        <v>359</v>
      </c>
      <c r="BI2" s="95" t="s">
        <v>360</v>
      </c>
      <c r="BJ2" s="118" t="s">
        <v>361</v>
      </c>
      <c r="BK2" s="118" t="s">
        <v>362</v>
      </c>
      <c r="BL2" s="95" t="s">
        <v>363</v>
      </c>
      <c r="BM2" s="95" t="s">
        <v>364</v>
      </c>
      <c r="BN2" s="118" t="s">
        <v>365</v>
      </c>
      <c r="BO2" s="95" t="s">
        <v>366</v>
      </c>
      <c r="BQ2" s="95" t="s">
        <v>444</v>
      </c>
    </row>
    <row r="3" spans="1:69">
      <c r="B3" s="97" t="s">
        <v>469</v>
      </c>
      <c r="C3" s="70" t="s">
        <v>78</v>
      </c>
      <c r="D3" s="134" t="s">
        <v>364</v>
      </c>
      <c r="E3" s="134" t="s">
        <v>329</v>
      </c>
      <c r="F3" s="100">
        <f>(0 + 'BRAWLERS OFICIAL'!F3)-'BRAWLERS OFICIAL'!F3</f>
        <v>0</v>
      </c>
      <c r="G3" s="100">
        <f>(0 + 'BRAWLERS OFICIAL'!G3)-'BRAWLERS OFICIAL'!G3</f>
        <v>0</v>
      </c>
      <c r="H3" s="100">
        <f>(0 + 'BRAWLERS OFICIAL'!H3)-'BRAWLERS OFICIAL'!H3</f>
        <v>0</v>
      </c>
      <c r="I3" s="100">
        <f>(0 + 'BRAWLERS OFICIAL'!I3)-'BRAWLERS OFICIAL'!I3</f>
        <v>0</v>
      </c>
      <c r="J3" s="100">
        <f>(0 + 'BRAWLERS OFICIAL'!J3)-'BRAWLERS OFICIAL'!J3</f>
        <v>0</v>
      </c>
      <c r="K3" s="100">
        <f>(0 + 'BRAWLERS OFICIAL'!K3)-'BRAWLERS OFICIAL'!K3</f>
        <v>0</v>
      </c>
      <c r="L3" s="100">
        <f>(0 + 'BRAWLERS OFICIAL'!L3)-'BRAWLERS OFICIAL'!L3</f>
        <v>0</v>
      </c>
      <c r="M3" s="100">
        <f>(0 + 'BRAWLERS OFICIAL'!M3)-'BRAWLERS OFICIAL'!M3</f>
        <v>0</v>
      </c>
      <c r="N3" s="100">
        <f>(0 + 'BRAWLERS OFICIAL'!N3)-'BRAWLERS OFICIAL'!N3</f>
        <v>0</v>
      </c>
      <c r="O3" s="100">
        <f>(0 + 'BRAWLERS OFICIAL'!O3)-'BRAWLERS OFICIAL'!O3</f>
        <v>0</v>
      </c>
      <c r="P3" s="100">
        <f>(0 + 'BRAWLERS OFICIAL'!P3)-'BRAWLERS OFICIAL'!P3</f>
        <v>0</v>
      </c>
      <c r="Q3" s="100">
        <f>(0 + 'BRAWLERS OFICIAL'!Q3)-'BRAWLERS OFICIAL'!Q3</f>
        <v>0</v>
      </c>
      <c r="R3" s="100">
        <f>(0 + 'BRAWLERS OFICIAL'!R3)-'BRAWLERS OFICIAL'!R3</f>
        <v>0</v>
      </c>
      <c r="S3" s="100">
        <f>(0 + 'BRAWLERS OFICIAL'!S3)-'BRAWLERS OFICIAL'!S3</f>
        <v>0</v>
      </c>
      <c r="T3" s="100">
        <f>(0 + 'BRAWLERS OFICIAL'!T3)-'BRAWLERS OFICIAL'!T3</f>
        <v>0</v>
      </c>
      <c r="U3" s="100">
        <f>(0 + 'BRAWLERS OFICIAL'!U3)-'BRAWLERS OFICIAL'!U3</f>
        <v>0</v>
      </c>
      <c r="V3" s="100">
        <f>(0 + 'BRAWLERS OFICIAL'!V3)-'BRAWLERS OFICIAL'!V3</f>
        <v>0</v>
      </c>
      <c r="W3" s="100">
        <f>(0 + 'BRAWLERS OFICIAL'!W3)-'BRAWLERS OFICIAL'!W3</f>
        <v>0</v>
      </c>
      <c r="X3" s="103">
        <f>(( 'BRAWLERS OFICIAL'!X3/5*4/3 + 'BRAWLERS OFICIAL'!X3 + AP3 + AY3/3.5 )-'BRAWLERS OFICIAL'!X3)/($BQ3)</f>
        <v>0.7999999999999996</v>
      </c>
      <c r="Y3" s="101">
        <f>((0 + 'BRAWLERS OFICIAL'!Y3)-'BRAWLERS OFICIAL'!Y3)/($BQ3)</f>
        <v>0</v>
      </c>
      <c r="Z3" s="101">
        <f>(((0)/3 + 'BRAWLERS OFICIAL'!Z3)-'BRAWLERS OFICIAL'!Z3)</f>
        <v>0</v>
      </c>
      <c r="AA3" s="101">
        <f>((0 + 'BRAWLERS OFICIAL'!AA3)-'BRAWLERS OFICIAL'!AA3)/($BQ3)</f>
        <v>0</v>
      </c>
      <c r="AB3" s="101">
        <f>((0 + 'BRAWLERS OFICIAL'!AB3)-'BRAWLERS OFICIAL'!AB3)</f>
        <v>0</v>
      </c>
      <c r="AC3" s="101">
        <f>(((0)/4 + 'BRAWLERS OFICIAL'!AC3)-'BRAWLERS OFICIAL'!AC3)/($BQ3)</f>
        <v>0</v>
      </c>
      <c r="AD3" s="101">
        <f>((0 + 'BRAWLERS OFICIAL'!AD3)-'BRAWLERS OFICIAL'!AD3)/($BQ3)</f>
        <v>0</v>
      </c>
      <c r="AE3" s="101">
        <f>((0 + 'BRAWLERS OFICIAL'!AE3)-'BRAWLERS OFICIAL'!AE3)/($BQ3)</f>
        <v>0</v>
      </c>
      <c r="AF3" s="101">
        <f>((0 + 'BRAWLERS OFICIAL'!AF3)-'BRAWLERS OFICIAL'!AF3)/($BQ3)</f>
        <v>0</v>
      </c>
      <c r="AG3" s="101">
        <f>((0 + 'BRAWLERS OFICIAL'!AG3)-'BRAWLERS OFICIAL'!AG3)</f>
        <v>0</v>
      </c>
      <c r="AH3" s="101">
        <f>((0 + 'BRAWLERS OFICIAL'!AH3)-'BRAWLERS OFICIAL'!AH3)</f>
        <v>0</v>
      </c>
      <c r="AI3" s="101">
        <f>((0 + 'BRAWLERS OFICIAL'!AI3)-'BRAWLERS OFICIAL'!AI3)</f>
        <v>0</v>
      </c>
      <c r="AJ3" s="101">
        <f>((0 + 'BRAWLERS OFICIAL'!AJ3)-'BRAWLERS OFICIAL'!AJ3)/($BQ3)</f>
        <v>0</v>
      </c>
      <c r="AK3" s="101">
        <f>((0 + 'BRAWLERS OFICIAL'!AK3)-'BRAWLERS OFICIAL'!AK3)/($BQ3)</f>
        <v>0</v>
      </c>
      <c r="AL3" s="101">
        <f>(((BK3/5+1)*AK3 + 'BRAWLERS OFICIAL'!AL3)-'BRAWLERS OFICIAL'!AL3)/($BQ3)</f>
        <v>0</v>
      </c>
      <c r="AM3" s="101">
        <f>IF( 0 = (1-1), (1-1), ((0 + 'BRAWLERS OFICIAL'!AM3)/1.5)-'BRAWLERS OFICIAL'!AM3 )</f>
        <v>0</v>
      </c>
      <c r="AN3" s="101">
        <f t="shared" ref="AN3:AN17" si="0">IF( 0 = (1-1), (1-1), ( 0 ) )</f>
        <v>0</v>
      </c>
      <c r="AO3" s="101">
        <f>((0 + 'BRAWLERS OFICIAL'!AO3)-'BRAWLERS OFICIAL'!AO3)/($BQ3)</f>
        <v>0</v>
      </c>
      <c r="AP3" s="101">
        <f>((0/1000 + 'BRAWLERS OFICIAL'!AP3)-'BRAWLERS OFICIAL'!AP3)</f>
        <v>0</v>
      </c>
      <c r="AQ3" s="101">
        <f>((0 + 'BRAWLERS OFICIAL'!AQ3)-'BRAWLERS OFICIAL'!AQ3)</f>
        <v>0</v>
      </c>
      <c r="AR3" s="101">
        <f>IF( 0 = (1-1), (1-1), ((0 + 'BRAWLERS OFICIAL'!AR3)/1.5) )</f>
        <v>0</v>
      </c>
      <c r="AS3" s="101">
        <f>IF( 0 = (1-1), (1-1), ((0 + 'BRAWLERS OFICIAL'!AS3)/1.5) )</f>
        <v>0</v>
      </c>
      <c r="AT3" s="101">
        <f>IF( 0 = (1-1), (1-1), ((0 + 'BRAWLERS OFICIAL'!AT3)/2) )</f>
        <v>0</v>
      </c>
      <c r="AU3" s="101">
        <f>((0 + 'BRAWLERS OFICIAL'!AU3)-'BRAWLERS OFICIAL'!AU3)/($BQ3)</f>
        <v>0</v>
      </c>
      <c r="AV3" s="101">
        <f>(((0)/4 + 'BRAWLERS OFICIAL'!AV3)-'BRAWLERS OFICIAL'!AV3)</f>
        <v>0</v>
      </c>
      <c r="AW3" s="101">
        <v>0</v>
      </c>
      <c r="AX3" s="101" t="s">
        <v>390</v>
      </c>
      <c r="AY3" s="100">
        <f>((( 0 )/3 + 'BRAWLERS OFICIAL'!AY3)-'BRAWLERS OFICIAL'!AY3)</f>
        <v>0</v>
      </c>
      <c r="AZ3" s="100">
        <f>((( 0 )/2 + 'BRAWLERS OFICIAL'!AZ3)-'BRAWLERS OFICIAL'!AZ3)/($BQ3)</f>
        <v>0</v>
      </c>
      <c r="BA3" s="100">
        <f>((( 0 )/2 + 'BRAWLERS OFICIAL'!BA3)-'BRAWLERS OFICIAL'!BA3)</f>
        <v>0</v>
      </c>
      <c r="BB3" s="100">
        <f>((( 0 )/3 + 'BRAWLERS OFICIAL'!BB3)-'BRAWLERS OFICIAL'!BB3)</f>
        <v>0</v>
      </c>
      <c r="BC3" s="100">
        <f>((( 0 )/2 + 'BRAWLERS OFICIAL'!BC3)-'BRAWLERS OFICIAL'!BC3)/($BQ3)</f>
        <v>0</v>
      </c>
      <c r="BD3" s="100">
        <f>((( 0 )/3 + 'BRAWLERS OFICIAL'!BD3)-'BRAWLERS OFICIAL'!BD3)</f>
        <v>0</v>
      </c>
      <c r="BE3" s="100">
        <f>((( 0 )/3 + 'BRAWLERS OFICIAL'!BE3)-'BRAWLERS OFICIAL'!BE3)</f>
        <v>0</v>
      </c>
      <c r="BF3" s="100">
        <f>((0 + 'BRAWLERS OFICIAL'!BF3)-'BRAWLERS OFICIAL'!BF3)/($BQ3)</f>
        <v>0</v>
      </c>
      <c r="BG3" s="100">
        <f>((0 + 'BRAWLERS OFICIAL'!BG3)-'BRAWLERS OFICIAL'!BG3)/($BQ3)</f>
        <v>0</v>
      </c>
      <c r="BH3" s="100">
        <f>((( 0 )/2 + 'BRAWLERS OFICIAL'!BH3)-'BRAWLERS OFICIAL'!BH3)</f>
        <v>0</v>
      </c>
      <c r="BI3" s="100">
        <f>((0 + 'BRAWLERS OFICIAL'!BI3)-'BRAWLERS OFICIAL'!BI3)/($BQ3)</f>
        <v>0</v>
      </c>
      <c r="BJ3" s="100">
        <f>((( 0 )/2 + 'BRAWLERS OFICIAL'!BJ3)-'BRAWLERS OFICIAL'!BJ3)</f>
        <v>0</v>
      </c>
      <c r="BK3" s="100">
        <f>((( 0 )/3 + 'BRAWLERS OFICIAL'!BK3)-'BRAWLERS OFICIAL'!BK3)</f>
        <v>0</v>
      </c>
      <c r="BL3" s="100">
        <f>((( 0 )/2 + 'BRAWLERS OFICIAL'!BL3)-'BRAWLERS OFICIAL'!BL3)</f>
        <v>0</v>
      </c>
      <c r="BM3" s="100">
        <f>((0 + 'BRAWLERS OFICIAL'!BM3)-'BRAWLERS OFICIAL'!BM3)/($BQ3)</f>
        <v>0</v>
      </c>
      <c r="BN3" s="100">
        <f>((0 + 'BRAWLERS OFICIAL'!BN3)-'BRAWLERS OFICIAL'!BN3)/($BQ3)</f>
        <v>0</v>
      </c>
      <c r="BO3" s="100">
        <f>((0 + 'BRAWLERS OFICIAL'!BO3)-'BRAWLERS OFICIAL'!BO3)/($BQ3)</f>
        <v>0</v>
      </c>
      <c r="BQ3" s="100">
        <f>('BRAWLERS OFICIAL'!F3 / 'BRAWLERS OFICIAL'!J3 / (1 + ('BRAWLERS OFICIAL'!AA3/5)))</f>
        <v>1.1904761904761907</v>
      </c>
    </row>
    <row r="4" spans="1:69">
      <c r="B4" s="97" t="s">
        <v>470</v>
      </c>
      <c r="C4" s="70" t="s">
        <v>10</v>
      </c>
      <c r="D4" s="134" t="s">
        <v>329</v>
      </c>
      <c r="E4" s="134" t="s">
        <v>362</v>
      </c>
      <c r="F4" s="100">
        <f>(0 + 'BRAWLERS OFICIAL'!F4)-'BRAWLERS OFICIAL'!F4</f>
        <v>0</v>
      </c>
      <c r="G4" s="100">
        <f>(0 + 'BRAWLERS OFICIAL'!G4)-'BRAWLERS OFICIAL'!G4</f>
        <v>0</v>
      </c>
      <c r="H4" s="100">
        <f>(0 + 'BRAWLERS OFICIAL'!H4)-'BRAWLERS OFICIAL'!H4</f>
        <v>0</v>
      </c>
      <c r="I4" s="100">
        <f>(0 + 'BRAWLERS OFICIAL'!I4)-'BRAWLERS OFICIAL'!I4</f>
        <v>0</v>
      </c>
      <c r="J4" s="100">
        <f>(0 + 'BRAWLERS OFICIAL'!J4)-'BRAWLERS OFICIAL'!J4</f>
        <v>0</v>
      </c>
      <c r="K4" s="100">
        <f>(0 + 'BRAWLERS OFICIAL'!K4)-'BRAWLERS OFICIAL'!K4</f>
        <v>0</v>
      </c>
      <c r="L4" s="100">
        <f>(0 + 'BRAWLERS OFICIAL'!L4)-'BRAWLERS OFICIAL'!L4</f>
        <v>0</v>
      </c>
      <c r="M4" s="100">
        <f>(0 + 'BRAWLERS OFICIAL'!M4)-'BRAWLERS OFICIAL'!M4</f>
        <v>0</v>
      </c>
      <c r="N4" s="100">
        <f>(0 + 'BRAWLERS OFICIAL'!N4)-'BRAWLERS OFICIAL'!N4</f>
        <v>0</v>
      </c>
      <c r="O4" s="100">
        <f>(0 + 'BRAWLERS OFICIAL'!O4)-'BRAWLERS OFICIAL'!O4</f>
        <v>0</v>
      </c>
      <c r="P4" s="100">
        <f>(0 + 'BRAWLERS OFICIAL'!P4)-'BRAWLERS OFICIAL'!P4</f>
        <v>0</v>
      </c>
      <c r="Q4" s="100">
        <f>(0 + 'BRAWLERS OFICIAL'!Q4)-'BRAWLERS OFICIAL'!Q4</f>
        <v>0</v>
      </c>
      <c r="R4" s="100">
        <f>(0 + 'BRAWLERS OFICIAL'!R4)-'BRAWLERS OFICIAL'!R4</f>
        <v>0</v>
      </c>
      <c r="S4" s="100">
        <f>(0 + 'BRAWLERS OFICIAL'!S4)-'BRAWLERS OFICIAL'!S4</f>
        <v>0</v>
      </c>
      <c r="T4" s="100">
        <f>(0 + 'BRAWLERS OFICIAL'!T4)-'BRAWLERS OFICIAL'!T4</f>
        <v>0</v>
      </c>
      <c r="U4" s="100">
        <f>(0 + 'BRAWLERS OFICIAL'!U4)-'BRAWLERS OFICIAL'!U4</f>
        <v>0</v>
      </c>
      <c r="V4" s="100">
        <f>(0 + 'BRAWLERS OFICIAL'!V4)-'BRAWLERS OFICIAL'!V4</f>
        <v>0</v>
      </c>
      <c r="W4" s="100">
        <f>(0 + 'BRAWLERS OFICIAL'!W4)-'BRAWLERS OFICIAL'!W4</f>
        <v>0</v>
      </c>
      <c r="X4" s="103">
        <f>(( 0 + 'BRAWLERS OFICIAL'!X4 + AP4 + AY4/3.5 )-'BRAWLERS OFICIAL'!X4)/($BQ4)</f>
        <v>0</v>
      </c>
      <c r="Y4" s="101">
        <f>((0 + 'BRAWLERS OFICIAL'!Y4)-'BRAWLERS OFICIAL'!Y4)/($BQ4)</f>
        <v>0</v>
      </c>
      <c r="Z4" s="101">
        <f>(((0)/3 + 'BRAWLERS OFICIAL'!Z4)-'BRAWLERS OFICIAL'!Z4)</f>
        <v>0</v>
      </c>
      <c r="AA4" s="101">
        <f>((0 + 'BRAWLERS OFICIAL'!AA4)-'BRAWLERS OFICIAL'!AA4)/($BQ4)</f>
        <v>0</v>
      </c>
      <c r="AB4" s="101">
        <f>((0 + 'BRAWLERS OFICIAL'!AB4)-'BRAWLERS OFICIAL'!AB4)</f>
        <v>0</v>
      </c>
      <c r="AC4" s="101">
        <f>(((0)/4 + 'BRAWLERS OFICIAL'!AC4)-'BRAWLERS OFICIAL'!AC4)/($BQ4)</f>
        <v>0</v>
      </c>
      <c r="AD4" s="101">
        <f>((0 + 'BRAWLERS OFICIAL'!AD4)-'BRAWLERS OFICIAL'!AD4)/($BQ4)</f>
        <v>0</v>
      </c>
      <c r="AE4" s="101">
        <f>((0 + 'BRAWLERS OFICIAL'!AE4)-'BRAWLERS OFICIAL'!AE4)/($BQ4)</f>
        <v>0</v>
      </c>
      <c r="AF4" s="101">
        <f>((0 + 'BRAWLERS OFICIAL'!AF4)-'BRAWLERS OFICIAL'!AF4)/($BQ4)</f>
        <v>0</v>
      </c>
      <c r="AG4" s="101">
        <f>((0 + 'BRAWLERS OFICIAL'!AG4)-'BRAWLERS OFICIAL'!AG4)</f>
        <v>0</v>
      </c>
      <c r="AH4" s="101">
        <f>((0 + 'BRAWLERS OFICIAL'!AH4)-'BRAWLERS OFICIAL'!AH4)</f>
        <v>0</v>
      </c>
      <c r="AI4" s="101">
        <f>((0 + 'BRAWLERS OFICIAL'!AI4)-'BRAWLERS OFICIAL'!AI4)</f>
        <v>0</v>
      </c>
      <c r="AJ4" s="101">
        <f>((1 + 'BRAWLERS OFICIAL'!AJ4)-'BRAWLERS OFICIAL'!AJ4)/($BQ4)</f>
        <v>1</v>
      </c>
      <c r="AK4" s="101">
        <f>((0 + 'BRAWLERS OFICIAL'!AK4)-'BRAWLERS OFICIAL'!AK4)/($BQ4)</f>
        <v>0</v>
      </c>
      <c r="AL4" s="101">
        <f>(((BK4/5+1)*AK4 + 'BRAWLERS OFICIAL'!AL4)-'BRAWLERS OFICIAL'!AL4)/($BQ4)</f>
        <v>0</v>
      </c>
      <c r="AM4" s="101">
        <f>IF( 0 = (1-1), (1-1), ((0 + 'BRAWLERS OFICIAL'!AM4)/1.5)-'BRAWLERS OFICIAL'!AM4 )</f>
        <v>0</v>
      </c>
      <c r="AN4" s="101">
        <f t="shared" si="0"/>
        <v>0</v>
      </c>
      <c r="AO4" s="101">
        <f>((0 + 'BRAWLERS OFICIAL'!AO4)-'BRAWLERS OFICIAL'!AO4)/($BQ4)</f>
        <v>0</v>
      </c>
      <c r="AP4" s="101">
        <f>((0/1000 + 'BRAWLERS OFICIAL'!AP4)-'BRAWLERS OFICIAL'!AP4)</f>
        <v>0</v>
      </c>
      <c r="AQ4" s="101">
        <f>((0 + 'BRAWLERS OFICIAL'!AQ4)-'BRAWLERS OFICIAL'!AQ4)</f>
        <v>0</v>
      </c>
      <c r="AR4" s="101">
        <f>IF( 0 = (1-1), (1-1), ((0 + 'BRAWLERS OFICIAL'!AR4)/1.5) )</f>
        <v>0</v>
      </c>
      <c r="AS4" s="101">
        <f>IF( 0 = (1-1), (1-1), ((0 + 'BRAWLERS OFICIAL'!AS4)/1.5) )</f>
        <v>0</v>
      </c>
      <c r="AT4" s="101">
        <f>IF( 0 = (1-1), (1-1), ((0 + 'BRAWLERS OFICIAL'!AT4)/2) )</f>
        <v>0</v>
      </c>
      <c r="AU4" s="101">
        <f>((0 + 'BRAWLERS OFICIAL'!AU4)-'BRAWLERS OFICIAL'!AU4)/($BQ4)</f>
        <v>0</v>
      </c>
      <c r="AV4" s="101">
        <f>(((0)/4 + 'BRAWLERS OFICIAL'!AV4)-'BRAWLERS OFICIAL'!AV4)</f>
        <v>0</v>
      </c>
      <c r="AW4" s="101">
        <v>5</v>
      </c>
      <c r="AX4" s="101" t="s">
        <v>471</v>
      </c>
      <c r="AY4" s="100">
        <f>((( 0 )/3 + 'BRAWLERS OFICIAL'!AY4)-'BRAWLERS OFICIAL'!AY4)</f>
        <v>0</v>
      </c>
      <c r="AZ4" s="100">
        <f>((( 0 )/2 + 'BRAWLERS OFICIAL'!AZ4)-'BRAWLERS OFICIAL'!AZ4)/($BQ4)</f>
        <v>0</v>
      </c>
      <c r="BA4" s="100">
        <f>((( 0 )/2 + 'BRAWLERS OFICIAL'!BA4)-'BRAWLERS OFICIAL'!BA4)</f>
        <v>0</v>
      </c>
      <c r="BB4" s="100">
        <f>((( 0 )/3 + 'BRAWLERS OFICIAL'!BB4)-'BRAWLERS OFICIAL'!BB4)</f>
        <v>0</v>
      </c>
      <c r="BC4" s="100">
        <f>((( 0 )/2 + 'BRAWLERS OFICIAL'!BC4)-'BRAWLERS OFICIAL'!BC4)/($BQ4)</f>
        <v>0</v>
      </c>
      <c r="BD4" s="100">
        <f>((( 0 )/3 + 'BRAWLERS OFICIAL'!BD4)-'BRAWLERS OFICIAL'!BD4)</f>
        <v>0</v>
      </c>
      <c r="BE4" s="100">
        <f>((( 0 )/3 + 'BRAWLERS OFICIAL'!BE4)-'BRAWLERS OFICIAL'!BE4)</f>
        <v>0</v>
      </c>
      <c r="BF4" s="100">
        <f>((0 + 'BRAWLERS OFICIAL'!BF4)-'BRAWLERS OFICIAL'!BF4)/($BQ4)</f>
        <v>0</v>
      </c>
      <c r="BG4" s="100">
        <f>((0 + 'BRAWLERS OFICIAL'!BG4)-'BRAWLERS OFICIAL'!BG4)/($BQ4)</f>
        <v>0</v>
      </c>
      <c r="BH4" s="100">
        <f>((( 0 )/2 + 'BRAWLERS OFICIAL'!BH4)-'BRAWLERS OFICIAL'!BH4)</f>
        <v>0</v>
      </c>
      <c r="BI4" s="100">
        <f>((0 + 'BRAWLERS OFICIAL'!BI4)-'BRAWLERS OFICIAL'!BI4)/($BQ4)</f>
        <v>0</v>
      </c>
      <c r="BJ4" s="100">
        <f>((( 0 )/2 + 'BRAWLERS OFICIAL'!BJ4)-'BRAWLERS OFICIAL'!BJ4)</f>
        <v>0</v>
      </c>
      <c r="BK4" s="100">
        <f>((( 0 )/3 + 'BRAWLERS OFICIAL'!BK4)-'BRAWLERS OFICIAL'!BK4)</f>
        <v>0</v>
      </c>
      <c r="BL4" s="100">
        <f>((( 0 )/2 + 'BRAWLERS OFICIAL'!BL4)-'BRAWLERS OFICIAL'!BL4)</f>
        <v>0</v>
      </c>
      <c r="BM4" s="100">
        <f>((0 + 'BRAWLERS OFICIAL'!BM4)-'BRAWLERS OFICIAL'!BM4)/($BQ4)</f>
        <v>0</v>
      </c>
      <c r="BN4" s="100">
        <f>((0 + 'BRAWLERS OFICIAL'!BN4)-'BRAWLERS OFICIAL'!BN4)/($BQ4)</f>
        <v>0</v>
      </c>
      <c r="BO4" s="100">
        <f>((0 + 'BRAWLERS OFICIAL'!BO4)-'BRAWLERS OFICIAL'!BO4)/($BQ4)</f>
        <v>0</v>
      </c>
      <c r="BQ4" s="100">
        <v>1</v>
      </c>
    </row>
    <row r="5" spans="1:69">
      <c r="B5" s="97" t="s">
        <v>472</v>
      </c>
      <c r="C5" s="98" t="s">
        <v>88</v>
      </c>
      <c r="D5" s="135" t="s">
        <v>360</v>
      </c>
      <c r="E5" s="135" t="s">
        <v>362</v>
      </c>
      <c r="F5" s="100">
        <f>(0 + 'BRAWLERS OFICIAL'!F5)-'BRAWLERS OFICIAL'!F5</f>
        <v>0</v>
      </c>
      <c r="G5" s="100">
        <f>(0 + 'BRAWLERS OFICIAL'!G5)-'BRAWLERS OFICIAL'!G5</f>
        <v>0</v>
      </c>
      <c r="H5" s="100">
        <f>(0 + 'BRAWLERS OFICIAL'!H5)-'BRAWLERS OFICIAL'!H5</f>
        <v>0</v>
      </c>
      <c r="I5" s="100">
        <f>(0 + 'BRAWLERS OFICIAL'!I5)-'BRAWLERS OFICIAL'!I5</f>
        <v>0</v>
      </c>
      <c r="J5" s="100">
        <f>(0 + 'BRAWLERS OFICIAL'!J5)-'BRAWLERS OFICIAL'!J5</f>
        <v>0</v>
      </c>
      <c r="K5" s="100">
        <f>(0 + 'BRAWLERS OFICIAL'!K5)-'BRAWLERS OFICIAL'!K5</f>
        <v>0</v>
      </c>
      <c r="L5" s="100">
        <f>(0 + 'BRAWLERS OFICIAL'!L5)-'BRAWLERS OFICIAL'!L5</f>
        <v>0</v>
      </c>
      <c r="M5" s="100">
        <f>(0 + 'BRAWLERS OFICIAL'!M5)-'BRAWLERS OFICIAL'!M5</f>
        <v>0</v>
      </c>
      <c r="N5" s="100">
        <f>(0 + 'BRAWLERS OFICIAL'!N5)-'BRAWLERS OFICIAL'!N5</f>
        <v>0</v>
      </c>
      <c r="O5" s="100">
        <f>(0 + 'BRAWLERS OFICIAL'!O5)-'BRAWLERS OFICIAL'!O5</f>
        <v>0</v>
      </c>
      <c r="P5" s="100">
        <f>(0 + 'BRAWLERS OFICIAL'!P5)-'BRAWLERS OFICIAL'!P5</f>
        <v>0</v>
      </c>
      <c r="Q5" s="100">
        <f>(0 + 'BRAWLERS OFICIAL'!Q5)-'BRAWLERS OFICIAL'!Q5</f>
        <v>0</v>
      </c>
      <c r="R5" s="100">
        <f>(0 + 'BRAWLERS OFICIAL'!R5)-'BRAWLERS OFICIAL'!R5</f>
        <v>0</v>
      </c>
      <c r="S5" s="100">
        <f>(0 + 'BRAWLERS OFICIAL'!S5)-'BRAWLERS OFICIAL'!S5</f>
        <v>0</v>
      </c>
      <c r="T5" s="100">
        <f>(0 + 'BRAWLERS OFICIAL'!T5)-'BRAWLERS OFICIAL'!T5</f>
        <v>0</v>
      </c>
      <c r="U5" s="100">
        <f>(0 + 'BRAWLERS OFICIAL'!U5)-'BRAWLERS OFICIAL'!U5</f>
        <v>0</v>
      </c>
      <c r="V5" s="100">
        <f>(0 + 'BRAWLERS OFICIAL'!V5)-'BRAWLERS OFICIAL'!V5</f>
        <v>0</v>
      </c>
      <c r="W5" s="100">
        <f>(0 + 'BRAWLERS OFICIAL'!W5)-'BRAWLERS OFICIAL'!W5</f>
        <v>0</v>
      </c>
      <c r="X5" s="103">
        <f>(( 0 + 'BRAWLERS OFICIAL'!X5 + AP5 + AY5/3.5 )-'BRAWLERS OFICIAL'!X5)/($BQ5)</f>
        <v>0</v>
      </c>
      <c r="Y5" s="101">
        <f>((0 + 'BRAWLERS OFICIAL'!Y5)-'BRAWLERS OFICIAL'!Y5)/($BQ5)</f>
        <v>0</v>
      </c>
      <c r="Z5" s="101">
        <f>(((3 + 2 + 4)/3 + 'BRAWLERS OFICIAL'!Z5)-'BRAWLERS OFICIAL'!Z5)</f>
        <v>3</v>
      </c>
      <c r="AA5" s="101">
        <f>((0 + 'BRAWLERS OFICIAL'!AA5)-'BRAWLERS OFICIAL'!AA5)/($BQ5)</f>
        <v>0</v>
      </c>
      <c r="AB5" s="101">
        <f>((0 + 'BRAWLERS OFICIAL'!AB5)-'BRAWLERS OFICIAL'!AB5)</f>
        <v>0</v>
      </c>
      <c r="AC5" s="101">
        <f>(((0)/4 + 'BRAWLERS OFICIAL'!AC5)-'BRAWLERS OFICIAL'!AC5)/($BQ5)</f>
        <v>0</v>
      </c>
      <c r="AD5" s="101">
        <f>((0 + 'BRAWLERS OFICIAL'!AD5)-'BRAWLERS OFICIAL'!AD5)/($BQ5)</f>
        <v>0</v>
      </c>
      <c r="AE5" s="101">
        <f>((0 + 'BRAWLERS OFICIAL'!AE5)-'BRAWLERS OFICIAL'!AE5)/($BQ5)</f>
        <v>0</v>
      </c>
      <c r="AF5" s="101">
        <f>((0 + 'BRAWLERS OFICIAL'!AF5)-'BRAWLERS OFICIAL'!AF5)/($BQ5)</f>
        <v>0</v>
      </c>
      <c r="AG5" s="101">
        <f>((0 + 'BRAWLERS OFICIAL'!AG5)-'BRAWLERS OFICIAL'!AG5)</f>
        <v>0</v>
      </c>
      <c r="AH5" s="101">
        <f>((0 + 'BRAWLERS OFICIAL'!AH5)-'BRAWLERS OFICIAL'!AH5)</f>
        <v>0</v>
      </c>
      <c r="AI5" s="101">
        <f>((0 + 'BRAWLERS OFICIAL'!AI5)-'BRAWLERS OFICIAL'!AI5)</f>
        <v>0</v>
      </c>
      <c r="AJ5" s="101">
        <f>((10)-'BRAWLERS OFICIAL'!AJ5)/($BQ5)</f>
        <v>2</v>
      </c>
      <c r="AK5" s="101">
        <f>((0 + 'BRAWLERS OFICIAL'!AK5)-'BRAWLERS OFICIAL'!AK5)/($BQ5)</f>
        <v>0</v>
      </c>
      <c r="AL5" s="101">
        <f>(((BK5/5+1)*AK5 + 'BRAWLERS OFICIAL'!AL5)-'BRAWLERS OFICIAL'!AL5)/($BQ5)</f>
        <v>0</v>
      </c>
      <c r="AM5" s="101">
        <f>IF( 0 = (1-1), (1-1), ((0 + 'BRAWLERS OFICIAL'!AM5)/1.5)-'BRAWLERS OFICIAL'!AM5 )</f>
        <v>0</v>
      </c>
      <c r="AN5" s="101">
        <f t="shared" si="0"/>
        <v>0</v>
      </c>
      <c r="AO5" s="101">
        <f>((0 + 'BRAWLERS OFICIAL'!AO5)-'BRAWLERS OFICIAL'!AO5)/($BQ5)</f>
        <v>0</v>
      </c>
      <c r="AP5" s="101">
        <f>((0/1000 + 'BRAWLERS OFICIAL'!AP5)-'BRAWLERS OFICIAL'!AP5)</f>
        <v>0</v>
      </c>
      <c r="AQ5" s="101">
        <f>((0 + 'BRAWLERS OFICIAL'!AQ5)-'BRAWLERS OFICIAL'!AQ5)</f>
        <v>0</v>
      </c>
      <c r="AR5" s="101">
        <f>IF( 0 = (1-1), (1-1), ((0 + 'BRAWLERS OFICIAL'!AR5)/1.5) )</f>
        <v>0</v>
      </c>
      <c r="AS5" s="101">
        <f>IF( 0 = (1-1), (1-1), ((0 + 'BRAWLERS OFICIAL'!AS5)/1.5) )</f>
        <v>0</v>
      </c>
      <c r="AT5" s="101">
        <f>IF( 0 = (1-1), (1-1), ((0 + 'BRAWLERS OFICIAL'!AT5)/2) )</f>
        <v>0</v>
      </c>
      <c r="AU5" s="101">
        <f>((0 + 'BRAWLERS OFICIAL'!AU5)-'BRAWLERS OFICIAL'!AU5)/($BQ5)</f>
        <v>0</v>
      </c>
      <c r="AV5" s="101">
        <f>(((0)/4 + 'BRAWLERS OFICIAL'!AV5)-'BRAWLERS OFICIAL'!AV5)</f>
        <v>0</v>
      </c>
      <c r="AW5" s="101">
        <v>2.5</v>
      </c>
      <c r="AX5" s="101" t="s">
        <v>473</v>
      </c>
      <c r="AY5" s="100">
        <f>((( 0 )/3 + 'BRAWLERS OFICIAL'!AY5)-'BRAWLERS OFICIAL'!AY5)</f>
        <v>0</v>
      </c>
      <c r="AZ5" s="100">
        <f>((( 0 )/2 + 'BRAWLERS OFICIAL'!AZ5)-'BRAWLERS OFICIAL'!AZ5)/($BQ5)</f>
        <v>0</v>
      </c>
      <c r="BA5" s="100">
        <f>((( 0 )/2 + 'BRAWLERS OFICIAL'!BA5)-'BRAWLERS OFICIAL'!BA5)</f>
        <v>0</v>
      </c>
      <c r="BB5" s="100">
        <f>((( 0 )/3 + 'BRAWLERS OFICIAL'!BB5)-'BRAWLERS OFICIAL'!BB5)</f>
        <v>0</v>
      </c>
      <c r="BC5" s="100">
        <f>((( 0 )/2 + 'BRAWLERS OFICIAL'!BC5)-'BRAWLERS OFICIAL'!BC5)/($BQ5)</f>
        <v>0</v>
      </c>
      <c r="BD5" s="100">
        <f>((( 0 )/3 + 'BRAWLERS OFICIAL'!BD5)-'BRAWLERS OFICIAL'!BD5)</f>
        <v>0</v>
      </c>
      <c r="BE5" s="100">
        <f>((( 0 )/3 + 'BRAWLERS OFICIAL'!BE5)-'BRAWLERS OFICIAL'!BE5)</f>
        <v>0</v>
      </c>
      <c r="BF5" s="100">
        <f>((0 + 'BRAWLERS OFICIAL'!BF5)-'BRAWLERS OFICIAL'!BF5)/($BQ5)</f>
        <v>0</v>
      </c>
      <c r="BG5" s="100">
        <f>((0 + 'BRAWLERS OFICIAL'!BG5)-'BRAWLERS OFICIAL'!BG5)/($BQ5)</f>
        <v>0</v>
      </c>
      <c r="BH5" s="100">
        <f>((( 0 )/2 + 'BRAWLERS OFICIAL'!BH5)-'BRAWLERS OFICIAL'!BH5)</f>
        <v>0</v>
      </c>
      <c r="BI5" s="100">
        <f>((0 + 'BRAWLERS OFICIAL'!BI5)-'BRAWLERS OFICIAL'!BI5)/($BQ5)</f>
        <v>0</v>
      </c>
      <c r="BJ5" s="100">
        <f>((( 0 )/2 + 'BRAWLERS OFICIAL'!BJ5)-'BRAWLERS OFICIAL'!BJ5)</f>
        <v>0</v>
      </c>
      <c r="BK5" s="100">
        <f>((( 0 )/3 + 'BRAWLERS OFICIAL'!BK5)-'BRAWLERS OFICIAL'!BK5)</f>
        <v>0</v>
      </c>
      <c r="BL5" s="100">
        <f>((( 0 )/2 + 'BRAWLERS OFICIAL'!BL5)-'BRAWLERS OFICIAL'!BL5)</f>
        <v>0</v>
      </c>
      <c r="BM5" s="100">
        <f>((0 + 'BRAWLERS OFICIAL'!BM5)-'BRAWLERS OFICIAL'!BM5)/($BQ5)</f>
        <v>0</v>
      </c>
      <c r="BN5" s="100">
        <f>((0 + 'BRAWLERS OFICIAL'!BN5)-'BRAWLERS OFICIAL'!BN5)/($BQ5)</f>
        <v>0</v>
      </c>
      <c r="BO5" s="100">
        <f>((0 + 'BRAWLERS OFICIAL'!BO5)-'BRAWLERS OFICIAL'!BO5)/($BQ5)</f>
        <v>0</v>
      </c>
      <c r="BQ5" s="100">
        <f>1/0.4</f>
        <v>2.5</v>
      </c>
    </row>
    <row r="6" spans="1:69">
      <c r="B6" s="97" t="s">
        <v>474</v>
      </c>
      <c r="C6" s="70" t="s">
        <v>96</v>
      </c>
      <c r="D6" s="134" t="s">
        <v>383</v>
      </c>
      <c r="E6" s="134" t="s">
        <v>325</v>
      </c>
      <c r="F6" s="100">
        <f>(0 + 'BRAWLERS OFICIAL'!F6)-'BRAWLERS OFICIAL'!F6</f>
        <v>0</v>
      </c>
      <c r="G6" s="100">
        <f>(0 + 'BRAWLERS OFICIAL'!G6)-'BRAWLERS OFICIAL'!G6</f>
        <v>0</v>
      </c>
      <c r="H6" s="100">
        <f>(0 + 'BRAWLERS OFICIAL'!H6)-'BRAWLERS OFICIAL'!H6</f>
        <v>0</v>
      </c>
      <c r="I6" s="100">
        <f>(0 + 'BRAWLERS OFICIAL'!I6)-'BRAWLERS OFICIAL'!I6</f>
        <v>0</v>
      </c>
      <c r="J6" s="100">
        <f>(0 + 'BRAWLERS OFICIAL'!J6)-'BRAWLERS OFICIAL'!J6</f>
        <v>0</v>
      </c>
      <c r="K6" s="100">
        <f>(0 + 'BRAWLERS OFICIAL'!K6)-'BRAWLERS OFICIAL'!K6</f>
        <v>0</v>
      </c>
      <c r="L6" s="100">
        <f>(0.5 + 'BRAWLERS OFICIAL'!L6)-'BRAWLERS OFICIAL'!L6</f>
        <v>0.5</v>
      </c>
      <c r="M6" s="100">
        <f>(0.5 + 'BRAWLERS OFICIAL'!M6)-'BRAWLERS OFICIAL'!M6</f>
        <v>0.5</v>
      </c>
      <c r="N6" s="100">
        <f>(1 + 'BRAWLERS OFICIAL'!N6)-'BRAWLERS OFICIAL'!N6</f>
        <v>1</v>
      </c>
      <c r="O6" s="100">
        <f>(0 + 'BRAWLERS OFICIAL'!O6)-'BRAWLERS OFICIAL'!O6</f>
        <v>0</v>
      </c>
      <c r="P6" s="100">
        <f>(0 + 'BRAWLERS OFICIAL'!P6)-'BRAWLERS OFICIAL'!P6</f>
        <v>0</v>
      </c>
      <c r="Q6" s="100">
        <f>(0 + 'BRAWLERS OFICIAL'!Q6)-'BRAWLERS OFICIAL'!Q6</f>
        <v>0</v>
      </c>
      <c r="R6" s="100">
        <f>(0 + 'BRAWLERS OFICIAL'!R6)-'BRAWLERS OFICIAL'!R6</f>
        <v>0</v>
      </c>
      <c r="S6" s="100">
        <f>(0 + 'BRAWLERS OFICIAL'!S6)-'BRAWLERS OFICIAL'!S6</f>
        <v>0</v>
      </c>
      <c r="T6" s="100">
        <f>(0 + 'BRAWLERS OFICIAL'!T6)-'BRAWLERS OFICIAL'!T6</f>
        <v>0</v>
      </c>
      <c r="U6" s="100">
        <f>(0 + 'BRAWLERS OFICIAL'!U6)-'BRAWLERS OFICIAL'!U6</f>
        <v>0</v>
      </c>
      <c r="V6" s="100">
        <f>(0 + 'BRAWLERS OFICIAL'!V6)-'BRAWLERS OFICIAL'!V6</f>
        <v>0</v>
      </c>
      <c r="W6" s="100">
        <f>(0 + 'BRAWLERS OFICIAL'!W6)-'BRAWLERS OFICIAL'!W6</f>
        <v>0</v>
      </c>
      <c r="X6" s="103">
        <f>(( 0 + 'BRAWLERS OFICIAL'!X6 + AP6 + AY6/3.5 )-'BRAWLERS OFICIAL'!X6)/($BQ6)</f>
        <v>0</v>
      </c>
      <c r="Y6" s="101">
        <f>((1 + 'BRAWLERS OFICIAL'!Y6)-'BRAWLERS OFICIAL'!Y6)/($BQ6)</f>
        <v>1</v>
      </c>
      <c r="Z6" s="101">
        <f>(((0)/3 + 'BRAWLERS OFICIAL'!Z6)-'BRAWLERS OFICIAL'!Z6)</f>
        <v>0</v>
      </c>
      <c r="AA6" s="101">
        <f>((0 + 'BRAWLERS OFICIAL'!AA6)-'BRAWLERS OFICIAL'!AA6)/($BQ6)</f>
        <v>0</v>
      </c>
      <c r="AB6" s="101">
        <f>((1 + 'BRAWLERS OFICIAL'!AB6)-'BRAWLERS OFICIAL'!AB6)</f>
        <v>1</v>
      </c>
      <c r="AC6" s="101">
        <f>(((0)/4 + 'BRAWLERS OFICIAL'!AC6)-'BRAWLERS OFICIAL'!AC6)/($BQ6)</f>
        <v>0</v>
      </c>
      <c r="AD6" s="101">
        <f>((0 + 'BRAWLERS OFICIAL'!AD6)-'BRAWLERS OFICIAL'!AD6)/($BQ6)</f>
        <v>0</v>
      </c>
      <c r="AE6" s="101">
        <f>((0 + 'BRAWLERS OFICIAL'!AE6)-'BRAWLERS OFICIAL'!AE6)/($BQ6)</f>
        <v>0</v>
      </c>
      <c r="AF6" s="101">
        <f>((0 + 'BRAWLERS OFICIAL'!AF6)-'BRAWLERS OFICIAL'!AF6)/($BQ6)</f>
        <v>0</v>
      </c>
      <c r="AG6" s="101">
        <f>((0 + 'BRAWLERS OFICIAL'!AG6)-'BRAWLERS OFICIAL'!AG6)</f>
        <v>0</v>
      </c>
      <c r="AH6" s="101">
        <f>((0 + 'BRAWLERS OFICIAL'!AH6)-'BRAWLERS OFICIAL'!AH6)</f>
        <v>0</v>
      </c>
      <c r="AI6" s="101">
        <f>((0 + 'BRAWLERS OFICIAL'!AI6)-'BRAWLERS OFICIAL'!AI6)</f>
        <v>0</v>
      </c>
      <c r="AJ6" s="101">
        <f>((0 + 'BRAWLERS OFICIAL'!AJ6)-'BRAWLERS OFICIAL'!AJ6)/($BQ6)</f>
        <v>0</v>
      </c>
      <c r="AK6" s="101">
        <f>((0 + 'BRAWLERS OFICIAL'!AK6)-'BRAWLERS OFICIAL'!AK6)/($BQ6)</f>
        <v>0</v>
      </c>
      <c r="AL6" s="101">
        <f>(((BK6/5+1)*AK6 + 'BRAWLERS OFICIAL'!AL6)-'BRAWLERS OFICIAL'!AL6)/($BQ6)</f>
        <v>0</v>
      </c>
      <c r="AM6" s="101">
        <f>IF( 0 = (1-1), (1-1), ((0 + 'BRAWLERS OFICIAL'!AM6)/1.5)-'BRAWLERS OFICIAL'!AM6 )</f>
        <v>0</v>
      </c>
      <c r="AN6" s="101">
        <f t="shared" si="0"/>
        <v>0</v>
      </c>
      <c r="AO6" s="101">
        <f>((0 + 'BRAWLERS OFICIAL'!AO6)-'BRAWLERS OFICIAL'!AO6)/($BQ6)</f>
        <v>0</v>
      </c>
      <c r="AP6" s="101">
        <f>((0/1000 + 'BRAWLERS OFICIAL'!AP6)-'BRAWLERS OFICIAL'!AP6)</f>
        <v>0</v>
      </c>
      <c r="AQ6" s="101">
        <f>((0 + 'BRAWLERS OFICIAL'!AQ6)-'BRAWLERS OFICIAL'!AQ6)</f>
        <v>0</v>
      </c>
      <c r="AR6" s="101">
        <f>IF( 0 = (1-1), (1-1), ((0 + 'BRAWLERS OFICIAL'!AR6)/1.5) )</f>
        <v>0</v>
      </c>
      <c r="AS6" s="101">
        <f>IF( 0 = (1-1), (1-1), ((0 + 'BRAWLERS OFICIAL'!AS6)/1.5) )</f>
        <v>0</v>
      </c>
      <c r="AT6" s="101">
        <f>IF( 0 = (1-1), (1-1), ((0 + 'BRAWLERS OFICIAL'!AT6)/2) )</f>
        <v>0</v>
      </c>
      <c r="AU6" s="101">
        <f>((2 + 'BRAWLERS OFICIAL'!AU6)-'BRAWLERS OFICIAL'!AU6)/($BQ6)</f>
        <v>2</v>
      </c>
      <c r="AV6" s="101">
        <f>(((0)/4 + 'BRAWLERS OFICIAL'!AV6)-'BRAWLERS OFICIAL'!AV6)</f>
        <v>0</v>
      </c>
      <c r="AW6" s="101">
        <v>0</v>
      </c>
      <c r="AX6" s="101" t="s">
        <v>390</v>
      </c>
      <c r="AY6" s="100">
        <f>((( 0 )/3 + 'BRAWLERS OFICIAL'!AY6)-'BRAWLERS OFICIAL'!AY6)</f>
        <v>0</v>
      </c>
      <c r="AZ6" s="100">
        <f>((( 0 )/2 + 'BRAWLERS OFICIAL'!AZ6)-'BRAWLERS OFICIAL'!AZ6)/($BQ6)</f>
        <v>0</v>
      </c>
      <c r="BA6" s="100">
        <f>((( 0 )/2 + 'BRAWLERS OFICIAL'!BA6)-'BRAWLERS OFICIAL'!BA6)</f>
        <v>0</v>
      </c>
      <c r="BB6" s="100">
        <f>((( 0 )/3 + 'BRAWLERS OFICIAL'!BB6)-'BRAWLERS OFICIAL'!BB6)</f>
        <v>0</v>
      </c>
      <c r="BC6" s="100">
        <f>((( 0 )/2 + 'BRAWLERS OFICIAL'!BC6)-'BRAWLERS OFICIAL'!BC6)/($BQ6)</f>
        <v>0</v>
      </c>
      <c r="BD6" s="100">
        <f>((( 0 )/3 + 'BRAWLERS OFICIAL'!BD6)-'BRAWLERS OFICIAL'!BD6)</f>
        <v>0</v>
      </c>
      <c r="BE6" s="100">
        <f>((( 0 )/3 + 'BRAWLERS OFICIAL'!BE6)-'BRAWLERS OFICIAL'!BE6)</f>
        <v>0</v>
      </c>
      <c r="BF6" s="100">
        <f>((0 + 'BRAWLERS OFICIAL'!BF6)-'BRAWLERS OFICIAL'!BF6)/($BQ6)</f>
        <v>0</v>
      </c>
      <c r="BG6" s="100">
        <f>((0 + 'BRAWLERS OFICIAL'!BG6)-'BRAWLERS OFICIAL'!BG6)/($BQ6)</f>
        <v>0</v>
      </c>
      <c r="BH6" s="100">
        <f>((( 0 )/2 + 'BRAWLERS OFICIAL'!BH6)-'BRAWLERS OFICIAL'!BH6)</f>
        <v>0</v>
      </c>
      <c r="BI6" s="100">
        <f>((0 + 'BRAWLERS OFICIAL'!BI6)-'BRAWLERS OFICIAL'!BI6)/($BQ6)</f>
        <v>0</v>
      </c>
      <c r="BJ6" s="100">
        <f>((( 0 )/2 + 'BRAWLERS OFICIAL'!BJ6)-'BRAWLERS OFICIAL'!BJ6)</f>
        <v>0</v>
      </c>
      <c r="BK6" s="100">
        <f>((( 0 )/3 + 'BRAWLERS OFICIAL'!BK6)-'BRAWLERS OFICIAL'!BK6)</f>
        <v>0</v>
      </c>
      <c r="BL6" s="100">
        <f>((( 0 )/2 + 'BRAWLERS OFICIAL'!BL6)-'BRAWLERS OFICIAL'!BL6)</f>
        <v>0</v>
      </c>
      <c r="BM6" s="100">
        <f>((0 + 'BRAWLERS OFICIAL'!BM6)-'BRAWLERS OFICIAL'!BM6)/($BQ6)</f>
        <v>0</v>
      </c>
      <c r="BN6" s="100">
        <f>((0 + 'BRAWLERS OFICIAL'!BN6)-'BRAWLERS OFICIAL'!BN6)/($BQ6)</f>
        <v>0</v>
      </c>
      <c r="BO6" s="100">
        <f>((0 + 'BRAWLERS OFICIAL'!BO6)-'BRAWLERS OFICIAL'!BO6)/($BQ6)</f>
        <v>0</v>
      </c>
      <c r="BQ6" s="100">
        <v>1</v>
      </c>
    </row>
    <row r="7" spans="1:69">
      <c r="B7" s="97" t="s">
        <v>475</v>
      </c>
      <c r="C7" s="70" t="s">
        <v>62</v>
      </c>
      <c r="D7" s="134" t="s">
        <v>351</v>
      </c>
      <c r="E7" s="134" t="s">
        <v>375</v>
      </c>
      <c r="F7" s="100">
        <f>(0 + 'BRAWLERS OFICIAL'!F7)-'BRAWLERS OFICIAL'!F7</f>
        <v>0</v>
      </c>
      <c r="G7" s="100">
        <f>(0 + 'BRAWLERS OFICIAL'!G7)-'BRAWLERS OFICIAL'!G7</f>
        <v>0</v>
      </c>
      <c r="H7" s="100">
        <f>(0 + 'BRAWLERS OFICIAL'!H7)-'BRAWLERS OFICIAL'!H7</f>
        <v>0</v>
      </c>
      <c r="I7" s="100">
        <f>(0 + 'BRAWLERS OFICIAL'!I7)-'BRAWLERS OFICIAL'!I7</f>
        <v>0</v>
      </c>
      <c r="J7" s="100">
        <f>(0 + 'BRAWLERS OFICIAL'!J7)-'BRAWLERS OFICIAL'!J7</f>
        <v>0</v>
      </c>
      <c r="K7" s="100">
        <f>(0 + 'BRAWLERS OFICIAL'!K7)-'BRAWLERS OFICIAL'!K7</f>
        <v>0</v>
      </c>
      <c r="L7" s="100">
        <f>(0 + 'BRAWLERS OFICIAL'!L7)-'BRAWLERS OFICIAL'!L7</f>
        <v>0</v>
      </c>
      <c r="M7" s="100">
        <f>(0 + 'BRAWLERS OFICIAL'!M7)-'BRAWLERS OFICIAL'!M7</f>
        <v>0</v>
      </c>
      <c r="N7" s="100">
        <f>(0 + 'BRAWLERS OFICIAL'!N7)-'BRAWLERS OFICIAL'!N7</f>
        <v>0</v>
      </c>
      <c r="O7" s="100">
        <f>(0 + 'BRAWLERS OFICIAL'!O7)-'BRAWLERS OFICIAL'!O7</f>
        <v>0</v>
      </c>
      <c r="P7" s="100">
        <f>(0 + 'BRAWLERS OFICIAL'!P7)-'BRAWLERS OFICIAL'!P7</f>
        <v>0</v>
      </c>
      <c r="Q7" s="100">
        <f>(0 + 'BRAWLERS OFICIAL'!Q7)-'BRAWLERS OFICIAL'!Q7</f>
        <v>0</v>
      </c>
      <c r="R7" s="100">
        <f>(0 + 'BRAWLERS OFICIAL'!R7)-'BRAWLERS OFICIAL'!R7</f>
        <v>0</v>
      </c>
      <c r="S7" s="100">
        <f>(0 + 'BRAWLERS OFICIAL'!S7)-'BRAWLERS OFICIAL'!S7</f>
        <v>0</v>
      </c>
      <c r="T7" s="100">
        <f>(0 + 'BRAWLERS OFICIAL'!T7)-'BRAWLERS OFICIAL'!T7</f>
        <v>0</v>
      </c>
      <c r="U7" s="100">
        <f>(0 + 'BRAWLERS OFICIAL'!U7)-'BRAWLERS OFICIAL'!U7</f>
        <v>0</v>
      </c>
      <c r="V7" s="100">
        <f>(0 + 'BRAWLERS OFICIAL'!V7)-'BRAWLERS OFICIAL'!V7</f>
        <v>0</v>
      </c>
      <c r="W7" s="100">
        <f>(0 + 'BRAWLERS OFICIAL'!W7)-'BRAWLERS OFICIAL'!W7</f>
        <v>0</v>
      </c>
      <c r="X7" s="103">
        <f>(( 0 + 'BRAWLERS OFICIAL'!X7 + AP7 + (6 + 10 + 3)/3/3.5 )-'BRAWLERS OFICIAL'!X7)/($BQ7)</f>
        <v>1.2867724867724866</v>
      </c>
      <c r="Y7" s="101">
        <f>((0 + 'BRAWLERS OFICIAL'!Y7)-'BRAWLERS OFICIAL'!Y7)/($BQ7)</f>
        <v>0</v>
      </c>
      <c r="Z7" s="101">
        <f>(((5 + 9 + 5)/3)-'BRAWLERS OFICIAL'!Z7)</f>
        <v>0.33333333333333304</v>
      </c>
      <c r="AA7" s="101">
        <f>((0 + 'BRAWLERS OFICIAL'!AA7)-'BRAWLERS OFICIAL'!AA7)/($BQ7)</f>
        <v>0</v>
      </c>
      <c r="AB7" s="101">
        <f>((0 + 'BRAWLERS OFICIAL'!AB7)-'BRAWLERS OFICIAL'!AB7)</f>
        <v>0</v>
      </c>
      <c r="AC7" s="101">
        <f>(((0)/4 + 'BRAWLERS OFICIAL'!AC7)-'BRAWLERS OFICIAL'!AC7)/($BQ7)</f>
        <v>0</v>
      </c>
      <c r="AD7" s="101">
        <f>((0 + 'BRAWLERS OFICIAL'!AD7)-'BRAWLERS OFICIAL'!AD7)/($BQ7)</f>
        <v>0</v>
      </c>
      <c r="AE7" s="101">
        <f>((0 + 'BRAWLERS OFICIAL'!AE7)-'BRAWLERS OFICIAL'!AE7)/($BQ7)</f>
        <v>0</v>
      </c>
      <c r="AF7" s="101">
        <f>((0 + 'BRAWLERS OFICIAL'!AF7)-'BRAWLERS OFICIAL'!AF7)/($BQ7)</f>
        <v>0</v>
      </c>
      <c r="AG7" s="101">
        <f>((0 + 'BRAWLERS OFICIAL'!AG7)-'BRAWLERS OFICIAL'!AG7)</f>
        <v>0</v>
      </c>
      <c r="AH7" s="101">
        <f>((0 + 'BRAWLERS OFICIAL'!AH7)-'BRAWLERS OFICIAL'!AH7)</f>
        <v>0</v>
      </c>
      <c r="AI7" s="101">
        <f>((0 + 'BRAWLERS OFICIAL'!AI7)-'BRAWLERS OFICIAL'!AI7)</f>
        <v>0</v>
      </c>
      <c r="AJ7" s="101">
        <f>((0 + 'BRAWLERS OFICIAL'!AJ7)-'BRAWLERS OFICIAL'!AJ7)/($BQ7)</f>
        <v>0</v>
      </c>
      <c r="AK7" s="101">
        <f>((0.5 + 'BRAWLERS OFICIAL'!AK7)-'BRAWLERS OFICIAL'!AK7)/($BQ7)</f>
        <v>0.35555555555555557</v>
      </c>
      <c r="AL7" s="101">
        <f>(((BK7/5+1)*AK7 + 'BRAWLERS OFICIAL'!AL7)-'BRAWLERS OFICIAL'!AL7)/($BQ7)</f>
        <v>0.25283950617283923</v>
      </c>
      <c r="AM7" s="101">
        <f>IF( 0 = (1-1), (1-1), ((0 + 'BRAWLERS OFICIAL'!AM7)/1.5)-'BRAWLERS OFICIAL'!AM7 )</f>
        <v>0</v>
      </c>
      <c r="AN7" s="101">
        <f t="shared" si="0"/>
        <v>0</v>
      </c>
      <c r="AO7" s="101">
        <f>((0 + 'BRAWLERS OFICIAL'!AO7)-'BRAWLERS OFICIAL'!AO7)/($BQ7)</f>
        <v>0</v>
      </c>
      <c r="AP7" s="101">
        <f>((0/1000 + 'BRAWLERS OFICIAL'!AP7)-'BRAWLERS OFICIAL'!AP7)</f>
        <v>0</v>
      </c>
      <c r="AQ7" s="101">
        <f>((0 + 'BRAWLERS OFICIAL'!AQ7)-'BRAWLERS OFICIAL'!AQ7)</f>
        <v>0</v>
      </c>
      <c r="AR7" s="101">
        <f>IF( 0 = (1-1), (1-1), ((0 + 'BRAWLERS OFICIAL'!AR7)/1.5) )</f>
        <v>0</v>
      </c>
      <c r="AS7" s="101">
        <f>IF( 0 = (1-1), (1-1), ((0 + 'BRAWLERS OFICIAL'!AS7)/1.5) )</f>
        <v>0</v>
      </c>
      <c r="AT7" s="101">
        <f>IF( 0 = (1-1), (1-1), ((0 + 'BRAWLERS OFICIAL'!AT7)/2) )</f>
        <v>0</v>
      </c>
      <c r="AU7" s="101">
        <f>((0 + 'BRAWLERS OFICIAL'!AU7)-'BRAWLERS OFICIAL'!AU7)/($BQ7)</f>
        <v>0</v>
      </c>
      <c r="AV7" s="101">
        <f>(((0)/4 + 'BRAWLERS OFICIAL'!AV7)-'BRAWLERS OFICIAL'!AV7)</f>
        <v>0</v>
      </c>
      <c r="AW7" s="101">
        <v>0</v>
      </c>
      <c r="AX7" s="101" t="s">
        <v>390</v>
      </c>
      <c r="AY7" s="100">
        <f>((( 0 )/3 + 'BRAWLERS OFICIAL'!AY7)-'BRAWLERS OFICIAL'!AY7)</f>
        <v>0</v>
      </c>
      <c r="AZ7" s="100">
        <f>((( 0 )/2 + 'BRAWLERS OFICIAL'!AZ7)-'BRAWLERS OFICIAL'!AZ7)/($BQ7)</f>
        <v>0</v>
      </c>
      <c r="BA7" s="100">
        <f>((( 0 )/2 + 'BRAWLERS OFICIAL'!BA7)-'BRAWLERS OFICIAL'!BA7)</f>
        <v>0</v>
      </c>
      <c r="BB7" s="100">
        <f>((( 0 )/3 + 'BRAWLERS OFICIAL'!BB7)-'BRAWLERS OFICIAL'!BB7)</f>
        <v>0</v>
      </c>
      <c r="BC7" s="100">
        <f>((( 0 )/2 + 'BRAWLERS OFICIAL'!BC7)-'BRAWLERS OFICIAL'!BC7)/($BQ7)</f>
        <v>0</v>
      </c>
      <c r="BD7" s="100">
        <f>((( 0 )/3 + 'BRAWLERS OFICIAL'!BD7)-'BRAWLERS OFICIAL'!BD7)</f>
        <v>0</v>
      </c>
      <c r="BE7" s="100">
        <f>((( 0 )/3 + 'BRAWLERS OFICIAL'!BE7)-'BRAWLERS OFICIAL'!BE7)</f>
        <v>0</v>
      </c>
      <c r="BF7" s="100">
        <f>((0 + 'BRAWLERS OFICIAL'!BF7)-'BRAWLERS OFICIAL'!BF7)/($BQ7)</f>
        <v>0</v>
      </c>
      <c r="BG7" s="100">
        <f>((0 + 'BRAWLERS OFICIAL'!BG7)-'BRAWLERS OFICIAL'!BG7)/($BQ7)</f>
        <v>0</v>
      </c>
      <c r="BH7" s="100">
        <f>((( 0 )/2 + 'BRAWLERS OFICIAL'!BH7)-'BRAWLERS OFICIAL'!BH7)</f>
        <v>0</v>
      </c>
      <c r="BI7" s="100">
        <f>((0 + 'BRAWLERS OFICIAL'!BI7)-'BRAWLERS OFICIAL'!BI7)/($BQ7)</f>
        <v>0</v>
      </c>
      <c r="BJ7" s="100">
        <f>((( 0 )/2 + 'BRAWLERS OFICIAL'!BJ7)-'BRAWLERS OFICIAL'!BJ7)</f>
        <v>0</v>
      </c>
      <c r="BK7" s="100">
        <f>((( 0 )/3 + 'BRAWLERS OFICIAL'!BK7)-'BRAWLERS OFICIAL'!BK7)</f>
        <v>0</v>
      </c>
      <c r="BL7" s="100">
        <f>((( 0 )/2 + 'BRAWLERS OFICIAL'!BL7)-'BRAWLERS OFICIAL'!BL7)</f>
        <v>0</v>
      </c>
      <c r="BM7" s="100">
        <f>((0 + 'BRAWLERS OFICIAL'!BM7)-'BRAWLERS OFICIAL'!BM7)/($BQ7)</f>
        <v>0</v>
      </c>
      <c r="BN7" s="100">
        <f>((0 + 'BRAWLERS OFICIAL'!BN7)-'BRAWLERS OFICIAL'!BN7)/($BQ7)</f>
        <v>0</v>
      </c>
      <c r="BO7" s="100">
        <f>((0 + 'BRAWLERS OFICIAL'!BO7)-'BRAWLERS OFICIAL'!BO7)/($BQ7)</f>
        <v>0</v>
      </c>
      <c r="BQ7" s="100">
        <f>('BRAWLERS OFICIAL'!F7 / 'BRAWLERS OFICIAL'!J7 / (1 + ('BRAWLERS OFICIAL'!AA7/5)))</f>
        <v>1.40625</v>
      </c>
    </row>
    <row r="8" spans="1:69">
      <c r="B8" s="97" t="s">
        <v>476</v>
      </c>
      <c r="C8" s="70" t="s">
        <v>44</v>
      </c>
      <c r="D8" s="134" t="s">
        <v>363</v>
      </c>
      <c r="E8" s="134" t="s">
        <v>325</v>
      </c>
      <c r="F8" s="100">
        <f>(0 + 'BRAWLERS OFICIAL'!F8)-'BRAWLERS OFICIAL'!F8</f>
        <v>0</v>
      </c>
      <c r="G8" s="100">
        <f>(0 + 'BRAWLERS OFICIAL'!G8)-'BRAWLERS OFICIAL'!G8</f>
        <v>0</v>
      </c>
      <c r="H8" s="100">
        <f>(0 + 'BRAWLERS OFICIAL'!H8)-'BRAWLERS OFICIAL'!H8</f>
        <v>0</v>
      </c>
      <c r="I8" s="100">
        <f>(0 + 'BRAWLERS OFICIAL'!I8)-'BRAWLERS OFICIAL'!I8</f>
        <v>0</v>
      </c>
      <c r="J8" s="100">
        <f>(0 + 'BRAWLERS OFICIAL'!J8)-'BRAWLERS OFICIAL'!J8</f>
        <v>0</v>
      </c>
      <c r="K8" s="100">
        <f>(0 + 'BRAWLERS OFICIAL'!K8)-'BRAWLERS OFICIAL'!K8</f>
        <v>0</v>
      </c>
      <c r="L8" s="100">
        <f>(0 + 'BRAWLERS OFICIAL'!L8)-'BRAWLERS OFICIAL'!L8</f>
        <v>0</v>
      </c>
      <c r="M8" s="100">
        <f>(0 + 'BRAWLERS OFICIAL'!M8)-'BRAWLERS OFICIAL'!M8</f>
        <v>0</v>
      </c>
      <c r="N8" s="100">
        <f>(0 + 'BRAWLERS OFICIAL'!N8)-'BRAWLERS OFICIAL'!N8</f>
        <v>0</v>
      </c>
      <c r="O8" s="100">
        <f>(0 + 'BRAWLERS OFICIAL'!O8)-'BRAWLERS OFICIAL'!O8</f>
        <v>0</v>
      </c>
      <c r="P8" s="100">
        <f>(0 + 'BRAWLERS OFICIAL'!P8)-'BRAWLERS OFICIAL'!P8</f>
        <v>0</v>
      </c>
      <c r="Q8" s="100">
        <f>(0 + 'BRAWLERS OFICIAL'!Q8)-'BRAWLERS OFICIAL'!Q8</f>
        <v>0</v>
      </c>
      <c r="R8" s="100">
        <f>(0 + 'BRAWLERS OFICIAL'!R8)-'BRAWLERS OFICIAL'!R8</f>
        <v>0</v>
      </c>
      <c r="S8" s="100">
        <f>(0 + 'BRAWLERS OFICIAL'!S8)-'BRAWLERS OFICIAL'!S8</f>
        <v>0</v>
      </c>
      <c r="T8" s="100">
        <f>(0 + 'BRAWLERS OFICIAL'!T8)-'BRAWLERS OFICIAL'!T8</f>
        <v>0</v>
      </c>
      <c r="U8" s="100">
        <f>(0 + 'BRAWLERS OFICIAL'!U8)-'BRAWLERS OFICIAL'!U8</f>
        <v>0</v>
      </c>
      <c r="V8" s="100">
        <f>(0 + 'BRAWLERS OFICIAL'!V8)-'BRAWLERS OFICIAL'!V8</f>
        <v>0</v>
      </c>
      <c r="W8" s="100">
        <f>(0 + 'BRAWLERS OFICIAL'!W8)-'BRAWLERS OFICIAL'!W8</f>
        <v>0</v>
      </c>
      <c r="X8" s="103">
        <f>(( 0 + 'BRAWLERS OFICIAL'!X8 + AP8 + AY8/3.5 )-'BRAWLERS OFICIAL'!X8)/($BQ8)</f>
        <v>0</v>
      </c>
      <c r="Y8" s="101">
        <f>((0 + 'BRAWLERS OFICIAL'!Y8)-'BRAWLERS OFICIAL'!Y8)/($BQ8)</f>
        <v>0</v>
      </c>
      <c r="Z8" s="101">
        <f>(((0)/3 + 'BRAWLERS OFICIAL'!Z8)-'BRAWLERS OFICIAL'!Z8)</f>
        <v>0</v>
      </c>
      <c r="AA8" s="101">
        <f>((0 + 'BRAWLERS OFICIAL'!AA8)-'BRAWLERS OFICIAL'!AA8)/($BQ8)</f>
        <v>0</v>
      </c>
      <c r="AB8" s="101">
        <f>((0 + 'BRAWLERS OFICIAL'!AB8)-'BRAWLERS OFICIAL'!AB8)</f>
        <v>0</v>
      </c>
      <c r="AC8" s="101">
        <f>(((0)/4 + 'BRAWLERS OFICIAL'!AC8)-'BRAWLERS OFICIAL'!AC8)/($BQ8)</f>
        <v>0</v>
      </c>
      <c r="AD8" s="101">
        <f>((0 + 'BRAWLERS OFICIAL'!AD8)-'BRAWLERS OFICIAL'!AD8)/($BQ8)</f>
        <v>0</v>
      </c>
      <c r="AE8" s="101">
        <f>((0 + 'BRAWLERS OFICIAL'!AE8)-'BRAWLERS OFICIAL'!AE8)/($BQ8)</f>
        <v>0</v>
      </c>
      <c r="AF8" s="101">
        <f>((0 + 'BRAWLERS OFICIAL'!AF8)-'BRAWLERS OFICIAL'!AF8)/($BQ8)</f>
        <v>0</v>
      </c>
      <c r="AG8" s="101">
        <f>((0 + 'BRAWLERS OFICIAL'!AG8)-'BRAWLERS OFICIAL'!AG8)</f>
        <v>0</v>
      </c>
      <c r="AH8" s="101">
        <f>((0 + 'BRAWLERS OFICIAL'!AH8)-'BRAWLERS OFICIAL'!AH8)</f>
        <v>0</v>
      </c>
      <c r="AI8" s="101">
        <f>((0 + 'BRAWLERS OFICIAL'!AI8)-'BRAWLERS OFICIAL'!AI8)</f>
        <v>0</v>
      </c>
      <c r="AJ8" s="101">
        <f>((0 + 'BRAWLERS OFICIAL'!AJ8)-'BRAWLERS OFICIAL'!AJ8)/($BQ8)</f>
        <v>0</v>
      </c>
      <c r="AK8" s="101">
        <f>((0 + 'BRAWLERS OFICIAL'!AK8)-'BRAWLERS OFICIAL'!AK8)/($BQ8)</f>
        <v>0</v>
      </c>
      <c r="AL8" s="101">
        <f>(((BK8/5+1)*AK8 + 'BRAWLERS OFICIAL'!AL8)-'BRAWLERS OFICIAL'!AL8)/($BQ8)</f>
        <v>0</v>
      </c>
      <c r="AM8" s="101">
        <f>IF( 0 = (1-1), (1-1), ((0 + 'BRAWLERS OFICIAL'!AM8)/1.5)-'BRAWLERS OFICIAL'!AM8 )</f>
        <v>0</v>
      </c>
      <c r="AN8" s="101">
        <f t="shared" si="0"/>
        <v>0</v>
      </c>
      <c r="AO8" s="101">
        <f>((0 + 'BRAWLERS OFICIAL'!AO8)-'BRAWLERS OFICIAL'!AO8)/($BQ8)</f>
        <v>0</v>
      </c>
      <c r="AP8" s="101">
        <f>((0/1000 + 'BRAWLERS OFICIAL'!AP8)-'BRAWLERS OFICIAL'!AP8)</f>
        <v>0</v>
      </c>
      <c r="AQ8" s="101">
        <f>((0 + 'BRAWLERS OFICIAL'!AQ8)-'BRAWLERS OFICIAL'!AQ8)</f>
        <v>0</v>
      </c>
      <c r="AR8" s="101">
        <f>IF( 0 = (1-1), (1-1), ((0 + 'BRAWLERS OFICIAL'!AR8)/1.5) )</f>
        <v>0</v>
      </c>
      <c r="AS8" s="101">
        <f>IF( 0 = (1-1), (1-1), ((0 + 'BRAWLERS OFICIAL'!AS8)/1.5) )</f>
        <v>0</v>
      </c>
      <c r="AT8" s="101">
        <f>IF( 0 = (1-1), (1-1), ((0 + 'BRAWLERS OFICIAL'!AT8)/2) )</f>
        <v>0</v>
      </c>
      <c r="AU8" s="101">
        <f>((0 + 'BRAWLERS OFICIAL'!AU8)-'BRAWLERS OFICIAL'!AU8)/($BQ8)</f>
        <v>0</v>
      </c>
      <c r="AV8" s="101">
        <f>(((0)/4 + 'BRAWLERS OFICIAL'!AV8)-'BRAWLERS OFICIAL'!AV8)</f>
        <v>0</v>
      </c>
      <c r="AW8" s="101">
        <v>0</v>
      </c>
      <c r="AX8" s="101" t="s">
        <v>390</v>
      </c>
      <c r="AY8" s="100">
        <f>((( 0 )/3 + 'BRAWLERS OFICIAL'!AY8)-'BRAWLERS OFICIAL'!AY8)</f>
        <v>0</v>
      </c>
      <c r="AZ8" s="100">
        <f>((( 0 )/2 + 'BRAWLERS OFICIAL'!AZ8)-'BRAWLERS OFICIAL'!AZ8)/($BQ8)</f>
        <v>0</v>
      </c>
      <c r="BA8" s="100">
        <f>((( 0 )/2 + 'BRAWLERS OFICIAL'!BA8)-'BRAWLERS OFICIAL'!BA8)</f>
        <v>0</v>
      </c>
      <c r="BB8" s="100">
        <f>((( 0 )/3 + 'BRAWLERS OFICIAL'!BB8)-'BRAWLERS OFICIAL'!BB8)</f>
        <v>0</v>
      </c>
      <c r="BC8" s="100">
        <f>((( 0 )/2 + 'BRAWLERS OFICIAL'!BC8)-'BRAWLERS OFICIAL'!BC8)/($BQ8)</f>
        <v>0</v>
      </c>
      <c r="BD8" s="100">
        <f>((( 0 )/3 + 'BRAWLERS OFICIAL'!BD8)-'BRAWLERS OFICIAL'!BD8)</f>
        <v>0</v>
      </c>
      <c r="BE8" s="100">
        <f>((( 0 )/3 + 'BRAWLERS OFICIAL'!BE8)-'BRAWLERS OFICIAL'!BE8)</f>
        <v>0</v>
      </c>
      <c r="BF8" s="100">
        <f>((0 + 'BRAWLERS OFICIAL'!BF8)-'BRAWLERS OFICIAL'!BF8)/($BQ8)</f>
        <v>0</v>
      </c>
      <c r="BG8" s="100">
        <f>((0 + 'BRAWLERS OFICIAL'!BG8)-'BRAWLERS OFICIAL'!BG8)/($BQ8)</f>
        <v>0</v>
      </c>
      <c r="BH8" s="100">
        <f>((( 0 )/2 + 'BRAWLERS OFICIAL'!BH8)-'BRAWLERS OFICIAL'!BH8)</f>
        <v>0</v>
      </c>
      <c r="BI8" s="100">
        <f>((0 + 'BRAWLERS OFICIAL'!BI8)-'BRAWLERS OFICIAL'!BI8)/($BQ8)</f>
        <v>0</v>
      </c>
      <c r="BJ8" s="100">
        <f>((( 0 )/2 + 'BRAWLERS OFICIAL'!BJ8)-'BRAWLERS OFICIAL'!BJ8)</f>
        <v>0</v>
      </c>
      <c r="BK8" s="100">
        <f>((( 10 + 5 + 1 )/3)-'BRAWLERS OFICIAL'!BK8)</f>
        <v>5.333333333333333</v>
      </c>
      <c r="BL8" s="100">
        <f>((( 0 )/2 + 'BRAWLERS OFICIAL'!BL8)-'BRAWLERS OFICIAL'!BL8)</f>
        <v>0</v>
      </c>
      <c r="BM8" s="100">
        <f>((0 + 'BRAWLERS OFICIAL'!BM8)-'BRAWLERS OFICIAL'!BM8)/($BQ8)</f>
        <v>0</v>
      </c>
      <c r="BN8" s="100">
        <f>((0 + 'BRAWLERS OFICIAL'!BN8)-'BRAWLERS OFICIAL'!BN8)/($BQ8)</f>
        <v>0</v>
      </c>
      <c r="BO8" s="100">
        <f>((0 + 'BRAWLERS OFICIAL'!BO8)-'BRAWLERS OFICIAL'!BO8)/($BQ8)</f>
        <v>0</v>
      </c>
      <c r="BQ8" s="100">
        <f>('BRAWLERS OFICIAL'!F8 / 'BRAWLERS OFICIAL'!J8 / (1 + ('BRAWLERS OFICIAL'!AA8/5)))</f>
        <v>1.875</v>
      </c>
    </row>
    <row r="9" spans="1:69">
      <c r="B9" s="97" t="s">
        <v>477</v>
      </c>
      <c r="C9" s="98" t="s">
        <v>95</v>
      </c>
      <c r="D9" s="135" t="s">
        <v>325</v>
      </c>
      <c r="E9" s="135" t="s">
        <v>332</v>
      </c>
      <c r="F9" s="100">
        <f>(0 + 'BRAWLERS OFICIAL'!F9)-'BRAWLERS OFICIAL'!F9</f>
        <v>0</v>
      </c>
      <c r="G9" s="100">
        <f>(0 + 'BRAWLERS OFICIAL'!G9)-'BRAWLERS OFICIAL'!G9</f>
        <v>0</v>
      </c>
      <c r="H9" s="100">
        <f>(0 + 'BRAWLERS OFICIAL'!H9)-'BRAWLERS OFICIAL'!H9</f>
        <v>0</v>
      </c>
      <c r="I9" s="100">
        <f>(0 + 'BRAWLERS OFICIAL'!I9)-'BRAWLERS OFICIAL'!I9</f>
        <v>0</v>
      </c>
      <c r="J9" s="100">
        <f>(0 + 'BRAWLERS OFICIAL'!J9)-'BRAWLERS OFICIAL'!J9</f>
        <v>0</v>
      </c>
      <c r="K9" s="100">
        <f>(0 + 'BRAWLERS OFICIAL'!K9)-'BRAWLERS OFICIAL'!K9</f>
        <v>0</v>
      </c>
      <c r="L9" s="100">
        <f>(0 + 'BRAWLERS OFICIAL'!L9)-'BRAWLERS OFICIAL'!L9</f>
        <v>0</v>
      </c>
      <c r="M9" s="100">
        <f>(0 + 'BRAWLERS OFICIAL'!M9)-'BRAWLERS OFICIAL'!M9</f>
        <v>0</v>
      </c>
      <c r="N9" s="100">
        <f>(0 + 'BRAWLERS OFICIAL'!N9)-'BRAWLERS OFICIAL'!N9</f>
        <v>0</v>
      </c>
      <c r="O9" s="100">
        <f>(0 + 'BRAWLERS OFICIAL'!O9)-'BRAWLERS OFICIAL'!O9</f>
        <v>0</v>
      </c>
      <c r="P9" s="100">
        <f>(0 + 'BRAWLERS OFICIAL'!P9)-'BRAWLERS OFICIAL'!P9</f>
        <v>0</v>
      </c>
      <c r="Q9" s="100">
        <f>(0 + 'BRAWLERS OFICIAL'!Q9)-'BRAWLERS OFICIAL'!Q9</f>
        <v>0</v>
      </c>
      <c r="R9" s="100">
        <f>(0 + 'BRAWLERS OFICIAL'!R9)-'BRAWLERS OFICIAL'!R9</f>
        <v>0</v>
      </c>
      <c r="S9" s="100">
        <f>(0 + 'BRAWLERS OFICIAL'!S9)-'BRAWLERS OFICIAL'!S9</f>
        <v>0</v>
      </c>
      <c r="T9" s="100">
        <f>(0 + 'BRAWLERS OFICIAL'!T9)-'BRAWLERS OFICIAL'!T9</f>
        <v>0</v>
      </c>
      <c r="U9" s="100">
        <f>(0 + 'BRAWLERS OFICIAL'!U9)-'BRAWLERS OFICIAL'!U9</f>
        <v>0</v>
      </c>
      <c r="V9" s="100">
        <f>(0 + 'BRAWLERS OFICIAL'!V9)-'BRAWLERS OFICIAL'!V9</f>
        <v>0</v>
      </c>
      <c r="W9" s="100">
        <f>(0 + 'BRAWLERS OFICIAL'!W9)-'BRAWLERS OFICIAL'!W9</f>
        <v>0</v>
      </c>
      <c r="X9" s="103">
        <f>(( 0 + 'BRAWLERS OFICIAL'!X9 + AP9 + ( 10 + 5 + 9 )/3/3.5 )-'BRAWLERS OFICIAL'!X9)/($BQ9)</f>
        <v>0.76190476190476186</v>
      </c>
      <c r="Y9" s="101">
        <f>((0 + 'BRAWLERS OFICIAL'!Y9)-'BRAWLERS OFICIAL'!Y9)/($BQ9)</f>
        <v>0</v>
      </c>
      <c r="Z9" s="101">
        <f>(((0)/3 + 'BRAWLERS OFICIAL'!Z9)-'BRAWLERS OFICIAL'!Z9)</f>
        <v>0</v>
      </c>
      <c r="AA9" s="101">
        <f>((0 + 'BRAWLERS OFICIAL'!AA9)-'BRAWLERS OFICIAL'!AA9)/($BQ9)</f>
        <v>0</v>
      </c>
      <c r="AB9" s="101">
        <f>((0 + 'BRAWLERS OFICIAL'!AB9)-'BRAWLERS OFICIAL'!AB9)</f>
        <v>0</v>
      </c>
      <c r="AC9" s="101">
        <f>(((0)/4 + 'BRAWLERS OFICIAL'!AC9)-'BRAWLERS OFICIAL'!AC9)/($BQ9)</f>
        <v>0</v>
      </c>
      <c r="AD9" s="101">
        <f>((0 + 'BRAWLERS OFICIAL'!AD9)-'BRAWLERS OFICIAL'!AD9)/($BQ9)</f>
        <v>0</v>
      </c>
      <c r="AE9" s="101">
        <f>((0 + 'BRAWLERS OFICIAL'!AE9)-'BRAWLERS OFICIAL'!AE9)/($BQ9)</f>
        <v>0</v>
      </c>
      <c r="AF9" s="101">
        <f>((0 + 'BRAWLERS OFICIAL'!AF9)-'BRAWLERS OFICIAL'!AF9)/($BQ9)</f>
        <v>0</v>
      </c>
      <c r="AG9" s="101">
        <f>((0 + 'BRAWLERS OFICIAL'!AG9)-'BRAWLERS OFICIAL'!AG9)</f>
        <v>0</v>
      </c>
      <c r="AH9" s="101">
        <f>((0 + 'BRAWLERS OFICIAL'!AH9)-'BRAWLERS OFICIAL'!AH9)</f>
        <v>0</v>
      </c>
      <c r="AI9" s="101">
        <f>((0 + 'BRAWLERS OFICIAL'!AI9)-'BRAWLERS OFICIAL'!AI9)</f>
        <v>0</v>
      </c>
      <c r="AJ9" s="101">
        <f>((2 + 'BRAWLERS OFICIAL'!AJ9)-'BRAWLERS OFICIAL'!AJ9)/($BQ9)</f>
        <v>0.66666666666666663</v>
      </c>
      <c r="AK9" s="101">
        <f>((0 + 'BRAWLERS OFICIAL'!AK9)-'BRAWLERS OFICIAL'!AK9)/($BQ9)</f>
        <v>0</v>
      </c>
      <c r="AL9" s="101">
        <f>(((BK9/5+1)*AK9 + 'BRAWLERS OFICIAL'!AL9)-'BRAWLERS OFICIAL'!AL9)/($BQ9)</f>
        <v>0</v>
      </c>
      <c r="AM9" s="101">
        <f>IF( 0 = (1-1), (1-1), ((0 + 'BRAWLERS OFICIAL'!AM9)/1.5)-'BRAWLERS OFICIAL'!AM9 )</f>
        <v>0</v>
      </c>
      <c r="AN9" s="101">
        <f t="shared" si="0"/>
        <v>0</v>
      </c>
      <c r="AO9" s="101">
        <f>((0 + 'BRAWLERS OFICIAL'!AO9)-'BRAWLERS OFICIAL'!AO9)/($BQ9)</f>
        <v>0</v>
      </c>
      <c r="AP9" s="101">
        <f>((0/1000 + 'BRAWLERS OFICIAL'!AP9)-'BRAWLERS OFICIAL'!AP9)</f>
        <v>0</v>
      </c>
      <c r="AQ9" s="101">
        <f>((0 + 'BRAWLERS OFICIAL'!AQ9)-'BRAWLERS OFICIAL'!AQ9)</f>
        <v>0</v>
      </c>
      <c r="AR9" s="101">
        <f>IF( 0 = (1-1), (1-1), ((0 + 'BRAWLERS OFICIAL'!AR9)/1.5) )</f>
        <v>0</v>
      </c>
      <c r="AS9" s="101">
        <f>IF( 0 = (1-1), (1-1), ((0 + 'BRAWLERS OFICIAL'!AS9)/1.5) )</f>
        <v>0</v>
      </c>
      <c r="AT9" s="101">
        <f>IF( 0 = (1-1), (1-1), ((0 + 'BRAWLERS OFICIAL'!AT9)/2) )</f>
        <v>0</v>
      </c>
      <c r="AU9" s="101">
        <f>((0 + 'BRAWLERS OFICIAL'!AU9)-'BRAWLERS OFICIAL'!AU9)/($BQ9)</f>
        <v>0</v>
      </c>
      <c r="AV9" s="101">
        <f>(((0)/4 + 'BRAWLERS OFICIAL'!AV9)-'BRAWLERS OFICIAL'!AV9)</f>
        <v>0</v>
      </c>
      <c r="AW9" s="101">
        <v>0</v>
      </c>
      <c r="AX9" s="101" t="s">
        <v>390</v>
      </c>
      <c r="AY9" s="100">
        <f>((( 0 )/3 + 'BRAWLERS OFICIAL'!AY9)-'BRAWLERS OFICIAL'!AY9)</f>
        <v>0</v>
      </c>
      <c r="AZ9" s="100">
        <f>((( 0 )/2 + 'BRAWLERS OFICIAL'!AZ9)-'BRAWLERS OFICIAL'!AZ9)/($BQ9)</f>
        <v>0</v>
      </c>
      <c r="BA9" s="100">
        <f>((( 0 )/2 + 'BRAWLERS OFICIAL'!BA9)-'BRAWLERS OFICIAL'!BA9)</f>
        <v>0</v>
      </c>
      <c r="BB9" s="100">
        <f>((( 0 )/3 + 'BRAWLERS OFICIAL'!BB9)-'BRAWLERS OFICIAL'!BB9)</f>
        <v>0</v>
      </c>
      <c r="BC9" s="100">
        <f>((( 0 )/2 + 'BRAWLERS OFICIAL'!BC9)-'BRAWLERS OFICIAL'!BC9)/($BQ9)</f>
        <v>0</v>
      </c>
      <c r="BD9" s="100">
        <f>((( 0 )/3 + 'BRAWLERS OFICIAL'!BD9)-'BRAWLERS OFICIAL'!BD9)</f>
        <v>0</v>
      </c>
      <c r="BE9" s="100">
        <f>((( 0 )/3 + 'BRAWLERS OFICIAL'!BE9)-'BRAWLERS OFICIAL'!BE9)</f>
        <v>0</v>
      </c>
      <c r="BF9" s="100">
        <f>((0 + 'BRAWLERS OFICIAL'!BF9)-'BRAWLERS OFICIAL'!BF9)/($BQ9)</f>
        <v>0</v>
      </c>
      <c r="BG9" s="100">
        <f>((0 + 'BRAWLERS OFICIAL'!BG9)-'BRAWLERS OFICIAL'!BG9)/($BQ9)</f>
        <v>0</v>
      </c>
      <c r="BH9" s="100">
        <f>((( 0 )/2 + 'BRAWLERS OFICIAL'!BH9)-'BRAWLERS OFICIAL'!BH9)</f>
        <v>0</v>
      </c>
      <c r="BI9" s="100">
        <f>((0 + 'BRAWLERS OFICIAL'!BI9)-'BRAWLERS OFICIAL'!BI9)/($BQ9)</f>
        <v>0</v>
      </c>
      <c r="BJ9" s="100">
        <f>((( 0 )/2 + 'BRAWLERS OFICIAL'!BJ9)-'BRAWLERS OFICIAL'!BJ9)</f>
        <v>0</v>
      </c>
      <c r="BK9" s="100">
        <f>((( 0 )/3 + 'BRAWLERS OFICIAL'!BK9)-'BRAWLERS OFICIAL'!BK9)</f>
        <v>0</v>
      </c>
      <c r="BL9" s="100">
        <f>((( 0 )/2 + 'BRAWLERS OFICIAL'!BL9)-'BRAWLERS OFICIAL'!BL9)</f>
        <v>0</v>
      </c>
      <c r="BM9" s="100">
        <f>((0 + 'BRAWLERS OFICIAL'!BM9)-'BRAWLERS OFICIAL'!BM9)/($BQ9)</f>
        <v>0</v>
      </c>
      <c r="BN9" s="100">
        <f>((0 + 'BRAWLERS OFICIAL'!BN9)-'BRAWLERS OFICIAL'!BN9)/($BQ9)</f>
        <v>0</v>
      </c>
      <c r="BO9" s="100">
        <f>((0 + 'BRAWLERS OFICIAL'!BO9)-'BRAWLERS OFICIAL'!BO9)/($BQ9)</f>
        <v>0</v>
      </c>
      <c r="BQ9" s="100">
        <f>15/5</f>
        <v>3</v>
      </c>
    </row>
    <row r="10" spans="1:69">
      <c r="B10" s="97" t="s">
        <v>478</v>
      </c>
      <c r="C10" s="98" t="s">
        <v>87</v>
      </c>
      <c r="D10" s="135" t="s">
        <v>390</v>
      </c>
      <c r="E10" s="135" t="s">
        <v>325</v>
      </c>
      <c r="F10" s="100">
        <f>(0 + 'BRAWLERS OFICIAL'!F10)-'BRAWLERS OFICIAL'!F10</f>
        <v>0</v>
      </c>
      <c r="G10" s="100">
        <f>(0 + 'BRAWLERS OFICIAL'!G10)-'BRAWLERS OFICIAL'!G10</f>
        <v>0</v>
      </c>
      <c r="H10" s="100">
        <f>(0 + 'BRAWLERS OFICIAL'!H10)-'BRAWLERS OFICIAL'!H10</f>
        <v>0</v>
      </c>
      <c r="I10" s="100">
        <f>(0 + 'BRAWLERS OFICIAL'!I10)-'BRAWLERS OFICIAL'!I10</f>
        <v>0</v>
      </c>
      <c r="J10" s="100">
        <f>(0 + 'BRAWLERS OFICIAL'!J10)-'BRAWLERS OFICIAL'!J10</f>
        <v>0</v>
      </c>
      <c r="K10" s="100">
        <f>(0 + 'BRAWLERS OFICIAL'!K10)-'BRAWLERS OFICIAL'!K10</f>
        <v>0</v>
      </c>
      <c r="L10" s="100">
        <f>(0 + 'BRAWLERS OFICIAL'!L10)-'BRAWLERS OFICIAL'!L10</f>
        <v>0</v>
      </c>
      <c r="M10" s="100">
        <f>(0 + 'BRAWLERS OFICIAL'!M10)-'BRAWLERS OFICIAL'!M10</f>
        <v>0</v>
      </c>
      <c r="N10" s="100">
        <f>(0 + 'BRAWLERS OFICIAL'!N10)-'BRAWLERS OFICIAL'!N10</f>
        <v>0</v>
      </c>
      <c r="O10" s="100">
        <f>(0 + 'BRAWLERS OFICIAL'!O10)-'BRAWLERS OFICIAL'!O10</f>
        <v>0</v>
      </c>
      <c r="P10" s="100">
        <f>(0 + 'BRAWLERS OFICIAL'!P10)-'BRAWLERS OFICIAL'!P10</f>
        <v>0</v>
      </c>
      <c r="Q10" s="100">
        <f>(1520 + 'BRAWLERS OFICIAL'!Q10)-'BRAWLERS OFICIAL'!Q10</f>
        <v>1520</v>
      </c>
      <c r="R10" s="100">
        <f>(1520 + 'BRAWLERS OFICIAL'!R10)-'BRAWLERS OFICIAL'!R10</f>
        <v>1520</v>
      </c>
      <c r="S10" s="100">
        <f>(1520 + 'BRAWLERS OFICIAL'!S10)-'BRAWLERS OFICIAL'!S10</f>
        <v>1520</v>
      </c>
      <c r="T10" s="100">
        <f>(1520 + 'BRAWLERS OFICIAL'!T10)-'BRAWLERS OFICIAL'!T10</f>
        <v>1520</v>
      </c>
      <c r="U10" s="100">
        <f>(1520 + 'BRAWLERS OFICIAL'!U10)-'BRAWLERS OFICIAL'!U10</f>
        <v>1520</v>
      </c>
      <c r="V10" s="100">
        <f>(0 + 'BRAWLERS OFICIAL'!V10)-'BRAWLERS OFICIAL'!V10</f>
        <v>0</v>
      </c>
      <c r="W10" s="100">
        <f>(0 + 'BRAWLERS OFICIAL'!W10)-'BRAWLERS OFICIAL'!W10</f>
        <v>0</v>
      </c>
      <c r="X10" s="103">
        <f>(( 0 + 'BRAWLERS OFICIAL'!X10 + AP10 + AY10/3.5 )-'BRAWLERS OFICIAL'!X10)/($BQ10)</f>
        <v>0</v>
      </c>
      <c r="Y10" s="101">
        <f>((1 + 'BRAWLERS OFICIAL'!Y10)-'BRAWLERS OFICIAL'!Y10)/($BQ10)</f>
        <v>0.6</v>
      </c>
      <c r="Z10" s="101">
        <f>(((0)/3 + 'BRAWLERS OFICIAL'!Z10)-'BRAWLERS OFICIAL'!Z10)</f>
        <v>0</v>
      </c>
      <c r="AA10" s="101">
        <f>((1.5 + 'BRAWLERS OFICIAL'!AA10)-'BRAWLERS OFICIAL'!AA10)/($BQ10)</f>
        <v>0.89999999999999991</v>
      </c>
      <c r="AB10" s="101">
        <f>((3 + 'BRAWLERS OFICIAL'!AB10)-'BRAWLERS OFICIAL'!AB10)</f>
        <v>3</v>
      </c>
      <c r="AC10" s="101">
        <f>(((0)/4 + 'BRAWLERS OFICIAL'!AC10)-'BRAWLERS OFICIAL'!AC10)/($BQ10)</f>
        <v>0</v>
      </c>
      <c r="AD10" s="101">
        <f>((0 + 'BRAWLERS OFICIAL'!AD10)-'BRAWLERS OFICIAL'!AD10)/($BQ10)</f>
        <v>0</v>
      </c>
      <c r="AE10" s="101">
        <f>((0 + 'BRAWLERS OFICIAL'!AE10)-'BRAWLERS OFICIAL'!AE10)/($BQ10)</f>
        <v>0</v>
      </c>
      <c r="AF10" s="101">
        <f>((0 + 'BRAWLERS OFICIAL'!AF10)-'BRAWLERS OFICIAL'!AF10)/($BQ10)</f>
        <v>0</v>
      </c>
      <c r="AG10" s="101">
        <f>((0 + 'BRAWLERS OFICIAL'!AG10)-'BRAWLERS OFICIAL'!AG10)</f>
        <v>0</v>
      </c>
      <c r="AH10" s="101">
        <f>((0 + 'BRAWLERS OFICIAL'!AH10)-'BRAWLERS OFICIAL'!AH10)</f>
        <v>0</v>
      </c>
      <c r="AI10" s="101">
        <f>((0 + 'BRAWLERS OFICIAL'!AI10)-'BRAWLERS OFICIAL'!AI10)</f>
        <v>0</v>
      </c>
      <c r="AJ10" s="101">
        <f>((0 + 'BRAWLERS OFICIAL'!AJ10)-'BRAWLERS OFICIAL'!AJ10)/($BQ10)</f>
        <v>0</v>
      </c>
      <c r="AK10" s="101">
        <f>((0 + 'BRAWLERS OFICIAL'!AK10)-'BRAWLERS OFICIAL'!AK10)/($BQ10)</f>
        <v>0</v>
      </c>
      <c r="AL10" s="101">
        <f>(((BK10/5+1)*AK10 + 'BRAWLERS OFICIAL'!AL10)-'BRAWLERS OFICIAL'!AL10)/($BQ10)</f>
        <v>0</v>
      </c>
      <c r="AM10" s="101">
        <f>IF( 0 = (1-1), (1-1), ((0 + 'BRAWLERS OFICIAL'!AM10)/1.5)-'BRAWLERS OFICIAL'!AM10 )</f>
        <v>0</v>
      </c>
      <c r="AN10" s="101">
        <f t="shared" si="0"/>
        <v>0</v>
      </c>
      <c r="AO10" s="101">
        <f>((0 + 'BRAWLERS OFICIAL'!AO10)-'BRAWLERS OFICIAL'!AO10)/($BQ10)</f>
        <v>0</v>
      </c>
      <c r="AP10" s="101">
        <f>((0/1000 + 'BRAWLERS OFICIAL'!AP10)-'BRAWLERS OFICIAL'!AP10)</f>
        <v>0</v>
      </c>
      <c r="AQ10" s="101">
        <f>((0 + 'BRAWLERS OFICIAL'!AQ10)-'BRAWLERS OFICIAL'!AQ10)</f>
        <v>0</v>
      </c>
      <c r="AR10" s="101">
        <f>IF( 0 = (1-1), (1-1), ((0 + 'BRAWLERS OFICIAL'!AR10)/1.5) )</f>
        <v>0</v>
      </c>
      <c r="AS10" s="101">
        <f>IF( 0 = (1-1), (1-1), ((0 + 'BRAWLERS OFICIAL'!AS10)/1.5) )</f>
        <v>0</v>
      </c>
      <c r="AT10" s="101">
        <f>IF( 0 = (1-1), (1-1), ((0 + 'BRAWLERS OFICIAL'!AT10)/2) )</f>
        <v>0</v>
      </c>
      <c r="AU10" s="101">
        <f>((0 + 'BRAWLERS OFICIAL'!AU10)-'BRAWLERS OFICIAL'!AU10)/($BQ10)</f>
        <v>0</v>
      </c>
      <c r="AV10" s="101">
        <f>(((0)/4 + 'BRAWLERS OFICIAL'!AV10)-'BRAWLERS OFICIAL'!AV10)</f>
        <v>0</v>
      </c>
      <c r="AW10" s="101">
        <v>0</v>
      </c>
      <c r="AX10" s="101" t="s">
        <v>390</v>
      </c>
      <c r="AY10" s="100">
        <f>((( 0 )/3 + 'BRAWLERS OFICIAL'!AY10)-'BRAWLERS OFICIAL'!AY10)</f>
        <v>0</v>
      </c>
      <c r="AZ10" s="100">
        <f>((( 0 )/2 + 'BRAWLERS OFICIAL'!AZ10)-'BRAWLERS OFICIAL'!AZ10)/($BQ10)</f>
        <v>0</v>
      </c>
      <c r="BA10" s="100">
        <f>((( 0 )/2 + 'BRAWLERS OFICIAL'!BA10)-'BRAWLERS OFICIAL'!BA10)</f>
        <v>0</v>
      </c>
      <c r="BB10" s="100">
        <f>((( 0 )/3 + 'BRAWLERS OFICIAL'!BB10)-'BRAWLERS OFICIAL'!BB10)</f>
        <v>0</v>
      </c>
      <c r="BC10" s="100">
        <f>((( 0 )/2 + 'BRAWLERS OFICIAL'!BC10)-'BRAWLERS OFICIAL'!BC10)/($BQ10)</f>
        <v>0</v>
      </c>
      <c r="BD10" s="100">
        <f>((( 0 )/3 + 'BRAWLERS OFICIAL'!BD10)-'BRAWLERS OFICIAL'!BD10)</f>
        <v>0</v>
      </c>
      <c r="BE10" s="100">
        <f>((( 0 )/3 + 'BRAWLERS OFICIAL'!BE10)-'BRAWLERS OFICIAL'!BE10)</f>
        <v>0</v>
      </c>
      <c r="BF10" s="100">
        <f>((0 + 'BRAWLERS OFICIAL'!BF10)-'BRAWLERS OFICIAL'!BF10)/($BQ10)</f>
        <v>0</v>
      </c>
      <c r="BG10" s="100">
        <f>((0 + 'BRAWLERS OFICIAL'!BG10)-'BRAWLERS OFICIAL'!BG10)/($BQ10)</f>
        <v>0</v>
      </c>
      <c r="BH10" s="100">
        <f>((( 0 )/2 + 'BRAWLERS OFICIAL'!BH10)-'BRAWLERS OFICIAL'!BH10)</f>
        <v>0</v>
      </c>
      <c r="BI10" s="100">
        <f>((0 + 'BRAWLERS OFICIAL'!BI10)-'BRAWLERS OFICIAL'!BI10)/($BQ10)</f>
        <v>0</v>
      </c>
      <c r="BJ10" s="100">
        <f>((( 0 )/2 + 'BRAWLERS OFICIAL'!BJ10)-'BRAWLERS OFICIAL'!BJ10)</f>
        <v>0</v>
      </c>
      <c r="BK10" s="100">
        <f>((( 0 )/3 + 'BRAWLERS OFICIAL'!BK10)-'BRAWLERS OFICIAL'!BK10)</f>
        <v>0</v>
      </c>
      <c r="BL10" s="100">
        <f>((( 0 )/2 + 'BRAWLERS OFICIAL'!BL10)-'BRAWLERS OFICIAL'!BL10)</f>
        <v>0</v>
      </c>
      <c r="BM10" s="100">
        <f>((0 + 'BRAWLERS OFICIAL'!BM10)-'BRAWLERS OFICIAL'!BM10)/($BQ10)</f>
        <v>0</v>
      </c>
      <c r="BN10" s="100">
        <f>((0 + 'BRAWLERS OFICIAL'!BN10)-'BRAWLERS OFICIAL'!BN10)/($BQ10)</f>
        <v>0</v>
      </c>
      <c r="BO10" s="100">
        <f>((0 + 'BRAWLERS OFICIAL'!BO10)-'BRAWLERS OFICIAL'!BO10)/($BQ10)</f>
        <v>0</v>
      </c>
      <c r="BQ10" s="100">
        <f>('BRAWLERS OFICIAL'!F10 / 'BRAWLERS OFICIAL'!J10 / (1 + ('BRAWLERS OFICIAL'!AA10/5)))</f>
        <v>1.6666666666666667</v>
      </c>
    </row>
    <row r="11" spans="1:69">
      <c r="B11" s="97" t="s">
        <v>479</v>
      </c>
      <c r="C11" s="70" t="s">
        <v>15</v>
      </c>
      <c r="D11" s="134" t="s">
        <v>384</v>
      </c>
      <c r="E11" s="134" t="s">
        <v>373</v>
      </c>
      <c r="F11" s="100">
        <f>(0 + 'BRAWLERS OFICIAL'!F11)-'BRAWLERS OFICIAL'!F11</f>
        <v>0</v>
      </c>
      <c r="G11" s="100">
        <f>(0 + 'BRAWLERS OFICIAL'!G11)-'BRAWLERS OFICIAL'!G11</f>
        <v>0</v>
      </c>
      <c r="H11" s="100">
        <f>('BRAWLERS OFICIAL'!H11/5/4 + 'BRAWLERS OFICIAL'!H11)-'BRAWLERS OFICIAL'!H11</f>
        <v>66</v>
      </c>
      <c r="I11" s="100">
        <f>(0 + 'BRAWLERS OFICIAL'!I11)-'BRAWLERS OFICIAL'!I11</f>
        <v>0</v>
      </c>
      <c r="J11" s="100">
        <f>(0 + 'BRAWLERS OFICIAL'!J11)-'BRAWLERS OFICIAL'!J11</f>
        <v>0</v>
      </c>
      <c r="K11" s="100">
        <f>(0 + 'BRAWLERS OFICIAL'!K11)-'BRAWLERS OFICIAL'!K11</f>
        <v>0</v>
      </c>
      <c r="L11" s="100">
        <f>(0 + 'BRAWLERS OFICIAL'!L11)-'BRAWLERS OFICIAL'!L11</f>
        <v>0</v>
      </c>
      <c r="M11" s="100">
        <f>(0 + 'BRAWLERS OFICIAL'!M11)-'BRAWLERS OFICIAL'!M11</f>
        <v>0</v>
      </c>
      <c r="N11" s="100">
        <f>(0 + 'BRAWLERS OFICIAL'!N11)-'BRAWLERS OFICIAL'!N11</f>
        <v>0</v>
      </c>
      <c r="O11" s="100">
        <f>(0 + 'BRAWLERS OFICIAL'!O11)-'BRAWLERS OFICIAL'!O11</f>
        <v>0</v>
      </c>
      <c r="P11" s="100">
        <f>(0 + 'BRAWLERS OFICIAL'!P11)-'BRAWLERS OFICIAL'!P11</f>
        <v>0</v>
      </c>
      <c r="Q11" s="100">
        <f>(0 + 'BRAWLERS OFICIAL'!Q11)-'BRAWLERS OFICIAL'!Q11</f>
        <v>0</v>
      </c>
      <c r="R11" s="100">
        <f>(0 + 'BRAWLERS OFICIAL'!R11)-'BRAWLERS OFICIAL'!R11</f>
        <v>0</v>
      </c>
      <c r="S11" s="100">
        <f>(0 + 'BRAWLERS OFICIAL'!S11)-'BRAWLERS OFICIAL'!S11</f>
        <v>0</v>
      </c>
      <c r="T11" s="100">
        <f>(0 + 'BRAWLERS OFICIAL'!T11)-'BRAWLERS OFICIAL'!T11</f>
        <v>0</v>
      </c>
      <c r="U11" s="100">
        <f>(0 + 'BRAWLERS OFICIAL'!U11)-'BRAWLERS OFICIAL'!U11</f>
        <v>0</v>
      </c>
      <c r="V11" s="100">
        <f>(0 + 'BRAWLERS OFICIAL'!V11)-'BRAWLERS OFICIAL'!V11</f>
        <v>0</v>
      </c>
      <c r="W11" s="100">
        <f>(0 + 'BRAWLERS OFICIAL'!W11)-'BRAWLERS OFICIAL'!W11</f>
        <v>0</v>
      </c>
      <c r="X11" s="103">
        <f>(( 0 + 'BRAWLERS OFICIAL'!X11 + AP11 + AY11/3.5 )-'BRAWLERS OFICIAL'!X11)/($BQ11)</f>
        <v>0</v>
      </c>
      <c r="Y11" s="101">
        <f>((0 + 'BRAWLERS OFICIAL'!Y11)-'BRAWLERS OFICIAL'!Y11)/($BQ11)</f>
        <v>0</v>
      </c>
      <c r="Z11" s="101">
        <f>(((0)/3 + 'BRAWLERS OFICIAL'!Z11)-'BRAWLERS OFICIAL'!Z11)</f>
        <v>0</v>
      </c>
      <c r="AA11" s="101">
        <f>((0 + 'BRAWLERS OFICIAL'!AA11)-'BRAWLERS OFICIAL'!AA11)/($BQ11)</f>
        <v>0</v>
      </c>
      <c r="AB11" s="101">
        <f>((0 + 'BRAWLERS OFICIAL'!AB11)-'BRAWLERS OFICIAL'!AB11)</f>
        <v>0</v>
      </c>
      <c r="AC11" s="101">
        <f>(((0)/4 + 'BRAWLERS OFICIAL'!AC11)-'BRAWLERS OFICIAL'!AC11)/($BQ11)</f>
        <v>0</v>
      </c>
      <c r="AD11" s="101">
        <f>((0 + 'BRAWLERS OFICIAL'!AD11)-'BRAWLERS OFICIAL'!AD11)/($BQ11)</f>
        <v>0</v>
      </c>
      <c r="AE11" s="101">
        <f>((0 + 'BRAWLERS OFICIAL'!AE11)-'BRAWLERS OFICIAL'!AE11)/($BQ11)</f>
        <v>0</v>
      </c>
      <c r="AF11" s="101">
        <f>((0 + 'BRAWLERS OFICIAL'!AF11)-'BRAWLERS OFICIAL'!AF11)/($BQ11)</f>
        <v>0</v>
      </c>
      <c r="AG11" s="101">
        <f>((0 + 'BRAWLERS OFICIAL'!AG11)-'BRAWLERS OFICIAL'!AG11)</f>
        <v>0</v>
      </c>
      <c r="AH11" s="101">
        <f>((0 + 'BRAWLERS OFICIAL'!AH11)-'BRAWLERS OFICIAL'!AH11)</f>
        <v>0</v>
      </c>
      <c r="AI11" s="101">
        <f>((0 + 'BRAWLERS OFICIAL'!AI11)-'BRAWLERS OFICIAL'!AI11)</f>
        <v>0</v>
      </c>
      <c r="AJ11" s="101">
        <f>((0 + 'BRAWLERS OFICIAL'!AJ11)-'BRAWLERS OFICIAL'!AJ11)/($BQ11)</f>
        <v>0</v>
      </c>
      <c r="AK11" s="101">
        <f>((0 + 'BRAWLERS OFICIAL'!AK11)-'BRAWLERS OFICIAL'!AK11)/($BQ11)</f>
        <v>0</v>
      </c>
      <c r="AL11" s="101">
        <f>(((BK11/5+1)*AK11 + 'BRAWLERS OFICIAL'!AL11)-'BRAWLERS OFICIAL'!AL11)/($BQ11)</f>
        <v>0</v>
      </c>
      <c r="AM11" s="101">
        <f>IF( 0 = (1-1), (1-1), ((0 + 'BRAWLERS OFICIAL'!AM11)/1.5)-'BRAWLERS OFICIAL'!AM11 )</f>
        <v>0</v>
      </c>
      <c r="AN11" s="101">
        <f t="shared" si="0"/>
        <v>0</v>
      </c>
      <c r="AO11" s="101">
        <f>((0 + 'BRAWLERS OFICIAL'!AO11)-'BRAWLERS OFICIAL'!AO11)/($BQ11)</f>
        <v>0</v>
      </c>
      <c r="AP11" s="101">
        <f>((0/1000 + 'BRAWLERS OFICIAL'!AP11)-'BRAWLERS OFICIAL'!AP11)</f>
        <v>0</v>
      </c>
      <c r="AQ11" s="101">
        <f>((0 + 'BRAWLERS OFICIAL'!AQ11)-'BRAWLERS OFICIAL'!AQ11)</f>
        <v>0</v>
      </c>
      <c r="AR11" s="101">
        <f>IF( 0 = (1-1), (1-1), ((0 + 'BRAWLERS OFICIAL'!AR11)/1.5) )</f>
        <v>0</v>
      </c>
      <c r="AS11" s="101">
        <f>IF( 0 = (1-1), (1-1), ((0 + 'BRAWLERS OFICIAL'!AS11)/1.5) )</f>
        <v>0</v>
      </c>
      <c r="AT11" s="101">
        <f>IF( 0 = (1-1), (1-1), ((0 + 'BRAWLERS OFICIAL'!AT11)/2) )</f>
        <v>0</v>
      </c>
      <c r="AU11" s="101">
        <f>((0 + 'BRAWLERS OFICIAL'!AU11)-'BRAWLERS OFICIAL'!AU11)/($BQ11)</f>
        <v>0</v>
      </c>
      <c r="AV11" s="101">
        <f>(((0)/4 + 'BRAWLERS OFICIAL'!AV11)-'BRAWLERS OFICIAL'!AV11)</f>
        <v>0</v>
      </c>
      <c r="AW11" s="101">
        <v>5</v>
      </c>
      <c r="AX11" s="101" t="s">
        <v>480</v>
      </c>
      <c r="AY11" s="100">
        <f>((( 0 )/3 + 'BRAWLERS OFICIAL'!AY11)-'BRAWLERS OFICIAL'!AY11)</f>
        <v>0</v>
      </c>
      <c r="AZ11" s="100">
        <f>((( 0 )/2 + 'BRAWLERS OFICIAL'!AZ11)-'BRAWLERS OFICIAL'!AZ11)/($BQ11)</f>
        <v>0</v>
      </c>
      <c r="BA11" s="100">
        <f>((( 0 )/2 + 'BRAWLERS OFICIAL'!BA11)-'BRAWLERS OFICIAL'!BA11)</f>
        <v>0</v>
      </c>
      <c r="BB11" s="100">
        <f>((( 0 )/3 + 'BRAWLERS OFICIAL'!BB11)-'BRAWLERS OFICIAL'!BB11)</f>
        <v>0</v>
      </c>
      <c r="BC11" s="100">
        <f>((( 0 )/2 + 'BRAWLERS OFICIAL'!BC11)-'BRAWLERS OFICIAL'!BC11)/($BQ11)</f>
        <v>0</v>
      </c>
      <c r="BD11" s="100">
        <f>((( 0 )/3 + 'BRAWLERS OFICIAL'!BD11)-'BRAWLERS OFICIAL'!BD11)</f>
        <v>0</v>
      </c>
      <c r="BE11" s="100">
        <f>((( 0 )/3 + 'BRAWLERS OFICIAL'!BE11)-'BRAWLERS OFICIAL'!BE11)</f>
        <v>0</v>
      </c>
      <c r="BF11" s="100">
        <f>((0 + 'BRAWLERS OFICIAL'!BF11)-'BRAWLERS OFICIAL'!BF11)/($BQ11)</f>
        <v>0</v>
      </c>
      <c r="BG11" s="100">
        <f>((0 + 'BRAWLERS OFICIAL'!BG11)-'BRAWLERS OFICIAL'!BG11)/($BQ11)</f>
        <v>0</v>
      </c>
      <c r="BH11" s="100">
        <f>((( 0 )/2 + 'BRAWLERS OFICIAL'!BH11)-'BRAWLERS OFICIAL'!BH11)</f>
        <v>0</v>
      </c>
      <c r="BI11" s="100">
        <f>((0 + 'BRAWLERS OFICIAL'!BI11)-'BRAWLERS OFICIAL'!BI11)/($BQ11)</f>
        <v>0</v>
      </c>
      <c r="BJ11" s="100">
        <f>((( 0 )/2 + 'BRAWLERS OFICIAL'!BJ11)-'BRAWLERS OFICIAL'!BJ11)</f>
        <v>0</v>
      </c>
      <c r="BK11" s="100">
        <f>((( 0 )/3 + 'BRAWLERS OFICIAL'!BK11)-'BRAWLERS OFICIAL'!BK11)</f>
        <v>0</v>
      </c>
      <c r="BL11" s="100">
        <f>((( 0 )/2 + 'BRAWLERS OFICIAL'!BL11)-'BRAWLERS OFICIAL'!BL11)</f>
        <v>0</v>
      </c>
      <c r="BM11" s="100">
        <f>((0 + 'BRAWLERS OFICIAL'!BM11)-'BRAWLERS OFICIAL'!BM11)/($BQ11)</f>
        <v>0</v>
      </c>
      <c r="BN11" s="100">
        <f>((0 + 'BRAWLERS OFICIAL'!BN11)-'BRAWLERS OFICIAL'!BN11)/($BQ11)</f>
        <v>0</v>
      </c>
      <c r="BO11" s="100">
        <f>((0 + 'BRAWLERS OFICIAL'!BO11)-'BRAWLERS OFICIAL'!BO11)/($BQ11)</f>
        <v>0</v>
      </c>
      <c r="BQ11" s="100">
        <v>1</v>
      </c>
    </row>
    <row r="12" spans="1:69">
      <c r="B12" s="97" t="s">
        <v>481</v>
      </c>
      <c r="C12" s="98" t="s">
        <v>43</v>
      </c>
      <c r="D12" s="135" t="s">
        <v>364</v>
      </c>
      <c r="E12" s="135" t="s">
        <v>373</v>
      </c>
      <c r="F12" s="100">
        <f>(0 + 'BRAWLERS OFICIAL'!F12)-'BRAWLERS OFICIAL'!F12</f>
        <v>0</v>
      </c>
      <c r="G12" s="100">
        <f>(0 + 'BRAWLERS OFICIAL'!G12)-'BRAWLERS OFICIAL'!G12</f>
        <v>0</v>
      </c>
      <c r="H12" s="100">
        <f>(0 + 'BRAWLERS OFICIAL'!H12)-'BRAWLERS OFICIAL'!H12</f>
        <v>0</v>
      </c>
      <c r="I12" s="100">
        <f>(0 + 'BRAWLERS OFICIAL'!I12)-'BRAWLERS OFICIAL'!I12</f>
        <v>0</v>
      </c>
      <c r="J12" s="100">
        <f>(0 + 'BRAWLERS OFICIAL'!J12)-'BRAWLERS OFICIAL'!J12</f>
        <v>0</v>
      </c>
      <c r="K12" s="100">
        <f>(0 + 'BRAWLERS OFICIAL'!K12)-'BRAWLERS OFICIAL'!K12</f>
        <v>0</v>
      </c>
      <c r="L12" s="100">
        <f>(0 + 'BRAWLERS OFICIAL'!L12)-'BRAWLERS OFICIAL'!L12</f>
        <v>0</v>
      </c>
      <c r="M12" s="100">
        <f>(0 + 'BRAWLERS OFICIAL'!M12)-'BRAWLERS OFICIAL'!M12</f>
        <v>0</v>
      </c>
      <c r="N12" s="100">
        <f>(0 + 'BRAWLERS OFICIAL'!N12)-'BRAWLERS OFICIAL'!N12</f>
        <v>0</v>
      </c>
      <c r="O12" s="100">
        <f>(0 + 'BRAWLERS OFICIAL'!O12)-'BRAWLERS OFICIAL'!O12</f>
        <v>0</v>
      </c>
      <c r="P12" s="100">
        <f>(0 + 'BRAWLERS OFICIAL'!P12)-'BRAWLERS OFICIAL'!P12</f>
        <v>0</v>
      </c>
      <c r="Q12" s="100">
        <f>(0 + 'BRAWLERS OFICIAL'!Q12)-'BRAWLERS OFICIAL'!Q12</f>
        <v>0</v>
      </c>
      <c r="R12" s="100">
        <f>(0 + 'BRAWLERS OFICIAL'!R12)-'BRAWLERS OFICIAL'!R12</f>
        <v>0</v>
      </c>
      <c r="S12" s="100">
        <f>(0 + 'BRAWLERS OFICIAL'!S12)-'BRAWLERS OFICIAL'!S12</f>
        <v>0</v>
      </c>
      <c r="T12" s="100">
        <f>(0 + 'BRAWLERS OFICIAL'!T12)-'BRAWLERS OFICIAL'!T12</f>
        <v>0</v>
      </c>
      <c r="U12" s="100">
        <f>(0 + 'BRAWLERS OFICIAL'!U12)-'BRAWLERS OFICIAL'!U12</f>
        <v>0</v>
      </c>
      <c r="V12" s="100">
        <f>(0 + 'BRAWLERS OFICIAL'!V12)-'BRAWLERS OFICIAL'!V12</f>
        <v>0</v>
      </c>
      <c r="W12" s="100">
        <f>(0 + 'BRAWLERS OFICIAL'!W12)-'BRAWLERS OFICIAL'!W12</f>
        <v>0</v>
      </c>
      <c r="X12" s="103">
        <f>(( 'BRAWLERS OFICIAL'!X12/10/2 + 1360/1400 + 'BRAWLERS OFICIAL'!X12 + AP12 + AY12/3.5 )-'BRAWLERS OFICIAL'!X12)/($BQ12)</f>
        <v>1.4571428571428573</v>
      </c>
      <c r="Y12" s="101">
        <f>((0 + 'BRAWLERS OFICIAL'!Y12)-'BRAWLERS OFICIAL'!Y12)/($BQ12)</f>
        <v>0</v>
      </c>
      <c r="Z12" s="101">
        <f>(((0)/3 + 'BRAWLERS OFICIAL'!Z12)-'BRAWLERS OFICIAL'!Z12)</f>
        <v>0</v>
      </c>
      <c r="AA12" s="101">
        <f>((0 + 'BRAWLERS OFICIAL'!AA12)-'BRAWLERS OFICIAL'!AA12)/($BQ12)</f>
        <v>0</v>
      </c>
      <c r="AB12" s="101">
        <f>((0 + 'BRAWLERS OFICIAL'!AB12)-'BRAWLERS OFICIAL'!AB12)</f>
        <v>0</v>
      </c>
      <c r="AC12" s="101">
        <f>(((0)/4 + 'BRAWLERS OFICIAL'!AC12)-'BRAWLERS OFICIAL'!AC12)/($BQ12)</f>
        <v>0</v>
      </c>
      <c r="AD12" s="101">
        <f>((0 + 'BRAWLERS OFICIAL'!AD12)-'BRAWLERS OFICIAL'!AD12)/($BQ12)</f>
        <v>0</v>
      </c>
      <c r="AE12" s="101">
        <f>((0 + 'BRAWLERS OFICIAL'!AE12)-'BRAWLERS OFICIAL'!AE12)/($BQ12)</f>
        <v>0</v>
      </c>
      <c r="AF12" s="101">
        <f>((0 + 'BRAWLERS OFICIAL'!AF12)-'BRAWLERS OFICIAL'!AF12)/($BQ12)</f>
        <v>0</v>
      </c>
      <c r="AG12" s="101">
        <f>((0 + 'BRAWLERS OFICIAL'!AG12)-'BRAWLERS OFICIAL'!AG12)</f>
        <v>0</v>
      </c>
      <c r="AH12" s="101">
        <f>((0 + 'BRAWLERS OFICIAL'!AH12)-'BRAWLERS OFICIAL'!AH12)</f>
        <v>0</v>
      </c>
      <c r="AI12" s="101">
        <f>((0 + 'BRAWLERS OFICIAL'!AI12)-'BRAWLERS OFICIAL'!AI12)</f>
        <v>0</v>
      </c>
      <c r="AJ12" s="101">
        <f>((0 + 'BRAWLERS OFICIAL'!AJ12)-'BRAWLERS OFICIAL'!AJ12)/($BQ12)</f>
        <v>0</v>
      </c>
      <c r="AK12" s="101">
        <f>((0 + 'BRAWLERS OFICIAL'!AK12)-'BRAWLERS OFICIAL'!AK12)/($BQ12)</f>
        <v>0</v>
      </c>
      <c r="AL12" s="101">
        <f>(((BK12/5+1)*AK12 + 'BRAWLERS OFICIAL'!AL12)-'BRAWLERS OFICIAL'!AL12)/($BQ12)</f>
        <v>0</v>
      </c>
      <c r="AM12" s="101">
        <f>IF( 0 = (1-1), (1-1), ((0 + 'BRAWLERS OFICIAL'!AM12)/1.5)-'BRAWLERS OFICIAL'!AM12 )</f>
        <v>0</v>
      </c>
      <c r="AN12" s="101">
        <f t="shared" si="0"/>
        <v>0</v>
      </c>
      <c r="AO12" s="101">
        <f>((0 + 'BRAWLERS OFICIAL'!AO12)-'BRAWLERS OFICIAL'!AO12)/($BQ12)</f>
        <v>0</v>
      </c>
      <c r="AP12" s="101">
        <f>((0/1000 + 'BRAWLERS OFICIAL'!AP12)-'BRAWLERS OFICIAL'!AP12)</f>
        <v>0</v>
      </c>
      <c r="AQ12" s="101">
        <f>((0 + 'BRAWLERS OFICIAL'!AQ12)-'BRAWLERS OFICIAL'!AQ12)</f>
        <v>0</v>
      </c>
      <c r="AR12" s="101">
        <f>IF( 0 = (1-1), (1-1), ((0 + 'BRAWLERS OFICIAL'!AR12)/1.5) )</f>
        <v>0</v>
      </c>
      <c r="AS12" s="101">
        <f>IF( 0 = (1-1), (1-1), ((0 + 'BRAWLERS OFICIAL'!AS12)/1.5) )</f>
        <v>0</v>
      </c>
      <c r="AT12" s="101">
        <f>IF( 0 = (1-1), (1-1), ((0 + 'BRAWLERS OFICIAL'!AT12)/2) )</f>
        <v>0</v>
      </c>
      <c r="AU12" s="101">
        <f>((0 + 'BRAWLERS OFICIAL'!AU12)-'BRAWLERS OFICIAL'!AU12)/($BQ12)</f>
        <v>0</v>
      </c>
      <c r="AV12" s="101">
        <f>(((0)/4 + 'BRAWLERS OFICIAL'!AV12)-'BRAWLERS OFICIAL'!AV12)</f>
        <v>0</v>
      </c>
      <c r="AW12" s="101">
        <v>0</v>
      </c>
      <c r="AX12" s="101" t="s">
        <v>390</v>
      </c>
      <c r="AY12" s="100">
        <f>((( 0 )/3 + 'BRAWLERS OFICIAL'!AY12)-'BRAWLERS OFICIAL'!AY12)</f>
        <v>0</v>
      </c>
      <c r="AZ12" s="100">
        <f>((( 0 )/2 + 'BRAWLERS OFICIAL'!AZ12)-'BRAWLERS OFICIAL'!AZ12)/($BQ12)</f>
        <v>0</v>
      </c>
      <c r="BA12" s="100">
        <f>((( 0 )/2 + 'BRAWLERS OFICIAL'!BA12)-'BRAWLERS OFICIAL'!BA12)</f>
        <v>0</v>
      </c>
      <c r="BB12" s="100">
        <f>((( 0 )/3 + 'BRAWLERS OFICIAL'!BB12)-'BRAWLERS OFICIAL'!BB12)</f>
        <v>0</v>
      </c>
      <c r="BC12" s="100">
        <f>((( 0 )/2 + 'BRAWLERS OFICIAL'!BC12)-'BRAWLERS OFICIAL'!BC12)/($BQ12)</f>
        <v>0</v>
      </c>
      <c r="BD12" s="100">
        <f>((( 0 )/3 + 'BRAWLERS OFICIAL'!BD12)-'BRAWLERS OFICIAL'!BD12)</f>
        <v>0</v>
      </c>
      <c r="BE12" s="100">
        <f>((( 0 )/3 + 'BRAWLERS OFICIAL'!BE12)-'BRAWLERS OFICIAL'!BE12)</f>
        <v>0</v>
      </c>
      <c r="BF12" s="100">
        <f>((0 + 'BRAWLERS OFICIAL'!BF12)-'BRAWLERS OFICIAL'!BF12)/($BQ12)</f>
        <v>0</v>
      </c>
      <c r="BG12" s="100">
        <f>((0 + 'BRAWLERS OFICIAL'!BG12)-'BRAWLERS OFICIAL'!BG12)/($BQ12)</f>
        <v>0</v>
      </c>
      <c r="BH12" s="100">
        <f>((( 0 )/2 + 'BRAWLERS OFICIAL'!BH12)-'BRAWLERS OFICIAL'!BH12)</f>
        <v>0</v>
      </c>
      <c r="BI12" s="100">
        <f>((0 + 'BRAWLERS OFICIAL'!BI12)-'BRAWLERS OFICIAL'!BI12)/($BQ12)</f>
        <v>0</v>
      </c>
      <c r="BJ12" s="100">
        <f>((( 0 )/2 + 'BRAWLERS OFICIAL'!BJ12)-'BRAWLERS OFICIAL'!BJ12)</f>
        <v>0</v>
      </c>
      <c r="BK12" s="100">
        <f>((( 0 )/3 + 'BRAWLERS OFICIAL'!BK12)-'BRAWLERS OFICIAL'!BK12)</f>
        <v>0</v>
      </c>
      <c r="BL12" s="100">
        <f>((( 0 )/2 + 'BRAWLERS OFICIAL'!BL12)-'BRAWLERS OFICIAL'!BL12)</f>
        <v>0</v>
      </c>
      <c r="BM12" s="100">
        <f>((0 + 'BRAWLERS OFICIAL'!BM12)-'BRAWLERS OFICIAL'!BM12)/($BQ12)</f>
        <v>0</v>
      </c>
      <c r="BN12" s="100">
        <f>((0 + 'BRAWLERS OFICIAL'!BN12)-'BRAWLERS OFICIAL'!BN12)/($BQ12)</f>
        <v>0</v>
      </c>
      <c r="BO12" s="100">
        <f>((0 + 'BRAWLERS OFICIAL'!BO12)-'BRAWLERS OFICIAL'!BO12)/($BQ12)</f>
        <v>0</v>
      </c>
      <c r="BQ12" s="100">
        <v>1</v>
      </c>
    </row>
    <row r="13" spans="1:69">
      <c r="B13" s="97" t="s">
        <v>482</v>
      </c>
      <c r="C13" s="70" t="s">
        <v>93</v>
      </c>
      <c r="D13" s="134" t="s">
        <v>351</v>
      </c>
      <c r="E13" s="134" t="s">
        <v>358</v>
      </c>
      <c r="F13" s="100">
        <f>(0 + 'BRAWLERS OFICIAL'!F13)-'BRAWLERS OFICIAL'!F13</f>
        <v>0</v>
      </c>
      <c r="G13" s="100">
        <f>(0 + 'BRAWLERS OFICIAL'!G13)-'BRAWLERS OFICIAL'!G13</f>
        <v>0</v>
      </c>
      <c r="H13" s="100">
        <f>(0 + 'BRAWLERS OFICIAL'!H13)-'BRAWLERS OFICIAL'!H13</f>
        <v>0</v>
      </c>
      <c r="I13" s="100">
        <f>(0 + 'BRAWLERS OFICIAL'!I13)-'BRAWLERS OFICIAL'!I13</f>
        <v>0</v>
      </c>
      <c r="J13" s="100">
        <f>(0 + 'BRAWLERS OFICIAL'!J13)-'BRAWLERS OFICIAL'!J13</f>
        <v>0</v>
      </c>
      <c r="K13" s="100">
        <f>(0 + 'BRAWLERS OFICIAL'!K13)-'BRAWLERS OFICIAL'!K13</f>
        <v>0</v>
      </c>
      <c r="L13" s="100">
        <f>(0 + 'BRAWLERS OFICIAL'!L13)-'BRAWLERS OFICIAL'!L13</f>
        <v>0</v>
      </c>
      <c r="M13" s="100">
        <f>(0 + 'BRAWLERS OFICIAL'!M13)-'BRAWLERS OFICIAL'!M13</f>
        <v>0</v>
      </c>
      <c r="N13" s="100">
        <f>(0 + 'BRAWLERS OFICIAL'!N13)-'BRAWLERS OFICIAL'!N13</f>
        <v>0</v>
      </c>
      <c r="O13" s="100">
        <f>(0 + 'BRAWLERS OFICIAL'!O13)-'BRAWLERS OFICIAL'!O13</f>
        <v>0</v>
      </c>
      <c r="P13" s="100">
        <f>(0 + 'BRAWLERS OFICIAL'!P13)-'BRAWLERS OFICIAL'!P13</f>
        <v>0</v>
      </c>
      <c r="Q13" s="100">
        <f>(0 + 'BRAWLERS OFICIAL'!Q13)-'BRAWLERS OFICIAL'!Q13</f>
        <v>0</v>
      </c>
      <c r="R13" s="100">
        <f>(0 + 'BRAWLERS OFICIAL'!R13)-'BRAWLERS OFICIAL'!R13</f>
        <v>0</v>
      </c>
      <c r="S13" s="100">
        <f>(0 + 'BRAWLERS OFICIAL'!S13)-'BRAWLERS OFICIAL'!S13</f>
        <v>0</v>
      </c>
      <c r="T13" s="100">
        <f>(0 + 'BRAWLERS OFICIAL'!T13)-'BRAWLERS OFICIAL'!T13</f>
        <v>0</v>
      </c>
      <c r="U13" s="100">
        <f>(0 + 'BRAWLERS OFICIAL'!U13)-'BRAWLERS OFICIAL'!U13</f>
        <v>0</v>
      </c>
      <c r="V13" s="100">
        <f>(0 + 'BRAWLERS OFICIAL'!V13)-'BRAWLERS OFICIAL'!V13</f>
        <v>0</v>
      </c>
      <c r="W13" s="100">
        <f>(0 + 'BRAWLERS OFICIAL'!W13)-'BRAWLERS OFICIAL'!W13</f>
        <v>0</v>
      </c>
      <c r="X13" s="103">
        <f>(( 0 + 'BRAWLERS OFICIAL'!X13 + AP13 + AY13/3.5 )-'BRAWLERS OFICIAL'!X13)/($BQ13)</f>
        <v>0.53968253968253987</v>
      </c>
      <c r="Y13" s="101">
        <f>((0 + 'BRAWLERS OFICIAL'!Y13)-'BRAWLERS OFICIAL'!Y13)/($BQ13)</f>
        <v>0</v>
      </c>
      <c r="Z13" s="101">
        <f>(((0)/3 + 'BRAWLERS OFICIAL'!Z13)-'BRAWLERS OFICIAL'!Z13)</f>
        <v>0</v>
      </c>
      <c r="AA13" s="101">
        <f>((0 + 'BRAWLERS OFICIAL'!AA13)-'BRAWLERS OFICIAL'!AA13)/($BQ13)</f>
        <v>0</v>
      </c>
      <c r="AB13" s="101">
        <f>((0 + 'BRAWLERS OFICIAL'!AB13)-'BRAWLERS OFICIAL'!AB13)</f>
        <v>0</v>
      </c>
      <c r="AC13" s="101">
        <f>(((0)/4 + 'BRAWLERS OFICIAL'!AC13)-'BRAWLERS OFICIAL'!AC13)/($BQ13)</f>
        <v>0</v>
      </c>
      <c r="AD13" s="101">
        <f>((0 + 'BRAWLERS OFICIAL'!AD13)-'BRAWLERS OFICIAL'!AD13)/($BQ13)</f>
        <v>0</v>
      </c>
      <c r="AE13" s="101">
        <f>((0 + 'BRAWLERS OFICIAL'!AE13)-'BRAWLERS OFICIAL'!AE13)/($BQ13)</f>
        <v>0</v>
      </c>
      <c r="AF13" s="101">
        <f>((0 + 'BRAWLERS OFICIAL'!AF13)-'BRAWLERS OFICIAL'!AF13)/($BQ13)</f>
        <v>0</v>
      </c>
      <c r="AG13" s="101">
        <f>((0 + 'BRAWLERS OFICIAL'!AG13)-'BRAWLERS OFICIAL'!AG13)</f>
        <v>0</v>
      </c>
      <c r="AH13" s="101">
        <f>((0 + 'BRAWLERS OFICIAL'!AH13)-'BRAWLERS OFICIAL'!AH13)</f>
        <v>0</v>
      </c>
      <c r="AI13" s="101">
        <f>((0 + 'BRAWLERS OFICIAL'!AI13)-'BRAWLERS OFICIAL'!AI13)</f>
        <v>0</v>
      </c>
      <c r="AJ13" s="101">
        <f>((0 + 'BRAWLERS OFICIAL'!AJ13)-'BRAWLERS OFICIAL'!AJ13)/($BQ13)</f>
        <v>0</v>
      </c>
      <c r="AK13" s="101">
        <f>((0 + 'BRAWLERS OFICIAL'!AK13)-'BRAWLERS OFICIAL'!AK13)/($BQ13)</f>
        <v>0</v>
      </c>
      <c r="AL13" s="101">
        <f>(((BK13/5+1)*AK13 + 'BRAWLERS OFICIAL'!AL13)-'BRAWLERS OFICIAL'!AL13)/($BQ13)</f>
        <v>0</v>
      </c>
      <c r="AM13" s="101">
        <f>IF( 0 = (1-1), (1-1), ((0 + 'BRAWLERS OFICIAL'!AM13)/1.5)-'BRAWLERS OFICIAL'!AM13 )</f>
        <v>0</v>
      </c>
      <c r="AN13" s="101">
        <f t="shared" si="0"/>
        <v>0</v>
      </c>
      <c r="AO13" s="101">
        <f>((0 + 'BRAWLERS OFICIAL'!AO13)-'BRAWLERS OFICIAL'!AO13)/($BQ13)</f>
        <v>0</v>
      </c>
      <c r="AP13" s="101">
        <f>((0/1000 + 'BRAWLERS OFICIAL'!AP13)-'BRAWLERS OFICIAL'!AP13)</f>
        <v>0</v>
      </c>
      <c r="AQ13" s="101">
        <f>((0 + 'BRAWLERS OFICIAL'!AQ13)-'BRAWLERS OFICIAL'!AQ13)</f>
        <v>0</v>
      </c>
      <c r="AR13" s="101">
        <f>IF( 0 = (1-1), (1-1), ((0 + 'BRAWLERS OFICIAL'!AR13)/1.5) )</f>
        <v>0</v>
      </c>
      <c r="AS13" s="101">
        <f>IF( 0 = (1-1), (1-1), ((0 + 'BRAWLERS OFICIAL'!AS13)/1.5) )</f>
        <v>0</v>
      </c>
      <c r="AT13" s="101">
        <f>IF( 0 = (1-1), (1-1), ((0 + 'BRAWLERS OFICIAL'!AT13)/2) )</f>
        <v>0</v>
      </c>
      <c r="AU13" s="101">
        <f>((0 + 'BRAWLERS OFICIAL'!AU13)-'BRAWLERS OFICIAL'!AU13)/($BQ13)</f>
        <v>0</v>
      </c>
      <c r="AV13" s="101">
        <f>(((0)/4 + 'BRAWLERS OFICIAL'!AV13)-'BRAWLERS OFICIAL'!AV13)</f>
        <v>0</v>
      </c>
      <c r="AW13" s="101">
        <v>0</v>
      </c>
      <c r="AX13" s="101" t="s">
        <v>390</v>
      </c>
      <c r="AY13" s="100">
        <f>((6 + 8 + 3)/3 + 'BRAWLERS OFICIAL'!AY13)-'BRAWLERS OFICIAL'!AY13</f>
        <v>5.666666666666667</v>
      </c>
      <c r="AZ13" s="100">
        <f>((( 0 )/2 + 'BRAWLERS OFICIAL'!AZ13)-'BRAWLERS OFICIAL'!AZ13)/($BQ13)</f>
        <v>0</v>
      </c>
      <c r="BA13" s="100">
        <f>((( 0 )/2 + 'BRAWLERS OFICIAL'!BA13)-'BRAWLERS OFICIAL'!BA13)</f>
        <v>0</v>
      </c>
      <c r="BB13" s="100">
        <f>((( 0 )/3 + 'BRAWLERS OFICIAL'!BB13)-'BRAWLERS OFICIAL'!BB13)</f>
        <v>0</v>
      </c>
      <c r="BC13" s="100">
        <f>((( 0 )/2 + 'BRAWLERS OFICIAL'!BC13)-'BRAWLERS OFICIAL'!BC13)/($BQ13)</f>
        <v>0</v>
      </c>
      <c r="BD13" s="100">
        <f>((( 0 )/3 + 'BRAWLERS OFICIAL'!BD13)-'BRAWLERS OFICIAL'!BD13)</f>
        <v>0</v>
      </c>
      <c r="BE13" s="100">
        <f>((( 0 )/3 + 'BRAWLERS OFICIAL'!BE13)-'BRAWLERS OFICIAL'!BE13)</f>
        <v>0</v>
      </c>
      <c r="BF13" s="100">
        <f>((0 + 'BRAWLERS OFICIAL'!BF13)-'BRAWLERS OFICIAL'!BF13)/($BQ13)</f>
        <v>0</v>
      </c>
      <c r="BG13" s="100">
        <f>((0 + 'BRAWLERS OFICIAL'!BG13)-'BRAWLERS OFICIAL'!BG13)/($BQ13)</f>
        <v>0</v>
      </c>
      <c r="BH13" s="100">
        <f>((( 0 )/2 + 'BRAWLERS OFICIAL'!BH13)-'BRAWLERS OFICIAL'!BH13)</f>
        <v>0</v>
      </c>
      <c r="BI13" s="100">
        <f>((0 + 'BRAWLERS OFICIAL'!BI13)-'BRAWLERS OFICIAL'!BI13)/($BQ13)</f>
        <v>0</v>
      </c>
      <c r="BJ13" s="100">
        <f>((( 0 )/2 + 'BRAWLERS OFICIAL'!BJ13)-'BRAWLERS OFICIAL'!BJ13)</f>
        <v>0</v>
      </c>
      <c r="BK13" s="100">
        <f>((( 0 )/3 + 'BRAWLERS OFICIAL'!BK13)-'BRAWLERS OFICIAL'!BK13)</f>
        <v>0</v>
      </c>
      <c r="BL13" s="100">
        <f>((( 0 )/2 + 'BRAWLERS OFICIAL'!BL13)-'BRAWLERS OFICIAL'!BL13)</f>
        <v>0</v>
      </c>
      <c r="BM13" s="100">
        <f>((0 + 'BRAWLERS OFICIAL'!BM13)-'BRAWLERS OFICIAL'!BM13)/($BQ13)</f>
        <v>0</v>
      </c>
      <c r="BN13" s="100">
        <f>((0 + 'BRAWLERS OFICIAL'!BN13)-'BRAWLERS OFICIAL'!BN13)/($BQ13)</f>
        <v>0</v>
      </c>
      <c r="BO13" s="100">
        <f>((0 + 'BRAWLERS OFICIAL'!BO13)-'BRAWLERS OFICIAL'!BO13)/($BQ13)</f>
        <v>0</v>
      </c>
      <c r="BQ13" s="100">
        <f>('BRAWLERS OFICIAL'!F13 / 'BRAWLERS OFICIAL'!J13 / (1 + ('BRAWLERS OFICIAL'!AA13/5)))</f>
        <v>3</v>
      </c>
    </row>
    <row r="14" spans="1:69">
      <c r="B14" s="97" t="s">
        <v>483</v>
      </c>
      <c r="C14" s="98" t="s">
        <v>53</v>
      </c>
      <c r="D14" s="135" t="s">
        <v>377</v>
      </c>
      <c r="E14" s="135" t="s">
        <v>378</v>
      </c>
      <c r="F14" s="100">
        <f>(0 + 'BRAWLERS OFICIAL'!F14)-'BRAWLERS OFICIAL'!F14</f>
        <v>0</v>
      </c>
      <c r="G14" s="100">
        <f>(0 + 'BRAWLERS OFICIAL'!G14)-'BRAWLERS OFICIAL'!G14</f>
        <v>0</v>
      </c>
      <c r="H14" s="100">
        <f>(0 + 'BRAWLERS OFICIAL'!H14)-'BRAWLERS OFICIAL'!H14</f>
        <v>0</v>
      </c>
      <c r="I14" s="100">
        <f>(0 + 'BRAWLERS OFICIAL'!I14)-'BRAWLERS OFICIAL'!I14</f>
        <v>0</v>
      </c>
      <c r="J14" s="100">
        <f>(0 + 'BRAWLERS OFICIAL'!J14)-'BRAWLERS OFICIAL'!J14</f>
        <v>0</v>
      </c>
      <c r="K14" s="100">
        <f>(0 + 'BRAWLERS OFICIAL'!K14)-'BRAWLERS OFICIAL'!K14</f>
        <v>0</v>
      </c>
      <c r="L14" s="100">
        <f>(0 + 'BRAWLERS OFICIAL'!L14)-'BRAWLERS OFICIAL'!L14</f>
        <v>0</v>
      </c>
      <c r="M14" s="100">
        <f>(0 + 'BRAWLERS OFICIAL'!M14)-'BRAWLERS OFICIAL'!M14</f>
        <v>0</v>
      </c>
      <c r="N14" s="100">
        <f>(0 + 'BRAWLERS OFICIAL'!N14)-'BRAWLERS OFICIAL'!N14</f>
        <v>0</v>
      </c>
      <c r="O14" s="100">
        <f>(0 + 'BRAWLERS OFICIAL'!O14)-'BRAWLERS OFICIAL'!O14</f>
        <v>0</v>
      </c>
      <c r="P14" s="100">
        <f>(0 + 'BRAWLERS OFICIAL'!P14)-'BRAWLERS OFICIAL'!P14</f>
        <v>0</v>
      </c>
      <c r="Q14" s="100">
        <f>(0 + 'BRAWLERS OFICIAL'!Q14)-'BRAWLERS OFICIAL'!Q14</f>
        <v>0</v>
      </c>
      <c r="R14" s="100">
        <f>(0 + 'BRAWLERS OFICIAL'!R14)-'BRAWLERS OFICIAL'!R14</f>
        <v>0</v>
      </c>
      <c r="S14" s="100">
        <f>(0 + 'BRAWLERS OFICIAL'!S14)-'BRAWLERS OFICIAL'!S14</f>
        <v>0</v>
      </c>
      <c r="T14" s="100">
        <f>(0 + 'BRAWLERS OFICIAL'!T14)-'BRAWLERS OFICIAL'!T14</f>
        <v>0</v>
      </c>
      <c r="U14" s="100">
        <f>(0 + 'BRAWLERS OFICIAL'!U14)-'BRAWLERS OFICIAL'!U14</f>
        <v>0</v>
      </c>
      <c r="V14" s="100">
        <f>(0 + 'BRAWLERS OFICIAL'!V14)-'BRAWLERS OFICIAL'!V14</f>
        <v>0</v>
      </c>
      <c r="W14" s="100">
        <f>(0 + 'BRAWLERS OFICIAL'!W14)-'BRAWLERS OFICIAL'!W14</f>
        <v>0</v>
      </c>
      <c r="X14" s="103">
        <f>(( 'BRAWLERS OFICIAL'!X14/5 + 'BRAWLERS OFICIAL'!X14 + AP14 + AY14/3.5 )-'BRAWLERS OFICIAL'!X14)/($BQ14)</f>
        <v>1.4285714285714279</v>
      </c>
      <c r="Y14" s="101">
        <f>((0 + 'BRAWLERS OFICIAL'!Y14)-'BRAWLERS OFICIAL'!Y14)/($BQ14)</f>
        <v>0</v>
      </c>
      <c r="Z14" s="101">
        <f>(((0)/3 + 'BRAWLERS OFICIAL'!Z14)-'BRAWLERS OFICIAL'!Z14)</f>
        <v>0</v>
      </c>
      <c r="AA14" s="101">
        <f>((0 + 'BRAWLERS OFICIAL'!AA14)-'BRAWLERS OFICIAL'!AA14)/($BQ14)</f>
        <v>0</v>
      </c>
      <c r="AB14" s="101">
        <f>((0 + 'BRAWLERS OFICIAL'!AB14)-'BRAWLERS OFICIAL'!AB14)</f>
        <v>0</v>
      </c>
      <c r="AC14" s="101">
        <f>(((0)/4 + 'BRAWLERS OFICIAL'!AC14)-'BRAWLERS OFICIAL'!AC14)/($BQ14)</f>
        <v>0</v>
      </c>
      <c r="AD14" s="101">
        <f>((0 + 'BRAWLERS OFICIAL'!AD14)-'BRAWLERS OFICIAL'!AD14)/($BQ14)</f>
        <v>0</v>
      </c>
      <c r="AE14" s="101">
        <f>((0 + 'BRAWLERS OFICIAL'!AE14)-'BRAWLERS OFICIAL'!AE14)/($BQ14)</f>
        <v>0</v>
      </c>
      <c r="AF14" s="101">
        <f>((0 + 'BRAWLERS OFICIAL'!AF14)-'BRAWLERS OFICIAL'!AF14)/($BQ14)</f>
        <v>0</v>
      </c>
      <c r="AG14" s="101">
        <f>((0 + 'BRAWLERS OFICIAL'!AG14)-'BRAWLERS OFICIAL'!AG14)</f>
        <v>0</v>
      </c>
      <c r="AH14" s="101">
        <f>((0 + 'BRAWLERS OFICIAL'!AH14)-'BRAWLERS OFICIAL'!AH14)</f>
        <v>0</v>
      </c>
      <c r="AI14" s="101">
        <f>((0 + 'BRAWLERS OFICIAL'!AI14)-'BRAWLERS OFICIAL'!AI14)</f>
        <v>0</v>
      </c>
      <c r="AJ14" s="101">
        <f>((0 + 'BRAWLERS OFICIAL'!AJ14)-'BRAWLERS OFICIAL'!AJ14)/($BQ14)</f>
        <v>0</v>
      </c>
      <c r="AK14" s="101">
        <f>((0 + 'BRAWLERS OFICIAL'!AK14)-'BRAWLERS OFICIAL'!AK14)/($BQ14)</f>
        <v>0</v>
      </c>
      <c r="AL14" s="101">
        <f>(((BK14/5+1)*AK14 + 'BRAWLERS OFICIAL'!AL14)-'BRAWLERS OFICIAL'!AL14)/($BQ14)</f>
        <v>0</v>
      </c>
      <c r="AM14" s="101">
        <f>IF( 0 = (1-1), (1-1), ((0 + 'BRAWLERS OFICIAL'!AM14)/1.5)-'BRAWLERS OFICIAL'!AM14 )</f>
        <v>0</v>
      </c>
      <c r="AN14" s="101">
        <f t="shared" si="0"/>
        <v>0</v>
      </c>
      <c r="AO14" s="101">
        <f>((0 + 'BRAWLERS OFICIAL'!AO14)-'BRAWLERS OFICIAL'!AO14)/($BQ14)</f>
        <v>0</v>
      </c>
      <c r="AP14" s="101">
        <f>((0/1000 + 'BRAWLERS OFICIAL'!AP14)-'BRAWLERS OFICIAL'!AP14)</f>
        <v>0</v>
      </c>
      <c r="AQ14" s="101">
        <f>((0 + 'BRAWLERS OFICIAL'!AQ14)-'BRAWLERS OFICIAL'!AQ14)</f>
        <v>0</v>
      </c>
      <c r="AR14" s="101">
        <f>IF( 0 = (1-1), (1-1), ((0 + 'BRAWLERS OFICIAL'!AR14)/1.5) )</f>
        <v>0</v>
      </c>
      <c r="AS14" s="101">
        <f>IF( 0 = (1-1), (1-1), ((0 + 'BRAWLERS OFICIAL'!AS14)/1.5) )</f>
        <v>0</v>
      </c>
      <c r="AT14" s="101">
        <f>IF( 0 = (1-1), (1-1), ((0 + 'BRAWLERS OFICIAL'!AT14)/2) )</f>
        <v>0</v>
      </c>
      <c r="AU14" s="101">
        <f>((0 + 'BRAWLERS OFICIAL'!AU14)-'BRAWLERS OFICIAL'!AU14)/($BQ14)</f>
        <v>0</v>
      </c>
      <c r="AV14" s="101">
        <f>(((0)/4 + 'BRAWLERS OFICIAL'!AV14)-'BRAWLERS OFICIAL'!AV14)</f>
        <v>0</v>
      </c>
      <c r="AW14" s="101">
        <v>0</v>
      </c>
      <c r="AX14" s="101" t="s">
        <v>390</v>
      </c>
      <c r="AY14" s="100">
        <f>((( 0 )/3 + 'BRAWLERS OFICIAL'!AY14)-'BRAWLERS OFICIAL'!AY14)</f>
        <v>0</v>
      </c>
      <c r="AZ14" s="100">
        <f>((( 0 )/2 + 'BRAWLERS OFICIAL'!AZ14)-'BRAWLERS OFICIAL'!AZ14)/($BQ14)</f>
        <v>0</v>
      </c>
      <c r="BA14" s="100">
        <f>((( 0 )/2 + 'BRAWLERS OFICIAL'!BA14)-'BRAWLERS OFICIAL'!BA14)</f>
        <v>0</v>
      </c>
      <c r="BB14" s="100">
        <f>((( 0 )/3 + 'BRAWLERS OFICIAL'!BB14)-'BRAWLERS OFICIAL'!BB14)</f>
        <v>0</v>
      </c>
      <c r="BC14" s="100">
        <f>((( 0 )/2 + 'BRAWLERS OFICIAL'!BC14)-'BRAWLERS OFICIAL'!BC14)/($BQ14)</f>
        <v>0</v>
      </c>
      <c r="BD14" s="100">
        <f>((( 0 )/3 + 'BRAWLERS OFICIAL'!BD14)-'BRAWLERS OFICIAL'!BD14)</f>
        <v>0</v>
      </c>
      <c r="BE14" s="100">
        <f>((( 0 )/3 + 'BRAWLERS OFICIAL'!BE14)-'BRAWLERS OFICIAL'!BE14)</f>
        <v>0</v>
      </c>
      <c r="BF14" s="100">
        <f>((0 + 'BRAWLERS OFICIAL'!BF14)-'BRAWLERS OFICIAL'!BF14)/($BQ14)</f>
        <v>0</v>
      </c>
      <c r="BG14" s="100">
        <f>((0 + 'BRAWLERS OFICIAL'!BG14)-'BRAWLERS OFICIAL'!BG14)/($BQ14)</f>
        <v>0</v>
      </c>
      <c r="BH14" s="100">
        <f>((( 0 )/2 + 'BRAWLERS OFICIAL'!BH14)-'BRAWLERS OFICIAL'!BH14)</f>
        <v>0</v>
      </c>
      <c r="BI14" s="100">
        <f>((0 + 'BRAWLERS OFICIAL'!BI14)-'BRAWLERS OFICIAL'!BI14)/($BQ14)</f>
        <v>0</v>
      </c>
      <c r="BJ14" s="100">
        <f>((( 0 )/2 + 'BRAWLERS OFICIAL'!BJ14)-'BRAWLERS OFICIAL'!BJ14)</f>
        <v>0</v>
      </c>
      <c r="BK14" s="100">
        <f>((( 0 )/3 + 'BRAWLERS OFICIAL'!BK14)-'BRAWLERS OFICIAL'!BK14)</f>
        <v>0</v>
      </c>
      <c r="BL14" s="100">
        <f>((( 0 )/2 + 'BRAWLERS OFICIAL'!BL14)-'BRAWLERS OFICIAL'!BL14)</f>
        <v>0</v>
      </c>
      <c r="BM14" s="100">
        <f>((0 + 'BRAWLERS OFICIAL'!BM14)-'BRAWLERS OFICIAL'!BM14)/($BQ14)</f>
        <v>0</v>
      </c>
      <c r="BN14" s="100">
        <f>((0 + 'BRAWLERS OFICIAL'!BN14)-'BRAWLERS OFICIAL'!BN14)/($BQ14)</f>
        <v>0</v>
      </c>
      <c r="BO14" s="100">
        <f>((0 + 'BRAWLERS OFICIAL'!BO14)-'BRAWLERS OFICIAL'!BO14)/($BQ14)</f>
        <v>0</v>
      </c>
      <c r="BQ14" s="100">
        <v>1</v>
      </c>
    </row>
    <row r="15" spans="1:69">
      <c r="B15" s="97" t="s">
        <v>484</v>
      </c>
      <c r="C15" s="98" t="s">
        <v>84</v>
      </c>
      <c r="D15" s="135" t="s">
        <v>389</v>
      </c>
      <c r="E15" s="135" t="s">
        <v>386</v>
      </c>
      <c r="F15" s="100">
        <f>(0 + 'BRAWLERS OFICIAL'!F15)-'BRAWLERS OFICIAL'!F15</f>
        <v>0</v>
      </c>
      <c r="G15" s="100">
        <f>(0 + 'BRAWLERS OFICIAL'!G15)-'BRAWLERS OFICIAL'!G15</f>
        <v>0</v>
      </c>
      <c r="H15" s="100">
        <f>(0 + 'BRAWLERS OFICIAL'!H15)-'BRAWLERS OFICIAL'!H15</f>
        <v>0</v>
      </c>
      <c r="I15" s="100">
        <f>(0 + 'BRAWLERS OFICIAL'!I15)-'BRAWLERS OFICIAL'!I15</f>
        <v>0</v>
      </c>
      <c r="J15" s="100">
        <f>(0 + 'BRAWLERS OFICIAL'!J15)-'BRAWLERS OFICIAL'!J15</f>
        <v>0</v>
      </c>
      <c r="K15" s="100">
        <f>(0 + 'BRAWLERS OFICIAL'!K15)-'BRAWLERS OFICIAL'!K15</f>
        <v>0</v>
      </c>
      <c r="L15" s="100">
        <f>(0 + 'BRAWLERS OFICIAL'!L15)-'BRAWLERS OFICIAL'!L15</f>
        <v>0</v>
      </c>
      <c r="M15" s="100">
        <f>(0 + 'BRAWLERS OFICIAL'!M15)-'BRAWLERS OFICIAL'!M15</f>
        <v>0</v>
      </c>
      <c r="N15" s="100">
        <f>(0 + 'BRAWLERS OFICIAL'!N15)-'BRAWLERS OFICIAL'!N15</f>
        <v>0</v>
      </c>
      <c r="O15" s="100">
        <f>(0 + 'BRAWLERS OFICIAL'!O15)-'BRAWLERS OFICIAL'!O15</f>
        <v>0</v>
      </c>
      <c r="P15" s="100">
        <f>(0 + 'BRAWLERS OFICIAL'!P15)-'BRAWLERS OFICIAL'!P15</f>
        <v>0</v>
      </c>
      <c r="Q15" s="100">
        <f>(1303 + 'BRAWLERS OFICIAL'!Q15)-'BRAWLERS OFICIAL'!Q15</f>
        <v>1303</v>
      </c>
      <c r="R15" s="100">
        <f>(0 + 'BRAWLERS OFICIAL'!R15)-'BRAWLERS OFICIAL'!R15</f>
        <v>0</v>
      </c>
      <c r="S15" s="100">
        <f>(0 + 'BRAWLERS OFICIAL'!S15)-'BRAWLERS OFICIAL'!S15</f>
        <v>0</v>
      </c>
      <c r="T15" s="100">
        <f>(0 + 'BRAWLERS OFICIAL'!T15)-'BRAWLERS OFICIAL'!T15</f>
        <v>0</v>
      </c>
      <c r="U15" s="100">
        <f>(0 + 'BRAWLERS OFICIAL'!U15)-'BRAWLERS OFICIAL'!U15</f>
        <v>0</v>
      </c>
      <c r="V15" s="100">
        <f>(0 + 'BRAWLERS OFICIAL'!V15)-'BRAWLERS OFICIAL'!V15</f>
        <v>0</v>
      </c>
      <c r="W15" s="100">
        <f>(0 + 'BRAWLERS OFICIAL'!W15)-'BRAWLERS OFICIAL'!W15</f>
        <v>0</v>
      </c>
      <c r="X15" s="103">
        <f>(( 0 + 'BRAWLERS OFICIAL'!X15 + AP15 + AY15/3.5 )-'BRAWLERS OFICIAL'!X15)/($BQ15)</f>
        <v>0</v>
      </c>
      <c r="Y15" s="101">
        <f>((0 + 'BRAWLERS OFICIAL'!Y15)-'BRAWLERS OFICIAL'!Y15)/($BQ15)</f>
        <v>0</v>
      </c>
      <c r="Z15" s="101">
        <f>(((5 + 2 + 3)/3)-'BRAWLERS OFICIAL'!Z15)</f>
        <v>3.3333333333333335</v>
      </c>
      <c r="AA15" s="101">
        <f>((9 + 'BRAWLERS OFICIAL'!AA15)-'BRAWLERS OFICIAL'!AA15)/($BQ15)</f>
        <v>2.1599999999999997</v>
      </c>
      <c r="AB15" s="101">
        <f>((1 + 'BRAWLERS OFICIAL'!AB15)-'BRAWLERS OFICIAL'!AB15)</f>
        <v>1</v>
      </c>
      <c r="AC15" s="101">
        <f>(((0)/4 + 'BRAWLERS OFICIAL'!AC15)-'BRAWLERS OFICIAL'!AC15)/($BQ15)</f>
        <v>0</v>
      </c>
      <c r="AD15" s="101">
        <f>((3 + 'BRAWLERS OFICIAL'!AD15)-'BRAWLERS OFICIAL'!AD15)/($BQ15)</f>
        <v>0.72</v>
      </c>
      <c r="AE15" s="101">
        <f>((0 + 'BRAWLERS OFICIAL'!AE15)-'BRAWLERS OFICIAL'!AE15)/($BQ15)</f>
        <v>0</v>
      </c>
      <c r="AF15" s="101">
        <f>((0 + 'BRAWLERS OFICIAL'!AF15)-'BRAWLERS OFICIAL'!AF15)/($BQ15)</f>
        <v>0</v>
      </c>
      <c r="AG15" s="101">
        <f>((0 + 'BRAWLERS OFICIAL'!AG15)-'BRAWLERS OFICIAL'!AG15)</f>
        <v>0</v>
      </c>
      <c r="AH15" s="101">
        <f>((0 + 'BRAWLERS OFICIAL'!AH15)-'BRAWLERS OFICIAL'!AH15)</f>
        <v>0</v>
      </c>
      <c r="AI15" s="101">
        <f>((0 + 'BRAWLERS OFICIAL'!AI15)-'BRAWLERS OFICIAL'!AI15)</f>
        <v>0</v>
      </c>
      <c r="AJ15" s="101">
        <f>((0 + 'BRAWLERS OFICIAL'!AJ15)-'BRAWLERS OFICIAL'!AJ15)/($BQ15)</f>
        <v>0</v>
      </c>
      <c r="AK15" s="101">
        <f>((0 + 'BRAWLERS OFICIAL'!AK15)-'BRAWLERS OFICIAL'!AK15)/($BQ15)</f>
        <v>0</v>
      </c>
      <c r="AL15" s="101">
        <f>(((BK15/5+1)*AK15 + 'BRAWLERS OFICIAL'!AL15)-'BRAWLERS OFICIAL'!AL15)/($BQ15)</f>
        <v>0</v>
      </c>
      <c r="AM15" s="101">
        <f>IF( 0 = (1-1), (1-1), ((0 + 'BRAWLERS OFICIAL'!AM15)/1.5)-'BRAWLERS OFICIAL'!AM15 )</f>
        <v>0</v>
      </c>
      <c r="AN15" s="101">
        <f t="shared" si="0"/>
        <v>0</v>
      </c>
      <c r="AO15" s="101">
        <f>((0 + 'BRAWLERS OFICIAL'!AO15)-'BRAWLERS OFICIAL'!AO15)/($BQ15)</f>
        <v>0</v>
      </c>
      <c r="AP15" s="101">
        <f>((0/1000 + 'BRAWLERS OFICIAL'!AP15)-'BRAWLERS OFICIAL'!AP15)</f>
        <v>0</v>
      </c>
      <c r="AQ15" s="101">
        <f>((0 + 'BRAWLERS OFICIAL'!AQ15)-'BRAWLERS OFICIAL'!AQ15)</f>
        <v>0</v>
      </c>
      <c r="AR15" s="101">
        <f>IF( 0 = (1-1), (1-1), ((0 + 'BRAWLERS OFICIAL'!AR15)/1.5) )</f>
        <v>0</v>
      </c>
      <c r="AS15" s="101">
        <f>IF( 0 = (1-1), (1-1), ((0 + 'BRAWLERS OFICIAL'!AS15)/1.5) )</f>
        <v>0</v>
      </c>
      <c r="AT15" s="101">
        <f>IF( 0 = (1-1), (1-1), ((0 + 'BRAWLERS OFICIAL'!AT15)/2) )</f>
        <v>0</v>
      </c>
      <c r="AU15" s="101">
        <f>((0 + 'BRAWLERS OFICIAL'!AU15)-'BRAWLERS OFICIAL'!AU15)/($BQ15)</f>
        <v>0</v>
      </c>
      <c r="AV15" s="101">
        <f>(((0)/4 + 'BRAWLERS OFICIAL'!AV15)-'BRAWLERS OFICIAL'!AV15)</f>
        <v>0</v>
      </c>
      <c r="AW15" s="101">
        <v>0</v>
      </c>
      <c r="AX15" s="101" t="s">
        <v>390</v>
      </c>
      <c r="AY15" s="100">
        <f>((( 0 )/3 + 'BRAWLERS OFICIAL'!AY15)-'BRAWLERS OFICIAL'!AY15)</f>
        <v>0</v>
      </c>
      <c r="AZ15" s="100">
        <f>((( 0 )/2 + 'BRAWLERS OFICIAL'!AZ15)-'BRAWLERS OFICIAL'!AZ15)/($BQ15)</f>
        <v>0</v>
      </c>
      <c r="BA15" s="100">
        <f>((( 0 )/2 + 'BRAWLERS OFICIAL'!BA15)-'BRAWLERS OFICIAL'!BA15)</f>
        <v>0</v>
      </c>
      <c r="BB15" s="100">
        <f>((( 0 )/3 + 'BRAWLERS OFICIAL'!BB15)-'BRAWLERS OFICIAL'!BB15)</f>
        <v>0</v>
      </c>
      <c r="BC15" s="100">
        <f>((( 0 )/2 + 'BRAWLERS OFICIAL'!BC15)-'BRAWLERS OFICIAL'!BC15)/($BQ15)</f>
        <v>0</v>
      </c>
      <c r="BD15" s="100">
        <f>((( 0 )/3 + 'BRAWLERS OFICIAL'!BD15)-'BRAWLERS OFICIAL'!BD15)</f>
        <v>0</v>
      </c>
      <c r="BE15" s="100">
        <f>((( 0 )/3 + 'BRAWLERS OFICIAL'!BE15)-'BRAWLERS OFICIAL'!BE15)</f>
        <v>0</v>
      </c>
      <c r="BF15" s="100">
        <f>((0 + 'BRAWLERS OFICIAL'!BF15)-'BRAWLERS OFICIAL'!BF15)/($BQ15)</f>
        <v>0</v>
      </c>
      <c r="BG15" s="100">
        <f>((0 + 'BRAWLERS OFICIAL'!BG15)-'BRAWLERS OFICIAL'!BG15)/($BQ15)</f>
        <v>0</v>
      </c>
      <c r="BH15" s="100">
        <f>((( 0 )/2 + 'BRAWLERS OFICIAL'!BH15)-'BRAWLERS OFICIAL'!BH15)</f>
        <v>0</v>
      </c>
      <c r="BI15" s="100">
        <f>((2 + 'BRAWLERS OFICIAL'!BI15)-'BRAWLERS OFICIAL'!BI15)/($BQ15)</f>
        <v>0.48</v>
      </c>
      <c r="BJ15" s="100">
        <f>((( 0 )/2 + 'BRAWLERS OFICIAL'!BJ15)-'BRAWLERS OFICIAL'!BJ15)</f>
        <v>0</v>
      </c>
      <c r="BK15" s="100">
        <f>((( 0 )/3 + 'BRAWLERS OFICIAL'!BK15)-'BRAWLERS OFICIAL'!BK15)</f>
        <v>0</v>
      </c>
      <c r="BL15" s="100">
        <f>((( 0 )/2 + 'BRAWLERS OFICIAL'!BL15)-'BRAWLERS OFICIAL'!BL15)</f>
        <v>0</v>
      </c>
      <c r="BM15" s="100">
        <f>((3 + 'BRAWLERS OFICIAL'!BM15)-'BRAWLERS OFICIAL'!BM15)/($BQ15)</f>
        <v>0.72</v>
      </c>
      <c r="BN15" s="100">
        <f>((0 + 'BRAWLERS OFICIAL'!BN15)-'BRAWLERS OFICIAL'!BN15)/($BQ15)</f>
        <v>0</v>
      </c>
      <c r="BO15" s="100">
        <f>((0 + 'BRAWLERS OFICIAL'!BO15)-'BRAWLERS OFICIAL'!BO15)/($BQ15)</f>
        <v>0</v>
      </c>
      <c r="BQ15" s="100">
        <f>('BRAWLERS OFICIAL'!F15 / 'BRAWLERS OFICIAL'!J15 / (1 + ('BRAWLERS OFICIAL'!AA15/5)))</f>
        <v>4.166666666666667</v>
      </c>
    </row>
    <row r="16" spans="1:69">
      <c r="B16" s="97" t="s">
        <v>485</v>
      </c>
      <c r="C16" s="70" t="s">
        <v>77</v>
      </c>
      <c r="D16" s="134" t="s">
        <v>375</v>
      </c>
      <c r="E16" s="134" t="s">
        <v>376</v>
      </c>
      <c r="F16" s="100">
        <f>(0 + 'BRAWLERS OFICIAL'!F16)-'BRAWLERS OFICIAL'!F16</f>
        <v>0</v>
      </c>
      <c r="G16" s="100">
        <f>(0 + 'BRAWLERS OFICIAL'!G16)-'BRAWLERS OFICIAL'!G16</f>
        <v>0</v>
      </c>
      <c r="H16" s="100">
        <f>(0 + 'BRAWLERS OFICIAL'!H16)-'BRAWLERS OFICIAL'!H16</f>
        <v>0</v>
      </c>
      <c r="I16" s="100">
        <f>(0 + 'BRAWLERS OFICIAL'!I16)-'BRAWLERS OFICIAL'!I16</f>
        <v>0</v>
      </c>
      <c r="J16" s="100">
        <f>(0 + 'BRAWLERS OFICIAL'!J16)-'BRAWLERS OFICIAL'!J16</f>
        <v>0</v>
      </c>
      <c r="K16" s="100">
        <f>(0 + 'BRAWLERS OFICIAL'!K16)-'BRAWLERS OFICIAL'!K16</f>
        <v>0</v>
      </c>
      <c r="L16" s="100">
        <f>(0 + 'BRAWLERS OFICIAL'!L16)-'BRAWLERS OFICIAL'!L16</f>
        <v>0</v>
      </c>
      <c r="M16" s="100">
        <f>(0 + 'BRAWLERS OFICIAL'!M16)-'BRAWLERS OFICIAL'!M16</f>
        <v>0</v>
      </c>
      <c r="N16" s="100">
        <f>(0 + 'BRAWLERS OFICIAL'!N16)-'BRAWLERS OFICIAL'!N16</f>
        <v>0</v>
      </c>
      <c r="O16" s="100">
        <f>(0 + 'BRAWLERS OFICIAL'!O16)-'BRAWLERS OFICIAL'!O16</f>
        <v>0</v>
      </c>
      <c r="P16" s="100">
        <f>(0 + 'BRAWLERS OFICIAL'!P16)-'BRAWLERS OFICIAL'!P16</f>
        <v>0</v>
      </c>
      <c r="Q16" s="100">
        <f>(0 + 'BRAWLERS OFICIAL'!Q16)-'BRAWLERS OFICIAL'!Q16</f>
        <v>0</v>
      </c>
      <c r="R16" s="100">
        <f>(0 + 'BRAWLERS OFICIAL'!R16)-'BRAWLERS OFICIAL'!R16</f>
        <v>0</v>
      </c>
      <c r="S16" s="100">
        <f>(0 + 'BRAWLERS OFICIAL'!S16)-'BRAWLERS OFICIAL'!S16</f>
        <v>0</v>
      </c>
      <c r="T16" s="100">
        <f>(0 + 'BRAWLERS OFICIAL'!T16)-'BRAWLERS OFICIAL'!T16</f>
        <v>0</v>
      </c>
      <c r="U16" s="100">
        <f>(0 + 'BRAWLERS OFICIAL'!U16)-'BRAWLERS OFICIAL'!U16</f>
        <v>0</v>
      </c>
      <c r="V16" s="100">
        <f>(0 + 'BRAWLERS OFICIAL'!V16)-'BRAWLERS OFICIAL'!V16</f>
        <v>0</v>
      </c>
      <c r="W16" s="100">
        <f>(0 + 'BRAWLERS OFICIAL'!W16)-'BRAWLERS OFICIAL'!W16</f>
        <v>0</v>
      </c>
      <c r="X16" s="103">
        <f>(( 'BRAWLERS OFICIAL'!X16/20*7/10 + 'BRAWLERS OFICIAL'!X16 + AP16 + AY16/3.5 )-'BRAWLERS OFICIAL'!X16)/($BQ16)</f>
        <v>0.25666666666666682</v>
      </c>
      <c r="Y16" s="101">
        <f>((2 + 'BRAWLERS OFICIAL'!Y16)-'BRAWLERS OFICIAL'!Y16)/($BQ16)</f>
        <v>2</v>
      </c>
      <c r="Z16" s="101">
        <f>((9 + 4 + 6)/3-'BRAWLERS OFICIAL'!Z16)</f>
        <v>0.5</v>
      </c>
      <c r="AA16" s="101">
        <f>((0 + 'BRAWLERS OFICIAL'!AA16)-'BRAWLERS OFICIAL'!AA16)/($BQ16)</f>
        <v>0</v>
      </c>
      <c r="AB16" s="101">
        <f>((0 + 'BRAWLERS OFICIAL'!AB16)-'BRAWLERS OFICIAL'!AB16)</f>
        <v>0</v>
      </c>
      <c r="AC16" s="101">
        <f>(((0)/4 + 'BRAWLERS OFICIAL'!AC16)-'BRAWLERS OFICIAL'!AC16)/($BQ16)</f>
        <v>0</v>
      </c>
      <c r="AD16" s="101">
        <f>((0 + 'BRAWLERS OFICIAL'!AD16)-'BRAWLERS OFICIAL'!AD16)/($BQ16)</f>
        <v>0</v>
      </c>
      <c r="AE16" s="101">
        <f>((0 + 'BRAWLERS OFICIAL'!AE16)-'BRAWLERS OFICIAL'!AE16)/($BQ16)</f>
        <v>0</v>
      </c>
      <c r="AF16" s="101">
        <f>((0 + 'BRAWLERS OFICIAL'!AF16)-'BRAWLERS OFICIAL'!AF16)/($BQ16)</f>
        <v>0</v>
      </c>
      <c r="AG16" s="101">
        <f>((0 + 'BRAWLERS OFICIAL'!AG16)-'BRAWLERS OFICIAL'!AG16)</f>
        <v>0</v>
      </c>
      <c r="AH16" s="101">
        <f>((0 + 'BRAWLERS OFICIAL'!AH16)-'BRAWLERS OFICIAL'!AH16)</f>
        <v>0</v>
      </c>
      <c r="AI16" s="101">
        <f>((0 + 'BRAWLERS OFICIAL'!AI16)-'BRAWLERS OFICIAL'!AI16)</f>
        <v>0</v>
      </c>
      <c r="AJ16" s="101">
        <f>((0 + 'BRAWLERS OFICIAL'!AJ16)-'BRAWLERS OFICIAL'!AJ16)/($BQ16)</f>
        <v>0</v>
      </c>
      <c r="AK16" s="101">
        <f>((1 + 'BRAWLERS OFICIAL'!AK16)-'BRAWLERS OFICIAL'!AK16)/($BQ16)</f>
        <v>1</v>
      </c>
      <c r="AL16" s="101">
        <f>(((BK16/5+1)*AK16 + 'BRAWLERS OFICIAL'!AL16)-'BRAWLERS OFICIAL'!AL16)/($BQ16)</f>
        <v>1</v>
      </c>
      <c r="AM16" s="101">
        <f>IF( 0 = (1-1), (1-1), ((0 + 'BRAWLERS OFICIAL'!AM16)/1.5)-'BRAWLERS OFICIAL'!AM16 )</f>
        <v>0</v>
      </c>
      <c r="AN16" s="101">
        <f t="shared" si="0"/>
        <v>0</v>
      </c>
      <c r="AO16" s="101">
        <f>((0 + 'BRAWLERS OFICIAL'!AO16)-'BRAWLERS OFICIAL'!AO16)/($BQ16)</f>
        <v>0</v>
      </c>
      <c r="AP16" s="101">
        <f>((0/1000 + 'BRAWLERS OFICIAL'!AP16)-'BRAWLERS OFICIAL'!AP16)</f>
        <v>0</v>
      </c>
      <c r="AQ16" s="101">
        <f>((0 + 'BRAWLERS OFICIAL'!AQ16)-'BRAWLERS OFICIAL'!AQ16)</f>
        <v>0</v>
      </c>
      <c r="AR16" s="101">
        <f>IF( 0 = (1-1), (1-1), ((0 + 'BRAWLERS OFICIAL'!AR16)/1.5) )</f>
        <v>0</v>
      </c>
      <c r="AS16" s="101">
        <f>IF( 0 = (1-1), (1-1), ((0 + 'BRAWLERS OFICIAL'!AS16)/1.5) )</f>
        <v>0</v>
      </c>
      <c r="AT16" s="101">
        <f>IF( 0 = (1-1), (1-1), ((0 + 'BRAWLERS OFICIAL'!AT16)/2) )</f>
        <v>0</v>
      </c>
      <c r="AU16" s="101">
        <f>((0 + 'BRAWLERS OFICIAL'!AU16)-'BRAWLERS OFICIAL'!AU16)/($BQ16)</f>
        <v>0</v>
      </c>
      <c r="AV16" s="101">
        <f>(((0)/4 + 'BRAWLERS OFICIAL'!AV16)-'BRAWLERS OFICIAL'!AV16)</f>
        <v>0</v>
      </c>
      <c r="AW16" s="101">
        <v>0</v>
      </c>
      <c r="AX16" s="101" t="s">
        <v>390</v>
      </c>
      <c r="AY16" s="100">
        <f>((( 0 )/3 + 'BRAWLERS OFICIAL'!AY16)-'BRAWLERS OFICIAL'!AY16)</f>
        <v>0</v>
      </c>
      <c r="AZ16" s="100">
        <f>((( 0 )/2 + 'BRAWLERS OFICIAL'!AZ16)-'BRAWLERS OFICIAL'!AZ16)/($BQ16)</f>
        <v>0</v>
      </c>
      <c r="BA16" s="100">
        <f>((( 0 )/2 + 'BRAWLERS OFICIAL'!BA16)-'BRAWLERS OFICIAL'!BA16)</f>
        <v>0</v>
      </c>
      <c r="BB16" s="100">
        <f>((( 0 )/3 + 'BRAWLERS OFICIAL'!BB16)-'BRAWLERS OFICIAL'!BB16)</f>
        <v>0</v>
      </c>
      <c r="BC16" s="100">
        <f>((( 0 )/2 + 'BRAWLERS OFICIAL'!BC16)-'BRAWLERS OFICIAL'!BC16)/($BQ16)</f>
        <v>0</v>
      </c>
      <c r="BD16" s="100">
        <f>((( 0 )/3 + 'BRAWLERS OFICIAL'!BD16)-'BRAWLERS OFICIAL'!BD16)</f>
        <v>0</v>
      </c>
      <c r="BE16" s="100">
        <f>((( 0 )/3 + 'BRAWLERS OFICIAL'!BE16)-'BRAWLERS OFICIAL'!BE16)</f>
        <v>0</v>
      </c>
      <c r="BF16" s="100">
        <f>((0 + 'BRAWLERS OFICIAL'!BF16)-'BRAWLERS OFICIAL'!BF16)/($BQ16)</f>
        <v>0</v>
      </c>
      <c r="BG16" s="100">
        <f>((0 + 'BRAWLERS OFICIAL'!BG16)-'BRAWLERS OFICIAL'!BG16)/($BQ16)</f>
        <v>0</v>
      </c>
      <c r="BH16" s="100">
        <f>((( 0 )/2 + 'BRAWLERS OFICIAL'!BH16)-'BRAWLERS OFICIAL'!BH16)</f>
        <v>0</v>
      </c>
      <c r="BI16" s="100">
        <f>((0 + 'BRAWLERS OFICIAL'!BI16)-'BRAWLERS OFICIAL'!BI16)/($BQ16)</f>
        <v>0</v>
      </c>
      <c r="BJ16" s="100">
        <f>((( 0 )/2 + 'BRAWLERS OFICIAL'!BJ16)-'BRAWLERS OFICIAL'!BJ16)</f>
        <v>0</v>
      </c>
      <c r="BK16" s="100">
        <f>((( 0 )/3 + 'BRAWLERS OFICIAL'!BK16)-'BRAWLERS OFICIAL'!BK16)</f>
        <v>0</v>
      </c>
      <c r="BL16" s="100">
        <f>((( 0 )/2 + 'BRAWLERS OFICIAL'!BL16)-'BRAWLERS OFICIAL'!BL16)</f>
        <v>0</v>
      </c>
      <c r="BM16" s="100">
        <f>((0 + 'BRAWLERS OFICIAL'!BM16)-'BRAWLERS OFICIAL'!BM16)/($BQ16)</f>
        <v>0</v>
      </c>
      <c r="BN16" s="100">
        <f>((0 + 'BRAWLERS OFICIAL'!BN16)-'BRAWLERS OFICIAL'!BN16)/($BQ16)</f>
        <v>0</v>
      </c>
      <c r="BO16" s="100">
        <f>((0 + 'BRAWLERS OFICIAL'!BO16)-'BRAWLERS OFICIAL'!BO16)/($BQ16)</f>
        <v>0</v>
      </c>
      <c r="BQ16" s="100">
        <v>1</v>
      </c>
    </row>
    <row r="17" spans="2:69">
      <c r="B17" s="97" t="s">
        <v>217</v>
      </c>
      <c r="C17" s="98" t="s">
        <v>101</v>
      </c>
      <c r="D17" s="135" t="s">
        <v>372</v>
      </c>
      <c r="E17" s="135" t="s">
        <v>380</v>
      </c>
      <c r="F17" s="100">
        <f>(0 + 'BRAWLERS OFICIAL'!F17)-'BRAWLERS OFICIAL'!F17</f>
        <v>0</v>
      </c>
      <c r="G17" s="100">
        <f>(0 + 'BRAWLERS OFICIAL'!G17)-'BRAWLERS OFICIAL'!G17</f>
        <v>0</v>
      </c>
      <c r="H17" s="100">
        <f>(0 + 'BRAWLERS OFICIAL'!H17)-'BRAWLERS OFICIAL'!H17</f>
        <v>0</v>
      </c>
      <c r="I17" s="100">
        <f>('BRAWLERS OFICIAL'!I17/100*9 + 'BRAWLERS OFICIAL'!I17)-'BRAWLERS OFICIAL'!I17</f>
        <v>8.6624999999999952E-2</v>
      </c>
      <c r="J17" s="100">
        <f>(0 + 'BRAWLERS OFICIAL'!J17)-'BRAWLERS OFICIAL'!J17</f>
        <v>0</v>
      </c>
      <c r="K17" s="100">
        <f>(0 + 'BRAWLERS OFICIAL'!K17)-'BRAWLERS OFICIAL'!K17</f>
        <v>0</v>
      </c>
      <c r="L17" s="100">
        <f>(0 + 'BRAWLERS OFICIAL'!L17)-'BRAWLERS OFICIAL'!L17</f>
        <v>0</v>
      </c>
      <c r="M17" s="100">
        <f>(0 + 'BRAWLERS OFICIAL'!M17)-'BRAWLERS OFICIAL'!M17</f>
        <v>0</v>
      </c>
      <c r="N17" s="100">
        <f>(0 + 'BRAWLERS OFICIAL'!N17)-'BRAWLERS OFICIAL'!N17</f>
        <v>0</v>
      </c>
      <c r="O17" s="100">
        <f>(0 + 'BRAWLERS OFICIAL'!O17)-'BRAWLERS OFICIAL'!O17</f>
        <v>0</v>
      </c>
      <c r="P17" s="100">
        <f>(0 + 'BRAWLERS OFICIAL'!P17)-'BRAWLERS OFICIAL'!P17</f>
        <v>0</v>
      </c>
      <c r="Q17" s="100">
        <f>(0 + 'BRAWLERS OFICIAL'!Q17)-'BRAWLERS OFICIAL'!Q17</f>
        <v>0</v>
      </c>
      <c r="R17" s="100">
        <f>(0 + 'BRAWLERS OFICIAL'!R17)-'BRAWLERS OFICIAL'!R17</f>
        <v>0</v>
      </c>
      <c r="S17" s="100">
        <f>(0 + 'BRAWLERS OFICIAL'!S17)-'BRAWLERS OFICIAL'!S17</f>
        <v>0</v>
      </c>
      <c r="T17" s="100">
        <f>(0 + 'BRAWLERS OFICIAL'!T17)-'BRAWLERS OFICIAL'!T17</f>
        <v>0</v>
      </c>
      <c r="U17" s="100">
        <f>(0 + 'BRAWLERS OFICIAL'!U17)-'BRAWLERS OFICIAL'!U17</f>
        <v>0</v>
      </c>
      <c r="V17" s="100">
        <f>(0 + 'BRAWLERS OFICIAL'!V17)-'BRAWLERS OFICIAL'!V17</f>
        <v>0</v>
      </c>
      <c r="W17" s="100">
        <f>(0 + 'BRAWLERS OFICIAL'!W17)-'BRAWLERS OFICIAL'!W17</f>
        <v>0</v>
      </c>
      <c r="X17" s="103">
        <f>(( 0 + 'BRAWLERS OFICIAL'!X17 + AP17 + AY17/3.5 )-'BRAWLERS OFICIAL'!X17)/($BQ17)</f>
        <v>0</v>
      </c>
      <c r="Y17" s="101">
        <f>((0 + 'BRAWLERS OFICIAL'!Y17)-'BRAWLERS OFICIAL'!Y17)/($BQ17)</f>
        <v>0</v>
      </c>
      <c r="Z17" s="101">
        <f>(((0)/3 + 'BRAWLERS OFICIAL'!Z17)-'BRAWLERS OFICIAL'!Z17)</f>
        <v>0</v>
      </c>
      <c r="AA17" s="101">
        <f>((0 + 'BRAWLERS OFICIAL'!AA17)-'BRAWLERS OFICIAL'!AA17)/($BQ17)</f>
        <v>0</v>
      </c>
      <c r="AB17" s="101">
        <f>((0 + 'BRAWLERS OFICIAL'!AB17)-'BRAWLERS OFICIAL'!AB17)</f>
        <v>0</v>
      </c>
      <c r="AC17" s="101">
        <f>(((0)/4 + 'BRAWLERS OFICIAL'!AC17)-'BRAWLERS OFICIAL'!AC17)/($BQ17)</f>
        <v>0</v>
      </c>
      <c r="AD17" s="101">
        <f>((0 + 'BRAWLERS OFICIAL'!AD17)-'BRAWLERS OFICIAL'!AD17)/($BQ17)</f>
        <v>0</v>
      </c>
      <c r="AE17" s="101">
        <f>((0 + 'BRAWLERS OFICIAL'!AE17)-'BRAWLERS OFICIAL'!AE17)/($BQ17)</f>
        <v>0</v>
      </c>
      <c r="AF17" s="101">
        <f>((0 + 'BRAWLERS OFICIAL'!AF17)-'BRAWLERS OFICIAL'!AF17)/($BQ17)</f>
        <v>0</v>
      </c>
      <c r="AG17" s="101">
        <f>((0 + 'BRAWLERS OFICIAL'!AG17)-'BRAWLERS OFICIAL'!AG17)</f>
        <v>0</v>
      </c>
      <c r="AH17" s="101">
        <f>((0 + 'BRAWLERS OFICIAL'!AH17)-'BRAWLERS OFICIAL'!AH17)</f>
        <v>0</v>
      </c>
      <c r="AI17" s="101">
        <f>((0 + 'BRAWLERS OFICIAL'!AI17)-'BRAWLERS OFICIAL'!AI17)</f>
        <v>0</v>
      </c>
      <c r="AJ17" s="101">
        <f>((0 + 'BRAWLERS OFICIAL'!AJ17)-'BRAWLERS OFICIAL'!AJ17)/($BQ17)</f>
        <v>0</v>
      </c>
      <c r="AK17" s="101">
        <f>((0 + 'BRAWLERS OFICIAL'!AK17)-'BRAWLERS OFICIAL'!AK17)/($BQ17)</f>
        <v>0</v>
      </c>
      <c r="AL17" s="101">
        <f>(((BK17/5+1)*AK17 + 'BRAWLERS OFICIAL'!AL17)-'BRAWLERS OFICIAL'!AL17)/($BQ17)</f>
        <v>0</v>
      </c>
      <c r="AM17" s="101">
        <f>IF( 0 = (1-1), (1-1), ((0 + 'BRAWLERS OFICIAL'!AM17)/1.5)-'BRAWLERS OFICIAL'!AM17 )</f>
        <v>0</v>
      </c>
      <c r="AN17" s="101">
        <f t="shared" si="0"/>
        <v>0</v>
      </c>
      <c r="AO17" s="101">
        <f>((0 + 'BRAWLERS OFICIAL'!AO17)-'BRAWLERS OFICIAL'!AO17)/($BQ17)</f>
        <v>0</v>
      </c>
      <c r="AP17" s="101">
        <f>((0/1000 + 'BRAWLERS OFICIAL'!AP17)-'BRAWLERS OFICIAL'!AP17)</f>
        <v>0</v>
      </c>
      <c r="AQ17" s="101">
        <f>((0 + 'BRAWLERS OFICIAL'!AQ17)-'BRAWLERS OFICIAL'!AQ17)</f>
        <v>0</v>
      </c>
      <c r="AR17" s="101">
        <f>IF( 0 = (1-1), (1-1), ((0 + 'BRAWLERS OFICIAL'!AR17)/1.5) )</f>
        <v>0</v>
      </c>
      <c r="AS17" s="101">
        <f>IF( 0 = (1-1), (1-1), ((0 + 'BRAWLERS OFICIAL'!AS17)/1.5) )</f>
        <v>0</v>
      </c>
      <c r="AT17" s="101">
        <f>IF( 0 = (1-1), (1-1), ((0 + 'BRAWLERS OFICIAL'!AT17)/2) )</f>
        <v>0</v>
      </c>
      <c r="AU17" s="101">
        <f>((0 + 'BRAWLERS OFICIAL'!AU17)-'BRAWLERS OFICIAL'!AU17)/($BQ17)</f>
        <v>0</v>
      </c>
      <c r="AV17" s="101">
        <f>(((0)/4 + 'BRAWLERS OFICIAL'!AV17)-'BRAWLERS OFICIAL'!AV17)</f>
        <v>0</v>
      </c>
      <c r="AW17" s="101">
        <v>0</v>
      </c>
      <c r="AX17" s="101" t="s">
        <v>390</v>
      </c>
      <c r="AY17" s="100">
        <f>((( 0 )/3 + 'BRAWLERS OFICIAL'!AY17)-'BRAWLERS OFICIAL'!AY17)</f>
        <v>0</v>
      </c>
      <c r="AZ17" s="100">
        <f>((( 0 )/2 + 'BRAWLERS OFICIAL'!AZ17)-'BRAWLERS OFICIAL'!AZ17)/($BQ17)</f>
        <v>0</v>
      </c>
      <c r="BA17" s="100">
        <f>((( 0 )/2 + 'BRAWLERS OFICIAL'!BA17)-'BRAWLERS OFICIAL'!BA17)</f>
        <v>0</v>
      </c>
      <c r="BB17" s="100">
        <f>((( 0 )/3 + 'BRAWLERS OFICIAL'!BB17)-'BRAWLERS OFICIAL'!BB17)</f>
        <v>0</v>
      </c>
      <c r="BC17" s="100">
        <f>((( 0 )/2 + 'BRAWLERS OFICIAL'!BC17)-'BRAWLERS OFICIAL'!BC17)/($BQ17)</f>
        <v>0</v>
      </c>
      <c r="BD17" s="100">
        <f>((( 0 )/3 + 'BRAWLERS OFICIAL'!BD17)-'BRAWLERS OFICIAL'!BD17)</f>
        <v>0</v>
      </c>
      <c r="BE17" s="100">
        <f>((( 0 )/3 + 'BRAWLERS OFICIAL'!BE17)-'BRAWLERS OFICIAL'!BE17)</f>
        <v>0</v>
      </c>
      <c r="BF17" s="100">
        <f>((0 + 'BRAWLERS OFICIAL'!BF17)-'BRAWLERS OFICIAL'!BF17)/($BQ17)</f>
        <v>0</v>
      </c>
      <c r="BG17" s="100">
        <f>((0 + 'BRAWLERS OFICIAL'!BG17)-'BRAWLERS OFICIAL'!BG17)/($BQ17)</f>
        <v>0</v>
      </c>
      <c r="BH17" s="100">
        <f>((( 0 )/2 + 'BRAWLERS OFICIAL'!BH17)-'BRAWLERS OFICIAL'!BH17)</f>
        <v>0</v>
      </c>
      <c r="BI17" s="100">
        <f>((0 + 'BRAWLERS OFICIAL'!BI17)-'BRAWLERS OFICIAL'!BI17)/($BQ17)</f>
        <v>0</v>
      </c>
      <c r="BJ17" s="100">
        <f>((( 0 )/2 + 'BRAWLERS OFICIAL'!BJ17)-'BRAWLERS OFICIAL'!BJ17)</f>
        <v>0</v>
      </c>
      <c r="BK17" s="100">
        <f>((( 0 )/3 + 'BRAWLERS OFICIAL'!BK17)-'BRAWLERS OFICIAL'!BK17)</f>
        <v>0</v>
      </c>
      <c r="BL17" s="100">
        <f>((( 0 )/2 + 'BRAWLERS OFICIAL'!BL17)-'BRAWLERS OFICIAL'!BL17)</f>
        <v>0</v>
      </c>
      <c r="BM17" s="100">
        <f>((0 + 'BRAWLERS OFICIAL'!BM17)-'BRAWLERS OFICIAL'!BM17)/($BQ17)</f>
        <v>0</v>
      </c>
      <c r="BN17" s="100">
        <f>((0 + 'BRAWLERS OFICIAL'!BN17)-'BRAWLERS OFICIAL'!BN17)/($BQ17)</f>
        <v>0</v>
      </c>
      <c r="BO17" s="100">
        <f>((0 + 'BRAWLERS OFICIAL'!BO17)-'BRAWLERS OFICIAL'!BO17)/($BQ17)</f>
        <v>0</v>
      </c>
      <c r="BQ17" s="100">
        <v>1</v>
      </c>
    </row>
    <row r="18" spans="2:69">
      <c r="B18" s="97" t="s">
        <v>486</v>
      </c>
      <c r="C18" s="70" t="s">
        <v>57</v>
      </c>
      <c r="D18" s="134" t="s">
        <v>369</v>
      </c>
      <c r="E18" s="134" t="s">
        <v>389</v>
      </c>
      <c r="F18" s="100">
        <f>(0 + 'BRAWLERS OFICIAL'!F18)-'BRAWLERS OFICIAL'!F18</f>
        <v>0</v>
      </c>
      <c r="G18" s="100">
        <f>(0 + 'BRAWLERS OFICIAL'!G18)-'BRAWLERS OFICIAL'!G18</f>
        <v>0</v>
      </c>
      <c r="H18" s="100">
        <f>(0 + 'BRAWLERS OFICIAL'!H18)-'BRAWLERS OFICIAL'!H18</f>
        <v>0</v>
      </c>
      <c r="I18" s="100">
        <f>(0 + 'BRAWLERS OFICIAL'!I18)-'BRAWLERS OFICIAL'!I18</f>
        <v>0</v>
      </c>
      <c r="J18" s="100">
        <f>(0 + 'BRAWLERS OFICIAL'!J18)-'BRAWLERS OFICIAL'!J18</f>
        <v>0</v>
      </c>
      <c r="K18" s="100">
        <f>(0 + 'BRAWLERS OFICIAL'!K18)-'BRAWLERS OFICIAL'!K18</f>
        <v>0</v>
      </c>
      <c r="L18" s="100">
        <f>(0 + 'BRAWLERS OFICIAL'!L18)-'BRAWLERS OFICIAL'!L18</f>
        <v>0</v>
      </c>
      <c r="M18" s="100">
        <f>(0 + 'BRAWLERS OFICIAL'!M18)-'BRAWLERS OFICIAL'!M18</f>
        <v>0</v>
      </c>
      <c r="N18" s="100">
        <f>(0 + 'BRAWLERS OFICIAL'!N18)-'BRAWLERS OFICIAL'!N18</f>
        <v>0</v>
      </c>
      <c r="O18" s="100">
        <f>(0 + 'BRAWLERS OFICIAL'!O18)-'BRAWLERS OFICIAL'!O18</f>
        <v>0</v>
      </c>
      <c r="P18" s="100">
        <f>(0 + 'BRAWLERS OFICIAL'!P18)-'BRAWLERS OFICIAL'!P18</f>
        <v>0</v>
      </c>
      <c r="Q18" s="100">
        <f>(0 + 'BRAWLERS OFICIAL'!Q18)-'BRAWLERS OFICIAL'!Q18</f>
        <v>0</v>
      </c>
      <c r="R18" s="100">
        <f>(0 + 'BRAWLERS OFICIAL'!R18)-'BRAWLERS OFICIAL'!R18</f>
        <v>0</v>
      </c>
      <c r="S18" s="100">
        <f>(0 + 'BRAWLERS OFICIAL'!S18)-'BRAWLERS OFICIAL'!S18</f>
        <v>0</v>
      </c>
      <c r="T18" s="100">
        <f>(0 + 'BRAWLERS OFICIAL'!T18)-'BRAWLERS OFICIAL'!T18</f>
        <v>0</v>
      </c>
      <c r="U18" s="100">
        <f>(0 + 'BRAWLERS OFICIAL'!U18)-'BRAWLERS OFICIAL'!U18</f>
        <v>0</v>
      </c>
      <c r="V18" s="100">
        <f>(0 + 'BRAWLERS OFICIAL'!V18)-'BRAWLERS OFICIAL'!V18</f>
        <v>0</v>
      </c>
      <c r="W18" s="100">
        <f>(0 + 'BRAWLERS OFICIAL'!W18)-'BRAWLERS OFICIAL'!W18</f>
        <v>0</v>
      </c>
      <c r="X18" s="103">
        <f>(( 0 + 'BRAWLERS OFICIAL'!X18 + AP18 + AY18/3.5 )-'BRAWLERS OFICIAL'!X18)/($BQ18)</f>
        <v>0</v>
      </c>
      <c r="Y18" s="101">
        <f>((0 + 'BRAWLERS OFICIAL'!Y18)-'BRAWLERS OFICIAL'!Y18)/($BQ18)</f>
        <v>0</v>
      </c>
      <c r="Z18" s="101">
        <f>(((0)/3 + 'BRAWLERS OFICIAL'!Z18)-'BRAWLERS OFICIAL'!Z18)</f>
        <v>0</v>
      </c>
      <c r="AA18" s="101">
        <f>((0 + 'BRAWLERS OFICIAL'!AA18)-'BRAWLERS OFICIAL'!AA18)/($BQ18)</f>
        <v>0</v>
      </c>
      <c r="AB18" s="101">
        <f>((0 + 'BRAWLERS OFICIAL'!AB18)-'BRAWLERS OFICIAL'!AB18)</f>
        <v>0</v>
      </c>
      <c r="AC18" s="101">
        <f>(((0)/4 + 'BRAWLERS OFICIAL'!AC18)-'BRAWLERS OFICIAL'!AC18)/($BQ18)</f>
        <v>0</v>
      </c>
      <c r="AD18" s="101">
        <f>((0 + 'BRAWLERS OFICIAL'!AD18)-'BRAWLERS OFICIAL'!AD18)/($BQ18)</f>
        <v>0</v>
      </c>
      <c r="AE18" s="101">
        <f>((0 + 'BRAWLERS OFICIAL'!AE18)-'BRAWLERS OFICIAL'!AE18)/($BQ18)</f>
        <v>0</v>
      </c>
      <c r="AF18" s="101">
        <f>((0 + 'BRAWLERS OFICIAL'!AF18)-'BRAWLERS OFICIAL'!AF18)/($BQ18)</f>
        <v>0</v>
      </c>
      <c r="AG18" s="101">
        <f>((0 + 'BRAWLERS OFICIAL'!AG18)-'BRAWLERS OFICIAL'!AG18)</f>
        <v>0</v>
      </c>
      <c r="AH18" s="101">
        <f>((0 + 'BRAWLERS OFICIAL'!AH18)-'BRAWLERS OFICIAL'!AH18)</f>
        <v>0</v>
      </c>
      <c r="AI18" s="101">
        <f>((0 + 'BRAWLERS OFICIAL'!AI18)-'BRAWLERS OFICIAL'!AI18)</f>
        <v>0</v>
      </c>
      <c r="AJ18" s="101">
        <f>((0 + 'BRAWLERS OFICIAL'!AJ18)-'BRAWLERS OFICIAL'!AJ18)/($BQ18)</f>
        <v>0</v>
      </c>
      <c r="AK18" s="101">
        <f>((0 + 'BRAWLERS OFICIAL'!AK18)-'BRAWLERS OFICIAL'!AK18)/($BQ18)</f>
        <v>0</v>
      </c>
      <c r="AL18" s="101">
        <f>(((BK18/5+1)*AK18 + 'BRAWLERS OFICIAL'!AL18)-'BRAWLERS OFICIAL'!AL18)/($BQ18)</f>
        <v>0</v>
      </c>
      <c r="AM18" s="101">
        <f>IF( 0 = (1-1), (1-1), ((0 + 'BRAWLERS OFICIAL'!AM18)/1.5)-'BRAWLERS OFICIAL'!AM18 )</f>
        <v>0</v>
      </c>
      <c r="AN18" s="101">
        <f t="shared" ref="AN18:AN20" si="1">IF( 0 = (1-1), (1-1), ( 0 ) )</f>
        <v>0</v>
      </c>
      <c r="AO18" s="101">
        <f>((0 + 'BRAWLERS OFICIAL'!AO18)-'BRAWLERS OFICIAL'!AO18)/($BQ18)</f>
        <v>0</v>
      </c>
      <c r="AP18" s="101">
        <f>((0/1000 + 'BRAWLERS OFICIAL'!AP18)-'BRAWLERS OFICIAL'!AP18)</f>
        <v>0</v>
      </c>
      <c r="AQ18" s="101">
        <f>((0 + 'BRAWLERS OFICIAL'!AQ18)-'BRAWLERS OFICIAL'!AQ18)</f>
        <v>0</v>
      </c>
      <c r="AR18" s="101">
        <f>IF( 0 = (1-1), (1-1), ((0 + 'BRAWLERS OFICIAL'!AR18)/1.5) )</f>
        <v>0</v>
      </c>
      <c r="AS18" s="101">
        <f>IF( 0 = (1-1), (1-1), ((0 + 'BRAWLERS OFICIAL'!AS18)/1.5) )</f>
        <v>0</v>
      </c>
      <c r="AT18" s="101">
        <f>IF( 0 = (1-1), (1-1), ((0 + 'BRAWLERS OFICIAL'!AT18)/2) )</f>
        <v>0</v>
      </c>
      <c r="AU18" s="101">
        <f>((0 + 'BRAWLERS OFICIAL'!AU18)-'BRAWLERS OFICIAL'!AU18)/($BQ18)</f>
        <v>0</v>
      </c>
      <c r="AV18" s="101">
        <f>(((0)/4 + 'BRAWLERS OFICIAL'!AV18)-'BRAWLERS OFICIAL'!AV18)</f>
        <v>0</v>
      </c>
      <c r="AW18" s="101">
        <v>0</v>
      </c>
      <c r="AX18" s="101" t="s">
        <v>390</v>
      </c>
      <c r="AY18" s="100">
        <f>((( 0 )/3 + 'BRAWLERS OFICIAL'!AY18)-'BRAWLERS OFICIAL'!AY18)</f>
        <v>0</v>
      </c>
      <c r="AZ18" s="100">
        <f>((( 0 )/2 + 'BRAWLERS OFICIAL'!AZ18)-'BRAWLERS OFICIAL'!AZ18)/($BQ18)</f>
        <v>0</v>
      </c>
      <c r="BA18" s="100">
        <f>((( 0 )/2 + 'BRAWLERS OFICIAL'!BA18)-'BRAWLERS OFICIAL'!BA18)</f>
        <v>0</v>
      </c>
      <c r="BB18" s="100">
        <f>((( 0 )/3 + 'BRAWLERS OFICIAL'!BB18)-'BRAWLERS OFICIAL'!BB18)</f>
        <v>0</v>
      </c>
      <c r="BC18" s="100">
        <f>((( 0 )/2 + 'BRAWLERS OFICIAL'!BC18)-'BRAWLERS OFICIAL'!BC18)/($BQ18)</f>
        <v>0</v>
      </c>
      <c r="BD18" s="100">
        <f>((( 0 )/3 + 'BRAWLERS OFICIAL'!BD18)-'BRAWLERS OFICIAL'!BD18)</f>
        <v>0</v>
      </c>
      <c r="BE18" s="100">
        <f>((( 0 )/3 + 'BRAWLERS OFICIAL'!BE18)-'BRAWLERS OFICIAL'!BE18)</f>
        <v>0</v>
      </c>
      <c r="BF18" s="100">
        <f>((0 + 'BRAWLERS OFICIAL'!BF18)-'BRAWLERS OFICIAL'!BF18)/($BQ18)</f>
        <v>0</v>
      </c>
      <c r="BG18" s="100">
        <f>((0 + 'BRAWLERS OFICIAL'!BG18)-'BRAWLERS OFICIAL'!BG18)/($BQ18)</f>
        <v>0</v>
      </c>
      <c r="BH18" s="100">
        <f>((( 0 )/2 + 'BRAWLERS OFICIAL'!BH18)-'BRAWLERS OFICIAL'!BH18)</f>
        <v>0</v>
      </c>
      <c r="BI18" s="100">
        <f>((0 + 'BRAWLERS OFICIAL'!BI18)-'BRAWLERS OFICIAL'!BI18)/($BQ18)</f>
        <v>0</v>
      </c>
      <c r="BJ18" s="100">
        <f>((( 0 )/2 + 'BRAWLERS OFICIAL'!BJ18)-'BRAWLERS OFICIAL'!BJ18)</f>
        <v>0</v>
      </c>
      <c r="BK18" s="100">
        <f>((( 3 + 5 + 2 )/3 + 'BRAWLERS OFICIAL'!BK18)-'BRAWLERS OFICIAL'!BK18)</f>
        <v>3.333333333333333</v>
      </c>
      <c r="BL18" s="100">
        <f>((( 0 )/2 + 'BRAWLERS OFICIAL'!BL18)-'BRAWLERS OFICIAL'!BL18)</f>
        <v>0</v>
      </c>
      <c r="BM18" s="100">
        <f>((0 + 'BRAWLERS OFICIAL'!BM18)-'BRAWLERS OFICIAL'!BM18)/($BQ18)</f>
        <v>0</v>
      </c>
      <c r="BN18" s="100">
        <f>((0 + 'BRAWLERS OFICIAL'!BN18)-'BRAWLERS OFICIAL'!BN18)/($BQ18)</f>
        <v>0</v>
      </c>
      <c r="BO18" s="100">
        <f>((0 + 'BRAWLERS OFICIAL'!BO18)-'BRAWLERS OFICIAL'!BO18)/($BQ18)</f>
        <v>0</v>
      </c>
      <c r="BQ18" s="100">
        <f>('BRAWLERS OFICIAL'!F18 / 'BRAWLERS OFICIAL'!J18 / (1 + ('BRAWLERS OFICIAL'!AA18/5)))</f>
        <v>5.8333333333333339</v>
      </c>
    </row>
    <row r="19" spans="2:69">
      <c r="B19" s="97" t="s">
        <v>487</v>
      </c>
      <c r="C19" s="70" t="s">
        <v>40</v>
      </c>
      <c r="D19" s="134" t="s">
        <v>309</v>
      </c>
      <c r="E19" s="134" t="s">
        <v>308</v>
      </c>
      <c r="F19" s="100">
        <f>(0 + 'BRAWLERS OFICIAL'!F19)-'BRAWLERS OFICIAL'!F19</f>
        <v>0</v>
      </c>
      <c r="G19" s="100">
        <f>(0 + 'BRAWLERS OFICIAL'!G19)-'BRAWLERS OFICIAL'!G19</f>
        <v>0</v>
      </c>
      <c r="H19" s="100">
        <f>(0 + 'BRAWLERS OFICIAL'!H19)-'BRAWLERS OFICIAL'!H19</f>
        <v>0</v>
      </c>
      <c r="I19" s="100">
        <f>(0 + 'BRAWLERS OFICIAL'!I19)-'BRAWLERS OFICIAL'!I19</f>
        <v>0</v>
      </c>
      <c r="J19" s="100">
        <f>('BRAWLERS OFICIAL'!J19/5 + 'BRAWLERS OFICIAL'!J19)-'BRAWLERS OFICIAL'!J19</f>
        <v>0.60000000000000009</v>
      </c>
      <c r="K19" s="100">
        <f>('BRAWLERS OFICIAL'!K19/2/5 + 'BRAWLERS OFICIAL'!K19)-'BRAWLERS OFICIAL'!K19</f>
        <v>0.29999999999999982</v>
      </c>
      <c r="L19" s="100">
        <f>('BRAWLERS OFICIAL'!L19/2/5 + 'BRAWLERS OFICIAL'!L19)-'BRAWLERS OFICIAL'!L19</f>
        <v>0.25</v>
      </c>
      <c r="M19" s="100">
        <f>('BRAWLERS OFICIAL'!M19/2/5 + 'BRAWLERS OFICIAL'!M19)-'BRAWLERS OFICIAL'!M19</f>
        <v>0.14999999999999991</v>
      </c>
      <c r="N19" s="100">
        <f>(0 + 'BRAWLERS OFICIAL'!N19)-'BRAWLERS OFICIAL'!N19</f>
        <v>0</v>
      </c>
      <c r="O19" s="100">
        <f>(0 + 'BRAWLERS OFICIAL'!O19)-'BRAWLERS OFICIAL'!O19</f>
        <v>0</v>
      </c>
      <c r="P19" s="100">
        <f>(0 + 'BRAWLERS OFICIAL'!P19)-'BRAWLERS OFICIAL'!P19</f>
        <v>0</v>
      </c>
      <c r="Q19" s="100">
        <f>(0 + 'BRAWLERS OFICIAL'!Q19)-'BRAWLERS OFICIAL'!Q19</f>
        <v>0</v>
      </c>
      <c r="R19" s="100">
        <f>(0 + 'BRAWLERS OFICIAL'!R19)-'BRAWLERS OFICIAL'!R19</f>
        <v>0</v>
      </c>
      <c r="S19" s="100">
        <f>(0 + 'BRAWLERS OFICIAL'!S19)-'BRAWLERS OFICIAL'!S19</f>
        <v>0</v>
      </c>
      <c r="T19" s="100">
        <f>(0 + 'BRAWLERS OFICIAL'!T19)-'BRAWLERS OFICIAL'!T19</f>
        <v>0</v>
      </c>
      <c r="U19" s="100">
        <f>(0 + 'BRAWLERS OFICIAL'!U19)-'BRAWLERS OFICIAL'!U19</f>
        <v>0</v>
      </c>
      <c r="V19" s="100">
        <f>(0 + 'BRAWLERS OFICIAL'!V19)-'BRAWLERS OFICIAL'!V19</f>
        <v>0</v>
      </c>
      <c r="W19" s="100">
        <f>(0 + 'BRAWLERS OFICIAL'!W19)-'BRAWLERS OFICIAL'!W19</f>
        <v>0</v>
      </c>
      <c r="X19" s="103">
        <f>(( 0 + 'BRAWLERS OFICIAL'!X19 + AP19 + AY19/3.5 )-'BRAWLERS OFICIAL'!X19)/($BQ19)</f>
        <v>0</v>
      </c>
      <c r="Y19" s="101">
        <f>((0 + 'BRAWLERS OFICIAL'!Y19)-'BRAWLERS OFICIAL'!Y19)/($BQ19)</f>
        <v>0</v>
      </c>
      <c r="Z19" s="101">
        <f>(((0)/3 + 'BRAWLERS OFICIAL'!Z19)-'BRAWLERS OFICIAL'!Z19)</f>
        <v>0</v>
      </c>
      <c r="AA19" s="101">
        <f>((0 + 'BRAWLERS OFICIAL'!AA19)-'BRAWLERS OFICIAL'!AA19)/($BQ19)</f>
        <v>0</v>
      </c>
      <c r="AB19" s="101">
        <f>((0 + 'BRAWLERS OFICIAL'!AB19)-'BRAWLERS OFICIAL'!AB19)</f>
        <v>0</v>
      </c>
      <c r="AC19" s="101">
        <f>(((0)/4 + 'BRAWLERS OFICIAL'!AC19)-'BRAWLERS OFICIAL'!AC19)/($BQ19)</f>
        <v>0</v>
      </c>
      <c r="AD19" s="101">
        <f>((0 + 'BRAWLERS OFICIAL'!AD19)-'BRAWLERS OFICIAL'!AD19)/($BQ19)</f>
        <v>0</v>
      </c>
      <c r="AE19" s="101">
        <f>((0 + 'BRAWLERS OFICIAL'!AE19)-'BRAWLERS OFICIAL'!AE19)/($BQ19)</f>
        <v>0</v>
      </c>
      <c r="AF19" s="101">
        <f>((0 + 'BRAWLERS OFICIAL'!AF19)-'BRAWLERS OFICIAL'!AF19)/($BQ19)</f>
        <v>0</v>
      </c>
      <c r="AG19" s="101">
        <f>((0 + 'BRAWLERS OFICIAL'!AG19)-'BRAWLERS OFICIAL'!AG19)</f>
        <v>0</v>
      </c>
      <c r="AH19" s="101">
        <f>((0 + 'BRAWLERS OFICIAL'!AH19)-'BRAWLERS OFICIAL'!AH19)</f>
        <v>0</v>
      </c>
      <c r="AI19" s="101">
        <f>((0 + 'BRAWLERS OFICIAL'!AI19)-'BRAWLERS OFICIAL'!AI19)</f>
        <v>0</v>
      </c>
      <c r="AJ19" s="101">
        <f>((0 + 'BRAWLERS OFICIAL'!AJ19)-'BRAWLERS OFICIAL'!AJ19)/($BQ19)</f>
        <v>0</v>
      </c>
      <c r="AK19" s="101">
        <f>((0 + 'BRAWLERS OFICIAL'!AK19)-'BRAWLERS OFICIAL'!AK19)/($BQ19)</f>
        <v>0</v>
      </c>
      <c r="AL19" s="101">
        <f>(((BK19/5+1)*AK19 + 'BRAWLERS OFICIAL'!AL19)-'BRAWLERS OFICIAL'!AL19)/($BQ19)</f>
        <v>0</v>
      </c>
      <c r="AM19" s="101">
        <f>IF( 5 = (1-1), (1-1), ((5 + 'BRAWLERS OFICIAL'!AM19)/1.5)-'BRAWLERS OFICIAL'!AM19 )</f>
        <v>0.66666666666666607</v>
      </c>
      <c r="AN19" s="101">
        <f>IF( 1 = (1-1), (1-1), ( 1 ) )</f>
        <v>1</v>
      </c>
      <c r="AO19" s="101">
        <f>((0 + 'BRAWLERS OFICIAL'!AO19)-'BRAWLERS OFICIAL'!AO19)/($BQ19)</f>
        <v>0</v>
      </c>
      <c r="AP19" s="101">
        <f>((0/1000 + 'BRAWLERS OFICIAL'!AP19)-'BRAWLERS OFICIAL'!AP19)</f>
        <v>0</v>
      </c>
      <c r="AQ19" s="101">
        <f>((0 + 'BRAWLERS OFICIAL'!AQ19)-'BRAWLERS OFICIAL'!AQ19)</f>
        <v>0</v>
      </c>
      <c r="AR19" s="101">
        <f>IF( 0 = (1-1), (1-1), ((0 + 'BRAWLERS OFICIAL'!AR19)/1.5) )</f>
        <v>0</v>
      </c>
      <c r="AS19" s="101">
        <f>IF( 0 = (1-1), (1-1), ((0 + 'BRAWLERS OFICIAL'!AS19)/1.5) )</f>
        <v>0</v>
      </c>
      <c r="AT19" s="101">
        <f>IF( 0 = (1-1), (1-1), ((0 + 'BRAWLERS OFICIAL'!AT19)/2) )</f>
        <v>0</v>
      </c>
      <c r="AU19" s="101">
        <f>((0 + 'BRAWLERS OFICIAL'!AU19)-'BRAWLERS OFICIAL'!AU19)/($BQ19)</f>
        <v>0</v>
      </c>
      <c r="AV19" s="101">
        <f>(((0)/4 + 'BRAWLERS OFICIAL'!AV19)-'BRAWLERS OFICIAL'!AV19)</f>
        <v>0</v>
      </c>
      <c r="AW19" s="101">
        <v>0</v>
      </c>
      <c r="AX19" s="101" t="s">
        <v>390</v>
      </c>
      <c r="AY19" s="100">
        <f>((( 0 )/3 + 'BRAWLERS OFICIAL'!AY19)-'BRAWLERS OFICIAL'!AY19)</f>
        <v>0</v>
      </c>
      <c r="AZ19" s="100">
        <f>((( 0 )/2 + 'BRAWLERS OFICIAL'!AZ19)-'BRAWLERS OFICIAL'!AZ19)/($BQ19)</f>
        <v>0</v>
      </c>
      <c r="BA19" s="100">
        <f>((( 0 )/2 + 'BRAWLERS OFICIAL'!BA19)-'BRAWLERS OFICIAL'!BA19)</f>
        <v>0</v>
      </c>
      <c r="BB19" s="100">
        <f>((( 0 )/3 + 'BRAWLERS OFICIAL'!BB19)-'BRAWLERS OFICIAL'!BB19)</f>
        <v>0</v>
      </c>
      <c r="BC19" s="100">
        <f>((( 0 )/2 + 'BRAWLERS OFICIAL'!BC19)-'BRAWLERS OFICIAL'!BC19)/($BQ19)</f>
        <v>0</v>
      </c>
      <c r="BD19" s="100">
        <f>((( 0 )/3 + 'BRAWLERS OFICIAL'!BD19)-'BRAWLERS OFICIAL'!BD19)</f>
        <v>0</v>
      </c>
      <c r="BE19" s="100">
        <f>((( 0 )/3 + 'BRAWLERS OFICIAL'!BE19)-'BRAWLERS OFICIAL'!BE19)</f>
        <v>0</v>
      </c>
      <c r="BF19" s="100">
        <f>((0 + 'BRAWLERS OFICIAL'!BF19)-'BRAWLERS OFICIAL'!BF19)/($BQ19)</f>
        <v>0</v>
      </c>
      <c r="BG19" s="100">
        <f>((0 + 'BRAWLERS OFICIAL'!BG19)-'BRAWLERS OFICIAL'!BG19)/($BQ19)</f>
        <v>0</v>
      </c>
      <c r="BH19" s="100">
        <f>((( 0 )/2 + 'BRAWLERS OFICIAL'!BH19)-'BRAWLERS OFICIAL'!BH19)</f>
        <v>0</v>
      </c>
      <c r="BI19" s="100">
        <f>((0 + 'BRAWLERS OFICIAL'!BI19)-'BRAWLERS OFICIAL'!BI19)/($BQ19)</f>
        <v>0</v>
      </c>
      <c r="BJ19" s="100">
        <f>((( 0 )/2 + 'BRAWLERS OFICIAL'!BJ19)-'BRAWLERS OFICIAL'!BJ19)</f>
        <v>0</v>
      </c>
      <c r="BK19" s="100">
        <f>((( 0 )/3 + 'BRAWLERS OFICIAL'!BK19)-'BRAWLERS OFICIAL'!BK19)</f>
        <v>0</v>
      </c>
      <c r="BL19" s="100">
        <f>((( 0 )/2 + 'BRAWLERS OFICIAL'!BL19)-'BRAWLERS OFICIAL'!BL19)</f>
        <v>0</v>
      </c>
      <c r="BM19" s="100">
        <f>((0 + 'BRAWLERS OFICIAL'!BM19)-'BRAWLERS OFICIAL'!BM19)/($BQ19)</f>
        <v>0</v>
      </c>
      <c r="BN19" s="100">
        <f>((0 + 'BRAWLERS OFICIAL'!BN19)-'BRAWLERS OFICIAL'!BN19)/($BQ19)</f>
        <v>0</v>
      </c>
      <c r="BO19" s="100">
        <f>((0 + 'BRAWLERS OFICIAL'!BO19)-'BRAWLERS OFICIAL'!BO19)/($BQ19)</f>
        <v>0</v>
      </c>
      <c r="BQ19" s="100">
        <v>5</v>
      </c>
    </row>
    <row r="20" spans="2:69">
      <c r="B20" s="99" t="s">
        <v>488</v>
      </c>
      <c r="C20" s="9" t="s">
        <v>69</v>
      </c>
      <c r="D20" s="136" t="s">
        <v>390</v>
      </c>
      <c r="E20" s="136" t="s">
        <v>362</v>
      </c>
      <c r="F20" s="100">
        <f>((0 + 'BRAWLERS OFICIAL'!F20)-'BRAWLERS OFICIAL'!F20)</f>
        <v>0</v>
      </c>
      <c r="G20" s="100">
        <f>((0 + 'BRAWLERS OFICIAL'!G20)-'BRAWLERS OFICIAL'!G20)</f>
        <v>0</v>
      </c>
      <c r="H20" s="100">
        <f>((0 + 'BRAWLERS OFICIAL'!H20)-'BRAWLERS OFICIAL'!H20)</f>
        <v>0</v>
      </c>
      <c r="I20" s="100">
        <f>((0.7 + 'BRAWLERS OFICIAL'!I20)-'BRAWLERS OFICIAL'!I20)</f>
        <v>0.70000000000000018</v>
      </c>
      <c r="J20" s="100">
        <f>((0 + 'BRAWLERS OFICIAL'!J20)-'BRAWLERS OFICIAL'!J20)</f>
        <v>0</v>
      </c>
      <c r="K20" s="100">
        <f>((0 + 'BRAWLERS OFICIAL'!K20)-'BRAWLERS OFICIAL'!K20)</f>
        <v>0</v>
      </c>
      <c r="L20" s="100">
        <f>((0 + 'BRAWLERS OFICIAL'!L20)-'BRAWLERS OFICIAL'!L20)</f>
        <v>0</v>
      </c>
      <c r="M20" s="100">
        <f>((0 + 'BRAWLERS OFICIAL'!M20)-'BRAWLERS OFICIAL'!M20)</f>
        <v>0</v>
      </c>
      <c r="N20" s="100">
        <f>((0 + 'BRAWLERS OFICIAL'!N20)-'BRAWLERS OFICIAL'!N20)</f>
        <v>0</v>
      </c>
      <c r="O20" s="100">
        <f>((0 + 'BRAWLERS OFICIAL'!O20)-'BRAWLERS OFICIAL'!O20)</f>
        <v>0</v>
      </c>
      <c r="P20" s="100">
        <f>((0 + 'BRAWLERS OFICIAL'!P20)-'BRAWLERS OFICIAL'!P20)</f>
        <v>0</v>
      </c>
      <c r="Q20" s="100">
        <f>((0 + 'BRAWLERS OFICIAL'!Q20)-'BRAWLERS OFICIAL'!Q20)</f>
        <v>0</v>
      </c>
      <c r="R20" s="100">
        <f>((0 + 'BRAWLERS OFICIAL'!R20)-'BRAWLERS OFICIAL'!R20)</f>
        <v>0</v>
      </c>
      <c r="S20" s="100">
        <f>((0 + 'BRAWLERS OFICIAL'!S20)-'BRAWLERS OFICIAL'!S20)</f>
        <v>0</v>
      </c>
      <c r="T20" s="100">
        <f>((0 + 'BRAWLERS OFICIAL'!T20)-'BRAWLERS OFICIAL'!T20)</f>
        <v>0</v>
      </c>
      <c r="U20" s="100">
        <f>((0 + 'BRAWLERS OFICIAL'!U20)-'BRAWLERS OFICIAL'!U20)</f>
        <v>0</v>
      </c>
      <c r="V20" s="100">
        <f>((0 + 'BRAWLERS OFICIAL'!V20)-'BRAWLERS OFICIAL'!V20)</f>
        <v>0</v>
      </c>
      <c r="W20" s="100">
        <f>(0 + 'BRAWLERS OFICIAL'!W20)-'BRAWLERS OFICIAL'!W20</f>
        <v>0</v>
      </c>
      <c r="X20" s="103">
        <f>(( 0 + 'BRAWLERS OFICIAL'!X20 + AP20 + AY20/3.5 )-'BRAWLERS OFICIAL'!X20)/($BQ20)</f>
        <v>0</v>
      </c>
      <c r="Y20" s="101">
        <f>((0 + 'BRAWLERS OFICIAL'!Y20)-'BRAWLERS OFICIAL'!Y20)/($BQ20)</f>
        <v>0</v>
      </c>
      <c r="Z20" s="101">
        <f>(((0)/3 + 'BRAWLERS OFICIAL'!Z20)-'BRAWLERS OFICIAL'!Z20)</f>
        <v>0</v>
      </c>
      <c r="AA20" s="101">
        <f>((0 + 'BRAWLERS OFICIAL'!AA20)-'BRAWLERS OFICIAL'!AA20)/($BQ20)</f>
        <v>0</v>
      </c>
      <c r="AB20" s="101">
        <f>((0 + 'BRAWLERS OFICIAL'!AB20)-'BRAWLERS OFICIAL'!AB20)</f>
        <v>0</v>
      </c>
      <c r="AC20" s="101">
        <f>(((0)/4 + 'BRAWLERS OFICIAL'!AC20)-'BRAWLERS OFICIAL'!AC20)/($BQ20)</f>
        <v>0</v>
      </c>
      <c r="AD20" s="101">
        <f>((0 + 'BRAWLERS OFICIAL'!AD20)-'BRAWLERS OFICIAL'!AD20)/($BQ20)</f>
        <v>0</v>
      </c>
      <c r="AE20" s="101">
        <f>((0 + 'BRAWLERS OFICIAL'!AE20)-'BRAWLERS OFICIAL'!AE20)/($BQ20)</f>
        <v>0</v>
      </c>
      <c r="AF20" s="101">
        <f>((0 + 'BRAWLERS OFICIAL'!AF20)-'BRAWLERS OFICIAL'!AF20)/($BQ20)</f>
        <v>0</v>
      </c>
      <c r="AG20" s="101">
        <f>((0 + 'BRAWLERS OFICIAL'!AG20)-'BRAWLERS OFICIAL'!AG20)</f>
        <v>0</v>
      </c>
      <c r="AH20" s="101">
        <f>((0 + 'BRAWLERS OFICIAL'!AH20)-'BRAWLERS OFICIAL'!AH20)</f>
        <v>0</v>
      </c>
      <c r="AI20" s="101">
        <f>((0 + 'BRAWLERS OFICIAL'!AI20)-'BRAWLERS OFICIAL'!AI20)</f>
        <v>0</v>
      </c>
      <c r="AJ20" s="101">
        <f>((0 + 'BRAWLERS OFICIAL'!AJ20)-'BRAWLERS OFICIAL'!AJ20)/($BQ20)</f>
        <v>0</v>
      </c>
      <c r="AK20" s="101">
        <f>((0 + 'BRAWLERS OFICIAL'!AK20)-'BRAWLERS OFICIAL'!AK20)/($BQ20)</f>
        <v>0</v>
      </c>
      <c r="AL20" s="101">
        <f>(((BK20/5+1)*AK20 + 'BRAWLERS OFICIAL'!AL20)-'BRAWLERS OFICIAL'!AL20)/($BQ20)</f>
        <v>0</v>
      </c>
      <c r="AM20" s="101">
        <f>IF( 0 = (1-1), (1-1), ((0 + 'BRAWLERS OFICIAL'!AM20)/1.5)-'BRAWLERS OFICIAL'!AM20 )</f>
        <v>0</v>
      </c>
      <c r="AN20" s="101">
        <f t="shared" si="1"/>
        <v>0</v>
      </c>
      <c r="AO20" s="101">
        <f>((0 + 'BRAWLERS OFICIAL'!AO20)-'BRAWLERS OFICIAL'!AO20)/($BQ20)</f>
        <v>0</v>
      </c>
      <c r="AP20" s="101">
        <f>((0/1000 + 'BRAWLERS OFICIAL'!AP20)-'BRAWLERS OFICIAL'!AP20)</f>
        <v>0</v>
      </c>
      <c r="AQ20" s="101">
        <f>((0 + 'BRAWLERS OFICIAL'!AQ20)-'BRAWLERS OFICIAL'!AQ20)</f>
        <v>0</v>
      </c>
      <c r="AR20" s="101">
        <f>IF( 0 = (1-1), (1-1), ((0 + 'BRAWLERS OFICIAL'!AR20)/1.5) )</f>
        <v>0</v>
      </c>
      <c r="AS20" s="101">
        <f>IF( 0 = (1-1), (1-1), ((0 + 'BRAWLERS OFICIAL'!AS20)/1.5) )</f>
        <v>0</v>
      </c>
      <c r="AT20" s="101">
        <f>IF( 0 = (1-1), (1-1), ((0 + 'BRAWLERS OFICIAL'!AT20)/2) )</f>
        <v>0</v>
      </c>
      <c r="AU20" s="101">
        <f>((0 + 'BRAWLERS OFICIAL'!AU20)-'BRAWLERS OFICIAL'!AU20)/($BQ20)</f>
        <v>0</v>
      </c>
      <c r="AV20" s="101">
        <f>(((0)/4 + 'BRAWLERS OFICIAL'!AV20)-'BRAWLERS OFICIAL'!AV20)</f>
        <v>0</v>
      </c>
      <c r="AW20" s="101">
        <v>0</v>
      </c>
      <c r="AX20" s="101" t="s">
        <v>390</v>
      </c>
      <c r="AY20" s="100">
        <f>((( 0 )/3 + 'BRAWLERS OFICIAL'!AY20)-'BRAWLERS OFICIAL'!AY20)</f>
        <v>0</v>
      </c>
      <c r="AZ20" s="100">
        <f>((( 0 )/2 + 'BRAWLERS OFICIAL'!AZ20)-'BRAWLERS OFICIAL'!AZ20)/($BQ20)</f>
        <v>0</v>
      </c>
      <c r="BA20" s="100">
        <f>((( 0 )/2 + 'BRAWLERS OFICIAL'!BA20)-'BRAWLERS OFICIAL'!BA20)</f>
        <v>0</v>
      </c>
      <c r="BB20" s="100">
        <f>((( 0 )/3 + 'BRAWLERS OFICIAL'!BB20)-'BRAWLERS OFICIAL'!BB20)</f>
        <v>0</v>
      </c>
      <c r="BC20" s="100">
        <f>((( 0 )/2 + 'BRAWLERS OFICIAL'!BC20)-'BRAWLERS OFICIAL'!BC20)/($BQ20)</f>
        <v>0</v>
      </c>
      <c r="BD20" s="100">
        <f>((( 0 )/3 + 'BRAWLERS OFICIAL'!BD20)-'BRAWLERS OFICIAL'!BD20)</f>
        <v>0</v>
      </c>
      <c r="BE20" s="100">
        <f>((( 0 )/3 + 'BRAWLERS OFICIAL'!BE20)-'BRAWLERS OFICIAL'!BE20)</f>
        <v>0</v>
      </c>
      <c r="BF20" s="100">
        <f>((0 + 'BRAWLERS OFICIAL'!BF20)-'BRAWLERS OFICIAL'!BF20)/($BQ20)</f>
        <v>0</v>
      </c>
      <c r="BG20" s="100">
        <f>((0 + 'BRAWLERS OFICIAL'!BG20)-'BRAWLERS OFICIAL'!BG20)/($BQ20)</f>
        <v>0</v>
      </c>
      <c r="BH20" s="100">
        <f>((( 0 )/2 + 'BRAWLERS OFICIAL'!BH20)-'BRAWLERS OFICIAL'!BH20)</f>
        <v>0</v>
      </c>
      <c r="BI20" s="100">
        <f>((0 + 'BRAWLERS OFICIAL'!BI20)-'BRAWLERS OFICIAL'!BI20)/($BQ20)</f>
        <v>0</v>
      </c>
      <c r="BJ20" s="100">
        <f>((( 0 )/2 + 'BRAWLERS OFICIAL'!BJ20)-'BRAWLERS OFICIAL'!BJ20)</f>
        <v>0</v>
      </c>
      <c r="BK20" s="100">
        <f>((( 0 )/3 + 'BRAWLERS OFICIAL'!BK20)-'BRAWLERS OFICIAL'!BK20)</f>
        <v>0</v>
      </c>
      <c r="BL20" s="100">
        <f>((( 0 )/2 + 'BRAWLERS OFICIAL'!BL20)-'BRAWLERS OFICIAL'!BL20)</f>
        <v>0</v>
      </c>
      <c r="BM20" s="100">
        <f>((0 + 'BRAWLERS OFICIAL'!BM20)-'BRAWLERS OFICIAL'!BM20)/($BQ20)</f>
        <v>0</v>
      </c>
      <c r="BN20" s="100">
        <f>((0 + 'BRAWLERS OFICIAL'!BN20)-'BRAWLERS OFICIAL'!BN20)/($BQ20)</f>
        <v>0</v>
      </c>
      <c r="BO20" s="100">
        <f>((0 + 'BRAWLERS OFICIAL'!BO20)-'BRAWLERS OFICIAL'!BO20)/($BQ20)</f>
        <v>0</v>
      </c>
      <c r="BQ20" s="100">
        <v>1</v>
      </c>
    </row>
    <row r="21" spans="2:69">
      <c r="C21" t="s">
        <v>393</v>
      </c>
    </row>
    <row r="22" spans="2:69">
      <c r="B22" t="s">
        <v>465</v>
      </c>
      <c r="C22" t="s">
        <v>466</v>
      </c>
    </row>
    <row r="23" spans="2:69">
      <c r="B23" t="s">
        <v>467</v>
      </c>
      <c r="C23" t="s">
        <v>468</v>
      </c>
    </row>
  </sheetData>
  <conditionalFormatting sqref="BK3:BK7 BK9:BK19 BL3:BO19 F3:BJ3 AY4:BJ19 AY20:BO20 F4:AX20">
    <cfRule type="cellIs" dxfId="4" priority="8" operator="greaterThan">
      <formula>0</formula>
    </cfRule>
  </conditionalFormatting>
  <conditionalFormatting sqref="BQ3:BQ20">
    <cfRule type="cellIs" dxfId="3" priority="2" operator="greaterThan">
      <formula>0</formula>
    </cfRule>
  </conditionalFormatting>
  <conditionalFormatting sqref="BK8">
    <cfRule type="cellIs" dxfId="2" priority="1" operator="greaterThan">
      <formula>0</formula>
    </cfRule>
  </conditionalFormatting>
  <dataValidations count="1">
    <dataValidation allowBlank="1" showInputMessage="1" showErrorMessage="1" sqref="B2:B20" xr:uid="{FAC10227-D2CB-41A0-950B-15A65C5FF1BA}"/>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695ABF70-17C8-4FF3-BD81-20CA58AB4999}">
          <x14:formula1>
            <xm:f>'BRAWLERS OFICIAL'!$F$2:$CP$2</xm:f>
          </x14:formula1>
          <xm:sqref>D3:E20</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9111E-9FE0-4B13-9DA0-EC5E00FFDD22}">
  <dimension ref="A1:BQ23"/>
  <sheetViews>
    <sheetView tabSelected="1" workbookViewId="0">
      <pane xSplit="3" topLeftCell="AS1" activePane="topRight" state="frozen"/>
      <selection pane="topRight" activeCell="AX21" sqref="AX21"/>
    </sheetView>
  </sheetViews>
  <sheetFormatPr defaultRowHeight="15"/>
  <cols>
    <col min="1" max="1" width="9.140625" style="85"/>
    <col min="2" max="2" width="19.42578125" bestFit="1" customWidth="1"/>
  </cols>
  <sheetData>
    <row r="1" spans="1:69" s="127" customFormat="1">
      <c r="A1" s="126"/>
      <c r="Z1" s="127" t="s">
        <v>397</v>
      </c>
      <c r="AB1" s="127" t="s">
        <v>397</v>
      </c>
      <c r="AY1" s="127" t="s">
        <v>397</v>
      </c>
      <c r="BA1" s="127" t="s">
        <v>397</v>
      </c>
      <c r="BB1" s="127" t="s">
        <v>397</v>
      </c>
      <c r="BD1" s="127" t="s">
        <v>397</v>
      </c>
      <c r="BE1" s="127" t="s">
        <v>397</v>
      </c>
      <c r="BH1" s="127" t="s">
        <v>397</v>
      </c>
      <c r="BJ1" s="127" t="s">
        <v>397</v>
      </c>
      <c r="BK1" s="127" t="s">
        <v>397</v>
      </c>
      <c r="BL1" s="127" t="s">
        <v>397</v>
      </c>
    </row>
    <row r="2" spans="1:69">
      <c r="B2" s="26" t="s">
        <v>398</v>
      </c>
      <c r="C2" s="26" t="s">
        <v>302</v>
      </c>
      <c r="D2" s="20" t="s">
        <v>303</v>
      </c>
      <c r="E2" s="20" t="s">
        <v>304</v>
      </c>
      <c r="F2" s="20" t="s">
        <v>305</v>
      </c>
      <c r="G2" s="20" t="s">
        <v>306</v>
      </c>
      <c r="H2" s="20" t="s">
        <v>307</v>
      </c>
      <c r="I2" s="20" t="s">
        <v>308</v>
      </c>
      <c r="J2" s="20" t="s">
        <v>309</v>
      </c>
      <c r="K2" s="20" t="s">
        <v>310</v>
      </c>
      <c r="L2" s="20" t="s">
        <v>311</v>
      </c>
      <c r="M2" s="20" t="s">
        <v>312</v>
      </c>
      <c r="N2" s="20" t="s">
        <v>313</v>
      </c>
      <c r="O2" s="20" t="s">
        <v>314</v>
      </c>
      <c r="P2" s="20" t="s">
        <v>315</v>
      </c>
      <c r="Q2" s="20" t="s">
        <v>316</v>
      </c>
      <c r="R2" s="20" t="s">
        <v>317</v>
      </c>
      <c r="S2" s="20" t="s">
        <v>318</v>
      </c>
      <c r="T2" s="20" t="s">
        <v>319</v>
      </c>
      <c r="U2" s="20" t="s">
        <v>320</v>
      </c>
      <c r="V2" s="20" t="s">
        <v>321</v>
      </c>
      <c r="W2" s="20" t="s">
        <v>322</v>
      </c>
      <c r="X2" s="26" t="s">
        <v>323</v>
      </c>
      <c r="Y2" s="26" t="s">
        <v>324</v>
      </c>
      <c r="Z2" s="26" t="s">
        <v>325</v>
      </c>
      <c r="AA2" s="26" t="s">
        <v>326</v>
      </c>
      <c r="AB2" s="26" t="s">
        <v>327</v>
      </c>
      <c r="AC2" s="26" t="s">
        <v>328</v>
      </c>
      <c r="AD2" s="26" t="s">
        <v>329</v>
      </c>
      <c r="AE2" s="26" t="s">
        <v>330</v>
      </c>
      <c r="AF2" s="26" t="s">
        <v>331</v>
      </c>
      <c r="AG2" s="26" t="s">
        <v>332</v>
      </c>
      <c r="AH2" s="26" t="s">
        <v>333</v>
      </c>
      <c r="AI2" s="20" t="s">
        <v>334</v>
      </c>
      <c r="AJ2" s="20" t="s">
        <v>335</v>
      </c>
      <c r="AK2" s="20" t="s">
        <v>336</v>
      </c>
      <c r="AL2" s="26" t="s">
        <v>337</v>
      </c>
      <c r="AM2" s="20" t="s">
        <v>338</v>
      </c>
      <c r="AN2" s="20" t="s">
        <v>339</v>
      </c>
      <c r="AO2" s="20" t="s">
        <v>340</v>
      </c>
      <c r="AP2" s="20" t="s">
        <v>341</v>
      </c>
      <c r="AQ2" s="20" t="s">
        <v>342</v>
      </c>
      <c r="AR2" s="20" t="s">
        <v>343</v>
      </c>
      <c r="AS2" s="20" t="s">
        <v>344</v>
      </c>
      <c r="AT2" s="20" t="s">
        <v>345</v>
      </c>
      <c r="AU2" s="20" t="s">
        <v>346</v>
      </c>
      <c r="AV2" s="20" t="s">
        <v>347</v>
      </c>
      <c r="AW2" s="20" t="s">
        <v>348</v>
      </c>
      <c r="AX2" s="20" t="s">
        <v>349</v>
      </c>
      <c r="AY2" s="26" t="s">
        <v>350</v>
      </c>
      <c r="AZ2" s="26" t="s">
        <v>351</v>
      </c>
      <c r="BA2" s="20" t="s">
        <v>352</v>
      </c>
      <c r="BB2" s="26" t="s">
        <v>353</v>
      </c>
      <c r="BC2" s="26" t="s">
        <v>354</v>
      </c>
      <c r="BD2" s="26" t="s">
        <v>355</v>
      </c>
      <c r="BE2" s="26" t="s">
        <v>356</v>
      </c>
      <c r="BF2" s="26" t="s">
        <v>357</v>
      </c>
      <c r="BG2" s="120" t="s">
        <v>358</v>
      </c>
      <c r="BH2" s="26" t="s">
        <v>359</v>
      </c>
      <c r="BI2" s="26" t="s">
        <v>360</v>
      </c>
      <c r="BJ2" s="20" t="s">
        <v>361</v>
      </c>
      <c r="BK2" s="20" t="s">
        <v>362</v>
      </c>
      <c r="BL2" s="26" t="s">
        <v>363</v>
      </c>
      <c r="BM2" s="26" t="s">
        <v>364</v>
      </c>
      <c r="BN2" s="20" t="s">
        <v>365</v>
      </c>
      <c r="BO2" s="26" t="s">
        <v>366</v>
      </c>
      <c r="BQ2" s="26" t="s">
        <v>444</v>
      </c>
    </row>
    <row r="3" spans="1:69">
      <c r="B3" s="86" t="s">
        <v>489</v>
      </c>
      <c r="C3" s="87" t="s">
        <v>78</v>
      </c>
      <c r="D3" s="61" t="s">
        <v>325</v>
      </c>
      <c r="E3" s="61" t="s">
        <v>383</v>
      </c>
      <c r="F3" s="91">
        <f>(( 0 + 'BRAWLERS OFICIAL'!F3)-'BRAWLERS OFICIAL'!F3)/$BQ3</f>
        <v>0</v>
      </c>
      <c r="G3" s="91">
        <f>(( 0 + 'BRAWLERS OFICIAL'!G3)-'BRAWLERS OFICIAL'!G3)/$BQ3</f>
        <v>0</v>
      </c>
      <c r="H3" s="91">
        <f>(( ('BRAWLERS OFICIAL'!H3/20) + 'BRAWLERS OFICIAL'!H3)-'BRAWLERS OFICIAL'!H3)/$BQ3</f>
        <v>19.764705882352938</v>
      </c>
      <c r="I3" s="91">
        <f>(( 0 + 'BRAWLERS OFICIAL'!I3)-'BRAWLERS OFICIAL'!I3)/$BQ3</f>
        <v>0</v>
      </c>
      <c r="J3" s="91">
        <f>(( 0 + 'BRAWLERS OFICIAL'!J3)-'BRAWLERS OFICIAL'!J3)/$BQ3</f>
        <v>0</v>
      </c>
      <c r="K3" s="91">
        <f>(( 0 + 'BRAWLERS OFICIAL'!K3)-'BRAWLERS OFICIAL'!K3)/$BQ3</f>
        <v>0</v>
      </c>
      <c r="L3" s="91">
        <f>(( 0 + 'BRAWLERS OFICIAL'!L3)-'BRAWLERS OFICIAL'!L3)/$BQ3</f>
        <v>0</v>
      </c>
      <c r="M3" s="91">
        <f>(( 0 + 'BRAWLERS OFICIAL'!M3)-'BRAWLERS OFICIAL'!M3)/$BQ3</f>
        <v>0</v>
      </c>
      <c r="N3" s="91">
        <f>(( 0 + 'BRAWLERS OFICIAL'!N3)-'BRAWLERS OFICIAL'!N3)/$BQ3</f>
        <v>0</v>
      </c>
      <c r="O3" s="91">
        <f>(( 0 + 'BRAWLERS OFICIAL'!O3)-'BRAWLERS OFICIAL'!O3)/$BQ3</f>
        <v>0</v>
      </c>
      <c r="P3" s="91">
        <f>(( 0 + 'BRAWLERS OFICIAL'!P3)-'BRAWLERS OFICIAL'!P3)/$BQ3</f>
        <v>0</v>
      </c>
      <c r="Q3" s="91">
        <f>(( 'BRAWLERS OFICIAL'!Q3/20 + 'BRAWLERS OFICIAL'!Q3)-'BRAWLERS OFICIAL'!Q3)/$BQ3</f>
        <v>44.470588235294109</v>
      </c>
      <c r="R3" s="91">
        <f>(( 'BRAWLERS OFICIAL'!R3/20 + 'BRAWLERS OFICIAL'!R3)-'BRAWLERS OFICIAL'!R3)/$BQ3</f>
        <v>33.35294117647058</v>
      </c>
      <c r="S3" s="91">
        <f>(( 'BRAWLERS OFICIAL'!S3/20 + 'BRAWLERS OFICIAL'!S3)-'BRAWLERS OFICIAL'!S3)/$BQ3</f>
        <v>22.235294117647054</v>
      </c>
      <c r="T3" s="91">
        <f>(( 'BRAWLERS OFICIAL'!T3/20 + 'BRAWLERS OFICIAL'!T3)-'BRAWLERS OFICIAL'!T3)/$BQ3</f>
        <v>22.235294117647054</v>
      </c>
      <c r="U3" s="91">
        <f>(( 'BRAWLERS OFICIAL'!U3/20 + 'BRAWLERS OFICIAL'!U3)-'BRAWLERS OFICIAL'!U3)/$BQ3</f>
        <v>44.470588235294109</v>
      </c>
      <c r="V3" s="91">
        <f>(( 0 + 'BRAWLERS OFICIAL'!V3)-'BRAWLERS OFICIAL'!V3)/$BQ3</f>
        <v>0</v>
      </c>
      <c r="W3" s="91">
        <f>(( 0 + 'BRAWLERS OFICIAL'!W3)-'BRAWLERS OFICIAL'!W3)/$BQ3</f>
        <v>0</v>
      </c>
      <c r="X3" s="102">
        <f>(( ('BRAWLERS OFICIAL'!X3/20) + 'BRAWLERS OFICIAL'!X3 + AP3 + AY3/3.5 )-'BRAWLERS OFICIAL'!X3)/($BQ3)</f>
        <v>4.4117647058823477E-2</v>
      </c>
      <c r="Y3" s="92">
        <f>((0 + 'BRAWLERS OFICIAL'!Y3)-'BRAWLERS OFICIAL'!Y3)/($BQ3)</f>
        <v>0</v>
      </c>
      <c r="Z3" s="92">
        <f>(((0)/3 + 'BRAWLERS OFICIAL'!Z3)-'BRAWLERS OFICIAL'!Z3)</f>
        <v>0</v>
      </c>
      <c r="AA3" s="92">
        <f>((0 + 'BRAWLERS OFICIAL'!AA3)-'BRAWLERS OFICIAL'!AA3)/($BQ3)</f>
        <v>0</v>
      </c>
      <c r="AB3" s="92">
        <f>((0 + 'BRAWLERS OFICIAL'!AB3)-'BRAWLERS OFICIAL'!AB3)</f>
        <v>0</v>
      </c>
      <c r="AC3" s="92">
        <f>(((0)/4 + 'BRAWLERS OFICIAL'!AC3)-'BRAWLERS OFICIAL'!AC3)/($BQ3)</f>
        <v>0</v>
      </c>
      <c r="AD3" s="92">
        <f>((0 + 'BRAWLERS OFICIAL'!AD3)-'BRAWLERS OFICIAL'!AD3)/($BQ3)</f>
        <v>0</v>
      </c>
      <c r="AE3" s="92">
        <f>((0 + 'BRAWLERS OFICIAL'!AE3)-'BRAWLERS OFICIAL'!AE3)/($BQ3)</f>
        <v>0</v>
      </c>
      <c r="AF3" s="92">
        <f>((0 + 'BRAWLERS OFICIAL'!AF3)-'BRAWLERS OFICIAL'!AF3)/($BQ3)</f>
        <v>0</v>
      </c>
      <c r="AG3" s="92">
        <f>((0 + 'BRAWLERS OFICIAL'!AG3)-'BRAWLERS OFICIAL'!AG3)/($BQ3)</f>
        <v>0</v>
      </c>
      <c r="AH3" s="92">
        <f>((0 + 'BRAWLERS OFICIAL'!AH3)-'BRAWLERS OFICIAL'!AH3)/($BQ3)</f>
        <v>0</v>
      </c>
      <c r="AI3" s="92">
        <f>((0 + 'BRAWLERS OFICIAL'!AI3)-'BRAWLERS OFICIAL'!AI3)/($BQ3)</f>
        <v>0</v>
      </c>
      <c r="AJ3" s="92">
        <f>(( ('BRAWLERS OFICIAL'!AJ3/5) + 'BRAWLERS OFICIAL'!AJ3)-'BRAWLERS OFICIAL'!AJ3)/($BQ3)</f>
        <v>0.24705882352941172</v>
      </c>
      <c r="AK3" s="92">
        <f>((0 + 'BRAWLERS OFICIAL'!AK3)-'BRAWLERS OFICIAL'!AK3)/($BQ3)</f>
        <v>0</v>
      </c>
      <c r="AL3" s="92">
        <f>(((BK3/5+1)*AK3 + 'BRAWLERS OFICIAL'!AL3)-'BRAWLERS OFICIAL'!AL3)/($BQ3)</f>
        <v>0</v>
      </c>
      <c r="AM3" s="92">
        <f>IF( 0 = (1-1), (1-1), ((0 + 'BRAWLERS OFICIAL'!AM3)/1.5)-'BRAWLERS OFICIAL'!AM3 )/($BQ3)</f>
        <v>0</v>
      </c>
      <c r="AN3" s="92">
        <f>IF( 0 = (1-1), (1-1), ( 0 ) )/($BQ3)</f>
        <v>0</v>
      </c>
      <c r="AO3" s="92">
        <f>((0 + 'BRAWLERS OFICIAL'!AO3)-'BRAWLERS OFICIAL'!AO3)/($BQ3)</f>
        <v>0</v>
      </c>
      <c r="AP3" s="92">
        <f>((0/1000 + 'BRAWLERS OFICIAL'!AP3)-'BRAWLERS OFICIAL'!AP3)/($BQ3)</f>
        <v>0</v>
      </c>
      <c r="AQ3" s="92">
        <f>((0 + 'BRAWLERS OFICIAL'!AQ3)-'BRAWLERS OFICIAL'!AQ3)/($BQ3)</f>
        <v>0</v>
      </c>
      <c r="AR3" s="92">
        <f>IF( 0 = (1-1), (1-1), ((0 + 'BRAWLERS OFICIAL'!AR3)/1.5) )/($BQ3)</f>
        <v>0</v>
      </c>
      <c r="AS3" s="92">
        <f>IF( 0 = (1-1), (1-1), ((0 + 'BRAWLERS OFICIAL'!AS3)/1.5) )/($BQ3)</f>
        <v>0</v>
      </c>
      <c r="AT3" s="92">
        <f>IF( 0 = (1-1), (1-1), ((0 + 'BRAWLERS OFICIAL'!AT3)/2) )/($BQ3)</f>
        <v>0</v>
      </c>
      <c r="AU3" s="92">
        <f>((0 + 'BRAWLERS OFICIAL'!AU3)-'BRAWLERS OFICIAL'!AU3)/($BQ3)</f>
        <v>0</v>
      </c>
      <c r="AV3" s="92">
        <f>(((0)/4 + 'BRAWLERS OFICIAL'!AV3)-'BRAWLERS OFICIAL'!AV3)/($BQ3)</f>
        <v>0</v>
      </c>
      <c r="AW3" s="92">
        <v>0</v>
      </c>
      <c r="AX3" s="92" t="s">
        <v>390</v>
      </c>
      <c r="AY3" s="91">
        <f>((( 0 )/3 + 'BRAWLERS OFICIAL'!AY3)-'BRAWLERS OFICIAL'!AY3)</f>
        <v>0</v>
      </c>
      <c r="AZ3" s="91">
        <f>((( 0 )/2 + 'BRAWLERS OFICIAL'!AZ3)-'BRAWLERS OFICIAL'!AZ3)/($BQ3)</f>
        <v>0</v>
      </c>
      <c r="BA3" s="91">
        <f>((( 0 )/2 + 'BRAWLERS OFICIAL'!BA3)-'BRAWLERS OFICIAL'!BA3)</f>
        <v>0</v>
      </c>
      <c r="BB3" s="91">
        <f>((( 0 )/3 + 'BRAWLERS OFICIAL'!BB3)-'BRAWLERS OFICIAL'!BB3)</f>
        <v>0</v>
      </c>
      <c r="BC3" s="91">
        <f>((( 0 )/2 + 'BRAWLERS OFICIAL'!BC3)-'BRAWLERS OFICIAL'!BC3)/($BQ3)</f>
        <v>0</v>
      </c>
      <c r="BD3" s="91">
        <f>((( 0 )/3 + 'BRAWLERS OFICIAL'!BD3)-'BRAWLERS OFICIAL'!BD3)</f>
        <v>0</v>
      </c>
      <c r="BE3" s="91">
        <f>((( 0 )/3 + 'BRAWLERS OFICIAL'!BE3)-'BRAWLERS OFICIAL'!BE3)</f>
        <v>0</v>
      </c>
      <c r="BF3" s="91">
        <f>((0 + 'BRAWLERS OFICIAL'!BF3)-'BRAWLERS OFICIAL'!BF3)/($BQ3)</f>
        <v>0</v>
      </c>
      <c r="BG3" s="91">
        <f>((0 + 'BRAWLERS OFICIAL'!BG3)-'BRAWLERS OFICIAL'!BG3)/($BQ3)</f>
        <v>0</v>
      </c>
      <c r="BH3" s="91">
        <f>((( 0 )/2 + 'BRAWLERS OFICIAL'!BH3)-'BRAWLERS OFICIAL'!BH3)</f>
        <v>0</v>
      </c>
      <c r="BI3" s="91">
        <f>((0 + 'BRAWLERS OFICIAL'!BI3)-'BRAWLERS OFICIAL'!BI3)/($BQ3)</f>
        <v>0</v>
      </c>
      <c r="BJ3" s="91">
        <f>((( 0 )/2 + 'BRAWLERS OFICIAL'!BJ3)-'BRAWLERS OFICIAL'!BJ3)</f>
        <v>0</v>
      </c>
      <c r="BK3" s="91">
        <f>((( 0 )/3 + 'BRAWLERS OFICIAL'!BK3)-'BRAWLERS OFICIAL'!BK3)</f>
        <v>0</v>
      </c>
      <c r="BL3" s="91">
        <f>((( 0 )/2 + 'BRAWLERS OFICIAL'!BL3)-'BRAWLERS OFICIAL'!BL3)</f>
        <v>0</v>
      </c>
      <c r="BM3" s="91">
        <f>((0 + 'BRAWLERS OFICIAL'!BM3)-'BRAWLERS OFICIAL'!BM3)/($BQ3)</f>
        <v>0</v>
      </c>
      <c r="BN3" s="91">
        <f>((0 + 'BRAWLERS OFICIAL'!BN3)-'BRAWLERS OFICIAL'!BN3)/($BQ3)</f>
        <v>0</v>
      </c>
      <c r="BO3" s="91">
        <f>((0 + 'BRAWLERS OFICIAL'!BO3)-'BRAWLERS OFICIAL'!BO3)/($BQ3)</f>
        <v>0</v>
      </c>
      <c r="BQ3" s="100">
        <f>('BRAWLERS OFICIAL'!F3 / 'BRAWLERS OFICIAL'!J3 / (1 + ('BRAWLERS OFICIAL'!AA3/5)))*'BRAWLERS OFICIAL'!G3</f>
        <v>4.0476190476190483</v>
      </c>
    </row>
    <row r="4" spans="1:69">
      <c r="B4" s="86" t="s">
        <v>490</v>
      </c>
      <c r="C4" s="87" t="s">
        <v>10</v>
      </c>
      <c r="D4" s="61" t="s">
        <v>390</v>
      </c>
      <c r="E4" s="61" t="s">
        <v>384</v>
      </c>
      <c r="F4" s="91">
        <f>(( 0 + 'BRAWLERS OFICIAL'!F4)-'BRAWLERS OFICIAL'!F4)/$BQ4</f>
        <v>0</v>
      </c>
      <c r="G4" s="91">
        <f>(( 0 + 'BRAWLERS OFICIAL'!G4)-'BRAWLERS OFICIAL'!G4)/$BQ4</f>
        <v>0</v>
      </c>
      <c r="H4" s="91">
        <f>(( ('BRAWLERS OFICIAL'!H4/20) + 'BRAWLERS OFICIAL'!H4)-'BRAWLERS OFICIAL'!H4)/$BQ4</f>
        <v>22.222222222222221</v>
      </c>
      <c r="I4" s="91">
        <f>(( 0 + 'BRAWLERS OFICIAL'!I4)-'BRAWLERS OFICIAL'!I4)/$BQ4</f>
        <v>0</v>
      </c>
      <c r="J4" s="91">
        <f>(( 0 + 'BRAWLERS OFICIAL'!J4)-'BRAWLERS OFICIAL'!J4)/$BQ4</f>
        <v>0</v>
      </c>
      <c r="K4" s="91">
        <f>(( 0 + 'BRAWLERS OFICIAL'!K4)-'BRAWLERS OFICIAL'!K4)/$BQ4</f>
        <v>0</v>
      </c>
      <c r="L4" s="91">
        <f>(( 0 + 'BRAWLERS OFICIAL'!L4)-'BRAWLERS OFICIAL'!L4)/$BQ4</f>
        <v>0</v>
      </c>
      <c r="M4" s="91">
        <f>(( 0 + 'BRAWLERS OFICIAL'!M4)-'BRAWLERS OFICIAL'!M4)/$BQ4</f>
        <v>0</v>
      </c>
      <c r="N4" s="91">
        <f>(( 0 + 'BRAWLERS OFICIAL'!N4)-'BRAWLERS OFICIAL'!N4)/$BQ4</f>
        <v>0</v>
      </c>
      <c r="O4" s="91">
        <f>(( 0 + 'BRAWLERS OFICIAL'!O4)-'BRAWLERS OFICIAL'!O4)/$BQ4</f>
        <v>0</v>
      </c>
      <c r="P4" s="91">
        <f>(( 0 + 'BRAWLERS OFICIAL'!P4)-'BRAWLERS OFICIAL'!P4)/$BQ4</f>
        <v>0</v>
      </c>
      <c r="Q4" s="91">
        <f>(( 'BRAWLERS OFICIAL'!Q4/20 + 'BRAWLERS OFICIAL'!Q4)-'BRAWLERS OFICIAL'!Q4)/$BQ4</f>
        <v>11.111111111111111</v>
      </c>
      <c r="R4" s="91">
        <f>(( 'BRAWLERS OFICIAL'!R4/20 + 'BRAWLERS OFICIAL'!R4)-'BRAWLERS OFICIAL'!R4)/$BQ4</f>
        <v>11.111111111111111</v>
      </c>
      <c r="S4" s="91">
        <f>(( 'BRAWLERS OFICIAL'!S4/20 + 'BRAWLERS OFICIAL'!S4)-'BRAWLERS OFICIAL'!S4)/$BQ4</f>
        <v>11.111111111111111</v>
      </c>
      <c r="T4" s="91">
        <f>(( 'BRAWLERS OFICIAL'!T4/20 + 'BRAWLERS OFICIAL'!T4)-'BRAWLERS OFICIAL'!T4)/$BQ4</f>
        <v>11.111111111111111</v>
      </c>
      <c r="U4" s="91">
        <f>(( 'BRAWLERS OFICIAL'!U4/20 + 'BRAWLERS OFICIAL'!U4)-'BRAWLERS OFICIAL'!U4)/$BQ4</f>
        <v>11.111111111111111</v>
      </c>
      <c r="V4" s="91">
        <f>(( 0 + 'BRAWLERS OFICIAL'!V4)-'BRAWLERS OFICIAL'!V4)/$BQ4</f>
        <v>0</v>
      </c>
      <c r="W4" s="91">
        <f>(( 0 + 'BRAWLERS OFICIAL'!W4)-'BRAWLERS OFICIAL'!W4)/$BQ4</f>
        <v>0</v>
      </c>
      <c r="X4" s="102">
        <f>(( ('BRAWLERS OFICIAL'!X4/20) + 'BRAWLERS OFICIAL'!X4 + AP4 + AY4/3.5 )-'BRAWLERS OFICIAL'!X4)/($BQ4)</f>
        <v>2.4603174603174613E-2</v>
      </c>
      <c r="Y4" s="92">
        <f>((0 + 'BRAWLERS OFICIAL'!Y4)-'BRAWLERS OFICIAL'!Y4)/($BQ4)</f>
        <v>0</v>
      </c>
      <c r="Z4" s="92">
        <f>(((0)/3 + 'BRAWLERS OFICIAL'!Z4)-'BRAWLERS OFICIAL'!Z4)</f>
        <v>0</v>
      </c>
      <c r="AA4" s="92">
        <f>((0 + 'BRAWLERS OFICIAL'!AA4)-'BRAWLERS OFICIAL'!AA4)/($BQ4)</f>
        <v>0</v>
      </c>
      <c r="AB4" s="92">
        <f>((0 + 'BRAWLERS OFICIAL'!AB4)-'BRAWLERS OFICIAL'!AB4)</f>
        <v>0</v>
      </c>
      <c r="AC4" s="92">
        <f>(((0)/4 + 'BRAWLERS OFICIAL'!AC4)-'BRAWLERS OFICIAL'!AC4)/($BQ4)</f>
        <v>0</v>
      </c>
      <c r="AD4" s="92">
        <f>((0 + 'BRAWLERS OFICIAL'!AD4)-'BRAWLERS OFICIAL'!AD4)/($BQ4)</f>
        <v>0</v>
      </c>
      <c r="AE4" s="92">
        <f>((0 + 'BRAWLERS OFICIAL'!AE4)-'BRAWLERS OFICIAL'!AE4)/($BQ4)</f>
        <v>0</v>
      </c>
      <c r="AF4" s="92">
        <f>((0 + 'BRAWLERS OFICIAL'!AF4)-'BRAWLERS OFICIAL'!AF4)/($BQ4)</f>
        <v>0</v>
      </c>
      <c r="AG4" s="92">
        <f>((0 + 'BRAWLERS OFICIAL'!AG4)-'BRAWLERS OFICIAL'!AG4)/($BQ4)</f>
        <v>0</v>
      </c>
      <c r="AH4" s="92">
        <f>((0 + 'BRAWLERS OFICIAL'!AH4)-'BRAWLERS OFICIAL'!AH4)/($BQ4)</f>
        <v>0</v>
      </c>
      <c r="AI4" s="92">
        <f>((0 + 'BRAWLERS OFICIAL'!AI4)-'BRAWLERS OFICIAL'!AI4)/($BQ4)</f>
        <v>0</v>
      </c>
      <c r="AJ4" s="92">
        <f>(( ('BRAWLERS OFICIAL'!AJ4/5) + 'BRAWLERS OFICIAL'!AJ4)-'BRAWLERS OFICIAL'!AJ4)/($BQ4)</f>
        <v>0.20000000000000007</v>
      </c>
      <c r="AK4" s="92">
        <f>((0 + 'BRAWLERS OFICIAL'!AK4)-'BRAWLERS OFICIAL'!AK4)/($BQ4)</f>
        <v>0</v>
      </c>
      <c r="AL4" s="92">
        <f>(((BK4/5+1)*AK4 + 'BRAWLERS OFICIAL'!AL4)-'BRAWLERS OFICIAL'!AL4)/($BQ4)</f>
        <v>0</v>
      </c>
      <c r="AM4" s="92">
        <f>IF( 0 = (1-1), (1-1), ((0 + 'BRAWLERS OFICIAL'!AM4)/1.5)-'BRAWLERS OFICIAL'!AM4 )/($BQ4)</f>
        <v>0</v>
      </c>
      <c r="AN4" s="92">
        <f t="shared" ref="AN4:AN20" si="0">IF( 0 = (1-1), (1-1), ( 0 ) )/($BQ4)</f>
        <v>0</v>
      </c>
      <c r="AO4" s="92">
        <f>((0 + 'BRAWLERS OFICIAL'!AO4)-'BRAWLERS OFICIAL'!AO4)/($BQ4)</f>
        <v>0</v>
      </c>
      <c r="AP4" s="92">
        <f>((0/1000 + 'BRAWLERS OFICIAL'!AP4)-'BRAWLERS OFICIAL'!AP4)/($BQ4)</f>
        <v>0</v>
      </c>
      <c r="AQ4" s="92">
        <f>((0 + 'BRAWLERS OFICIAL'!AQ4)-'BRAWLERS OFICIAL'!AQ4)/($BQ4)</f>
        <v>0</v>
      </c>
      <c r="AR4" s="92">
        <f>IF( 0 = (1-1), (1-1), ((0 + 'BRAWLERS OFICIAL'!AR4)/1.5) )/($BQ4)</f>
        <v>0</v>
      </c>
      <c r="AS4" s="92">
        <f>IF( 0 = (1-1), (1-1), ((0 + 'BRAWLERS OFICIAL'!AS4)/1.5) )/($BQ4)</f>
        <v>0</v>
      </c>
      <c r="AT4" s="92">
        <f>IF( 0 = (1-1), (1-1), ((0 + 'BRAWLERS OFICIAL'!AT4)/2) )/($BQ4)</f>
        <v>0</v>
      </c>
      <c r="AU4" s="92">
        <f>((0 + 'BRAWLERS OFICIAL'!AU4)-'BRAWLERS OFICIAL'!AU4)/($BQ4)</f>
        <v>0</v>
      </c>
      <c r="AV4" s="92">
        <f>(((0)/4 + 'BRAWLERS OFICIAL'!AV4)-'BRAWLERS OFICIAL'!AV4)/($BQ4)</f>
        <v>0</v>
      </c>
      <c r="AW4" s="92">
        <v>0</v>
      </c>
      <c r="AX4" s="92" t="s">
        <v>390</v>
      </c>
      <c r="AY4" s="91">
        <f>((( 0 )/3 + 'BRAWLERS OFICIAL'!AY4)-'BRAWLERS OFICIAL'!AY4)</f>
        <v>0</v>
      </c>
      <c r="AZ4" s="91">
        <f>((( 0 )/2 + 'BRAWLERS OFICIAL'!AZ4)-'BRAWLERS OFICIAL'!AZ4)/($BQ4)</f>
        <v>0</v>
      </c>
      <c r="BA4" s="91">
        <f>((( 0 )/2 + 'BRAWLERS OFICIAL'!BA4)-'BRAWLERS OFICIAL'!BA4)</f>
        <v>0</v>
      </c>
      <c r="BB4" s="91">
        <f>((( 0 )/3 + 'BRAWLERS OFICIAL'!BB4)-'BRAWLERS OFICIAL'!BB4)</f>
        <v>0</v>
      </c>
      <c r="BC4" s="91">
        <f>((( 0 )/2 + 'BRAWLERS OFICIAL'!BC4)-'BRAWLERS OFICIAL'!BC4)/($BQ4)</f>
        <v>0</v>
      </c>
      <c r="BD4" s="91">
        <f>((( 0 )/3 + 'BRAWLERS OFICIAL'!BD4)-'BRAWLERS OFICIAL'!BD4)</f>
        <v>0</v>
      </c>
      <c r="BE4" s="91">
        <f>((( 0 )/3 + 'BRAWLERS OFICIAL'!BE4)-'BRAWLERS OFICIAL'!BE4)</f>
        <v>0</v>
      </c>
      <c r="BF4" s="91">
        <f>((0 + 'BRAWLERS OFICIAL'!BF4)-'BRAWLERS OFICIAL'!BF4)/($BQ4)</f>
        <v>0</v>
      </c>
      <c r="BG4" s="91">
        <f>((5 + 'BRAWLERS OFICIAL'!BG4)-'BRAWLERS OFICIAL'!BG4)/($BQ4)</f>
        <v>0.55555555555555558</v>
      </c>
      <c r="BH4" s="91">
        <f>((( 0 )/2 + 'BRAWLERS OFICIAL'!BH4)-'BRAWLERS OFICIAL'!BH4)</f>
        <v>0</v>
      </c>
      <c r="BI4" s="91">
        <f>((0 + 'BRAWLERS OFICIAL'!BI4)-'BRAWLERS OFICIAL'!BI4)/($BQ4)</f>
        <v>0</v>
      </c>
      <c r="BJ4" s="91">
        <f>((( 0 )/2 + 'BRAWLERS OFICIAL'!BJ4)-'BRAWLERS OFICIAL'!BJ4)</f>
        <v>0</v>
      </c>
      <c r="BK4" s="91">
        <f>((( 0 )/3 + 'BRAWLERS OFICIAL'!BK4)-'BRAWLERS OFICIAL'!BK4)</f>
        <v>0</v>
      </c>
      <c r="BL4" s="91">
        <f>((( 0 )/2 + 'BRAWLERS OFICIAL'!BL4)-'BRAWLERS OFICIAL'!BL4)</f>
        <v>0</v>
      </c>
      <c r="BM4" s="91">
        <f>((0 + 'BRAWLERS OFICIAL'!BM4)-'BRAWLERS OFICIAL'!BM4)/($BQ4)</f>
        <v>0</v>
      </c>
      <c r="BN4" s="91">
        <f>((0 + 'BRAWLERS OFICIAL'!BN4)-'BRAWLERS OFICIAL'!BN4)/($BQ4)</f>
        <v>0</v>
      </c>
      <c r="BO4" s="91">
        <f>((0 + 'BRAWLERS OFICIAL'!BO4)-'BRAWLERS OFICIAL'!BO4)/($BQ4)</f>
        <v>0</v>
      </c>
      <c r="BQ4" s="100">
        <f>('BRAWLERS OFICIAL'!F4 / 'BRAWLERS OFICIAL'!J4 / (1 + ('BRAWLERS OFICIAL'!AA4/5)))*'BRAWLERS OFICIAL'!G4</f>
        <v>9</v>
      </c>
    </row>
    <row r="5" spans="1:69">
      <c r="B5" s="86" t="s">
        <v>491</v>
      </c>
      <c r="C5" s="88" t="s">
        <v>88</v>
      </c>
      <c r="D5" s="73" t="s">
        <v>332</v>
      </c>
      <c r="E5" s="73" t="s">
        <v>390</v>
      </c>
      <c r="F5" s="91">
        <f>(( 0 + 'BRAWLERS OFICIAL'!F5)-'BRAWLERS OFICIAL'!F5)/$BQ5</f>
        <v>0</v>
      </c>
      <c r="G5" s="91">
        <f>(( 0 + 'BRAWLERS OFICIAL'!G5)-'BRAWLERS OFICIAL'!G5)/$BQ5</f>
        <v>0</v>
      </c>
      <c r="H5" s="91">
        <f>(( ('BRAWLERS OFICIAL'!H5/20) + 'BRAWLERS OFICIAL'!H5)-'BRAWLERS OFICIAL'!H5)/$BQ5</f>
        <v>6.666666666666667</v>
      </c>
      <c r="I5" s="91">
        <f>(( 0 + 'BRAWLERS OFICIAL'!I5)-'BRAWLERS OFICIAL'!I5)/$BQ5</f>
        <v>0</v>
      </c>
      <c r="J5" s="91">
        <f>(( 0 + 'BRAWLERS OFICIAL'!J5)-'BRAWLERS OFICIAL'!J5)/$BQ5</f>
        <v>0</v>
      </c>
      <c r="K5" s="91">
        <f>(( 0 + 'BRAWLERS OFICIAL'!K5)-'BRAWLERS OFICIAL'!K5)/$BQ5</f>
        <v>0</v>
      </c>
      <c r="L5" s="91">
        <f>(( 0 + 'BRAWLERS OFICIAL'!L5)-'BRAWLERS OFICIAL'!L5)/$BQ5</f>
        <v>0</v>
      </c>
      <c r="M5" s="91">
        <f>(( 0 + 'BRAWLERS OFICIAL'!M5)-'BRAWLERS OFICIAL'!M5)/$BQ5</f>
        <v>0</v>
      </c>
      <c r="N5" s="91">
        <f>(( 0 + 'BRAWLERS OFICIAL'!N5)-'BRAWLERS OFICIAL'!N5)/$BQ5</f>
        <v>0</v>
      </c>
      <c r="O5" s="91">
        <f>(( 0 + 'BRAWLERS OFICIAL'!O5)-'BRAWLERS OFICIAL'!O5)/$BQ5</f>
        <v>0</v>
      </c>
      <c r="P5" s="91">
        <f>(( 0 + 'BRAWLERS OFICIAL'!P5)-'BRAWLERS OFICIAL'!P5)/$BQ5</f>
        <v>0</v>
      </c>
      <c r="Q5" s="91">
        <f>(( 'BRAWLERS OFICIAL'!Q5/20 + 'BRAWLERS OFICIAL'!Q5)-'BRAWLERS OFICIAL'!Q5)/$BQ5</f>
        <v>48</v>
      </c>
      <c r="R5" s="91">
        <f>(( 'BRAWLERS OFICIAL'!R5/20 + 'BRAWLERS OFICIAL'!R5)-'BRAWLERS OFICIAL'!R5)/$BQ5</f>
        <v>72</v>
      </c>
      <c r="S5" s="91">
        <f>(( 'BRAWLERS OFICIAL'!S5/20 + 'BRAWLERS OFICIAL'!S5)-'BRAWLERS OFICIAL'!S5)/$BQ5</f>
        <v>48</v>
      </c>
      <c r="T5" s="91">
        <f>(( 'BRAWLERS OFICIAL'!T5/20 + 'BRAWLERS OFICIAL'!T5)-'BRAWLERS OFICIAL'!T5)/$BQ5</f>
        <v>24</v>
      </c>
      <c r="U5" s="91">
        <f>(( 'BRAWLERS OFICIAL'!U5/20 + 'BRAWLERS OFICIAL'!U5)-'BRAWLERS OFICIAL'!U5)/$BQ5</f>
        <v>96</v>
      </c>
      <c r="V5" s="91">
        <f>(( 0 + 'BRAWLERS OFICIAL'!V5)-'BRAWLERS OFICIAL'!V5)/$BQ5</f>
        <v>0</v>
      </c>
      <c r="W5" s="91">
        <f>(( 0 + 'BRAWLERS OFICIAL'!W5)-'BRAWLERS OFICIAL'!W5)/$BQ5</f>
        <v>0</v>
      </c>
      <c r="X5" s="102">
        <f>(( ('BRAWLERS OFICIAL'!X5/20) + 'BRAWLERS OFICIAL'!X5 + AP5 + AY5/3.5 )-'BRAWLERS OFICIAL'!X5)/($BQ5)</f>
        <v>4.7619047619047644E-2</v>
      </c>
      <c r="Y5" s="92">
        <f>((2 + 'BRAWLERS OFICIAL'!Y5)-'BRAWLERS OFICIAL'!Y5)/($BQ5)</f>
        <v>0.44444444444444442</v>
      </c>
      <c r="Z5" s="92">
        <f>(((0)/3 + 'BRAWLERS OFICIAL'!Z5)-'BRAWLERS OFICIAL'!Z5)</f>
        <v>0</v>
      </c>
      <c r="AA5" s="92">
        <f>((0 + 'BRAWLERS OFICIAL'!AA5)-'BRAWLERS OFICIAL'!AA5)/($BQ5)</f>
        <v>0</v>
      </c>
      <c r="AB5" s="92">
        <f>((0.5 + 'BRAWLERS OFICIAL'!AB5)-'BRAWLERS OFICIAL'!AB5)</f>
        <v>0.5</v>
      </c>
      <c r="AC5" s="92">
        <f>(((0)/4 + 'BRAWLERS OFICIAL'!AC5)-'BRAWLERS OFICIAL'!AC5)/($BQ5)</f>
        <v>0</v>
      </c>
      <c r="AD5" s="92">
        <f>((0 + 'BRAWLERS OFICIAL'!AD5)-'BRAWLERS OFICIAL'!AD5)/($BQ5)</f>
        <v>0</v>
      </c>
      <c r="AE5" s="92">
        <f>((0 + 'BRAWLERS OFICIAL'!AE5)-'BRAWLERS OFICIAL'!AE5)/($BQ5)</f>
        <v>0</v>
      </c>
      <c r="AF5" s="92">
        <f>((0 + 'BRAWLERS OFICIAL'!AF5)-'BRAWLERS OFICIAL'!AF5)/($BQ5)</f>
        <v>0</v>
      </c>
      <c r="AG5" s="92">
        <f>((0 + 'BRAWLERS OFICIAL'!AG5)-'BRAWLERS OFICIAL'!AG5)/($BQ5)</f>
        <v>0</v>
      </c>
      <c r="AH5" s="92">
        <f>((0 + 'BRAWLERS OFICIAL'!AH5)-'BRAWLERS OFICIAL'!AH5)/($BQ5)</f>
        <v>0</v>
      </c>
      <c r="AI5" s="92">
        <f>((0 + 'BRAWLERS OFICIAL'!AI5)-'BRAWLERS OFICIAL'!AI5)/($BQ5)</f>
        <v>0</v>
      </c>
      <c r="AJ5" s="92">
        <f>(( ('BRAWLERS OFICIAL'!AJ5/5) + 'BRAWLERS OFICIAL'!AJ5)-'BRAWLERS OFICIAL'!AJ5)/($BQ5)</f>
        <v>0.22222222222222221</v>
      </c>
      <c r="AK5" s="92">
        <f>((0 + 'BRAWLERS OFICIAL'!AK5)-'BRAWLERS OFICIAL'!AK5)/($BQ5)</f>
        <v>0</v>
      </c>
      <c r="AL5" s="92">
        <f>(((BK5/5+1)*AK5 + 'BRAWLERS OFICIAL'!AL5)-'BRAWLERS OFICIAL'!AL5)/($BQ5)</f>
        <v>0</v>
      </c>
      <c r="AM5" s="92">
        <f>IF( 0 = (1-1), (1-1), ((0 + 'BRAWLERS OFICIAL'!AM5)/1.5)-'BRAWLERS OFICIAL'!AM5 )/($BQ5)</f>
        <v>0</v>
      </c>
      <c r="AN5" s="92">
        <f t="shared" si="0"/>
        <v>0</v>
      </c>
      <c r="AO5" s="92">
        <f>((0 + 'BRAWLERS OFICIAL'!AO5)-'BRAWLERS OFICIAL'!AO5)/($BQ5)</f>
        <v>0</v>
      </c>
      <c r="AP5" s="92">
        <f>((0/1000 + 'BRAWLERS OFICIAL'!AP5)-'BRAWLERS OFICIAL'!AP5)/($BQ5)</f>
        <v>0</v>
      </c>
      <c r="AQ5" s="92">
        <f>((0 + 'BRAWLERS OFICIAL'!AQ5)-'BRAWLERS OFICIAL'!AQ5)/($BQ5)</f>
        <v>0</v>
      </c>
      <c r="AR5" s="92">
        <f>IF( 0 = (1-1), (1-1), ((0 + 'BRAWLERS OFICIAL'!AR5)/1.5) )/($BQ5)</f>
        <v>0</v>
      </c>
      <c r="AS5" s="92">
        <f>IF( 0 = (1-1), (1-1), ((0 + 'BRAWLERS OFICIAL'!AS5)/1.5) )/($BQ5)</f>
        <v>0</v>
      </c>
      <c r="AT5" s="92">
        <f>IF( 0 = (1-1), (1-1), ((0 + 'BRAWLERS OFICIAL'!AT5)/2) )/($BQ5)</f>
        <v>0</v>
      </c>
      <c r="AU5" s="92">
        <f>((0 + 'BRAWLERS OFICIAL'!AU5)-'BRAWLERS OFICIAL'!AU5)/($BQ5)</f>
        <v>0</v>
      </c>
      <c r="AV5" s="92">
        <f>(((0)/4 + 'BRAWLERS OFICIAL'!AV5)-'BRAWLERS OFICIAL'!AV5)/($BQ5)</f>
        <v>0</v>
      </c>
      <c r="AW5" s="92">
        <v>0</v>
      </c>
      <c r="AX5" s="92" t="s">
        <v>390</v>
      </c>
      <c r="AY5" s="91">
        <f>((( 0 )/3 + 'BRAWLERS OFICIAL'!AY5)-'BRAWLERS OFICIAL'!AY5)</f>
        <v>0</v>
      </c>
      <c r="AZ5" s="91">
        <f>((( 0 )/2 + 'BRAWLERS OFICIAL'!AZ5)-'BRAWLERS OFICIAL'!AZ5)/($BQ5)</f>
        <v>0</v>
      </c>
      <c r="BA5" s="91">
        <f>((( 0 )/2 + 'BRAWLERS OFICIAL'!BA5)-'BRAWLERS OFICIAL'!BA5)</f>
        <v>0</v>
      </c>
      <c r="BB5" s="91">
        <f>((( 0 )/3 + 'BRAWLERS OFICIAL'!BB5)-'BRAWLERS OFICIAL'!BB5)</f>
        <v>0</v>
      </c>
      <c r="BC5" s="91">
        <f>((( 0 )/2 + 'BRAWLERS OFICIAL'!BC5)-'BRAWLERS OFICIAL'!BC5)/($BQ5)</f>
        <v>0</v>
      </c>
      <c r="BD5" s="91">
        <f>((( 0 )/3 + 'BRAWLERS OFICIAL'!BD5)-'BRAWLERS OFICIAL'!BD5)</f>
        <v>0</v>
      </c>
      <c r="BE5" s="91">
        <f>((( 0 )/3 + 'BRAWLERS OFICIAL'!BE5)-'BRAWLERS OFICIAL'!BE5)</f>
        <v>0</v>
      </c>
      <c r="BF5" s="91">
        <f>((0 + 'BRAWLERS OFICIAL'!BF5)-'BRAWLERS OFICIAL'!BF5)/($BQ5)</f>
        <v>0</v>
      </c>
      <c r="BG5" s="91">
        <f>((0 + 'BRAWLERS OFICIAL'!BG5)-'BRAWLERS OFICIAL'!BG5)/($BQ5)</f>
        <v>0</v>
      </c>
      <c r="BH5" s="91">
        <f>((( 0 )/2 + 'BRAWLERS OFICIAL'!BH5)-'BRAWLERS OFICIAL'!BH5)</f>
        <v>0</v>
      </c>
      <c r="BI5" s="91">
        <f>((0 + 'BRAWLERS OFICIAL'!BI5)-'BRAWLERS OFICIAL'!BI5)/($BQ5)</f>
        <v>0</v>
      </c>
      <c r="BJ5" s="91">
        <f>((( 0 )/2 + 'BRAWLERS OFICIAL'!BJ5)-'BRAWLERS OFICIAL'!BJ5)</f>
        <v>0</v>
      </c>
      <c r="BK5" s="91">
        <f>((( 0 )/3 + 'BRAWLERS OFICIAL'!BK5)-'BRAWLERS OFICIAL'!BK5)</f>
        <v>0</v>
      </c>
      <c r="BL5" s="91">
        <f>((( 0 )/2 + 'BRAWLERS OFICIAL'!BL5)-'BRAWLERS OFICIAL'!BL5)</f>
        <v>0</v>
      </c>
      <c r="BM5" s="91">
        <f>((0 + 'BRAWLERS OFICIAL'!BM5)-'BRAWLERS OFICIAL'!BM5)/($BQ5)</f>
        <v>0</v>
      </c>
      <c r="BN5" s="91">
        <f>((0 + 'BRAWLERS OFICIAL'!BN5)-'BRAWLERS OFICIAL'!BN5)/($BQ5)</f>
        <v>0</v>
      </c>
      <c r="BO5" s="91">
        <f>((0 + 'BRAWLERS OFICIAL'!BO5)-'BRAWLERS OFICIAL'!BO5)/($BQ5)</f>
        <v>0</v>
      </c>
      <c r="BQ5" s="100">
        <f>('BRAWLERS OFICIAL'!F5 / 'BRAWLERS OFICIAL'!J5 / (1 + ('BRAWLERS OFICIAL'!AA5/5)))*'BRAWLERS OFICIAL'!G5</f>
        <v>4.5</v>
      </c>
    </row>
    <row r="6" spans="1:69">
      <c r="B6" s="86" t="s">
        <v>492</v>
      </c>
      <c r="C6" s="87" t="s">
        <v>96</v>
      </c>
      <c r="D6" s="61" t="s">
        <v>383</v>
      </c>
      <c r="E6" s="61" t="s">
        <v>325</v>
      </c>
      <c r="F6" s="91">
        <f>(( 0 + 'BRAWLERS OFICIAL'!F6)-'BRAWLERS OFICIAL'!F6)/$BQ6</f>
        <v>0</v>
      </c>
      <c r="G6" s="91">
        <f>(( 0 + 'BRAWLERS OFICIAL'!G6)-'BRAWLERS OFICIAL'!G6)/$BQ6</f>
        <v>0</v>
      </c>
      <c r="H6" s="91">
        <f>(( ('BRAWLERS OFICIAL'!H6/20) + 'BRAWLERS OFICIAL'!H6)-'BRAWLERS OFICIAL'!H6)/$BQ6</f>
        <v>10.176923076923076</v>
      </c>
      <c r="I6" s="91">
        <f>(( 0 + 'BRAWLERS OFICIAL'!I6)-'BRAWLERS OFICIAL'!I6)/$BQ6</f>
        <v>0</v>
      </c>
      <c r="J6" s="91">
        <f>(( 4 + 'BRAWLERS OFICIAL'!J6)-'BRAWLERS OFICIAL'!J6)/$BQ6</f>
        <v>0.8307692307692307</v>
      </c>
      <c r="K6" s="91">
        <f>(( 4 + 'BRAWLERS OFICIAL'!K6)-'BRAWLERS OFICIAL'!K6)/$BQ6</f>
        <v>0.8307692307692307</v>
      </c>
      <c r="L6" s="91">
        <f>(( 2 + 'BRAWLERS OFICIAL'!L6)-'BRAWLERS OFICIAL'!L6)/$BQ6</f>
        <v>0.41538461538461535</v>
      </c>
      <c r="M6" s="91">
        <f>(( 1.5 + 'BRAWLERS OFICIAL'!M6)-'BRAWLERS OFICIAL'!M6)/$BQ6</f>
        <v>0.31153846153846154</v>
      </c>
      <c r="N6" s="91">
        <f>(( 0.5 + 'BRAWLERS OFICIAL'!N6)-'BRAWLERS OFICIAL'!N6)/$BQ6</f>
        <v>0.10384615384615384</v>
      </c>
      <c r="O6" s="91">
        <f>(( 0 + 'BRAWLERS OFICIAL'!O6)-'BRAWLERS OFICIAL'!O6)/$BQ6</f>
        <v>0</v>
      </c>
      <c r="P6" s="91">
        <f>(( 0 + 'BRAWLERS OFICIAL'!P6)-'BRAWLERS OFICIAL'!P6)/$BQ6</f>
        <v>0</v>
      </c>
      <c r="Q6" s="91">
        <f>(( 'BRAWLERS OFICIAL'!Q6/20 + 'BRAWLERS OFICIAL'!Q6)-'BRAWLERS OFICIAL'!Q6)/$BQ6</f>
        <v>41.53846153846154</v>
      </c>
      <c r="R6" s="91">
        <f>(( 'BRAWLERS OFICIAL'!R6/20 + 'BRAWLERS OFICIAL'!R6)-'BRAWLERS OFICIAL'!R6)/$BQ6</f>
        <v>33.230769230769234</v>
      </c>
      <c r="S6" s="91">
        <f>(( 'BRAWLERS OFICIAL'!S6/20 + 'BRAWLERS OFICIAL'!S6)-'BRAWLERS OFICIAL'!S6)/$BQ6</f>
        <v>16.615384615384617</v>
      </c>
      <c r="T6" s="91">
        <f>(( 'BRAWLERS OFICIAL'!T6/20 + 'BRAWLERS OFICIAL'!T6)-'BRAWLERS OFICIAL'!T6)/$BQ6</f>
        <v>8.3076923076923084</v>
      </c>
      <c r="U6" s="91">
        <f>(( 'BRAWLERS OFICIAL'!U6/20 + 'BRAWLERS OFICIAL'!U6)-'BRAWLERS OFICIAL'!U6)/$BQ6</f>
        <v>41.53846153846154</v>
      </c>
      <c r="V6" s="91">
        <f>(( 0 + 'BRAWLERS OFICIAL'!V6)-'BRAWLERS OFICIAL'!V6)/$BQ6</f>
        <v>0</v>
      </c>
      <c r="W6" s="91">
        <f>(( 0 + 'BRAWLERS OFICIAL'!W6)-'BRAWLERS OFICIAL'!W6)/$BQ6</f>
        <v>0</v>
      </c>
      <c r="X6" s="102">
        <f>(( ('BRAWLERS OFICIAL'!X6/20) + 'BRAWLERS OFICIAL'!X6 + AP6 + AY6/3.5 )-'BRAWLERS OFICIAL'!X6)/($BQ6)</f>
        <v>4.4505494505494528E-2</v>
      </c>
      <c r="Y6" s="92">
        <f>((1 + 'BRAWLERS OFICIAL'!Y6)-'BRAWLERS OFICIAL'!Y6)/($BQ6)</f>
        <v>0.20769230769230768</v>
      </c>
      <c r="Z6" s="92">
        <f>(((0)/3 + 'BRAWLERS OFICIAL'!Z6)-'BRAWLERS OFICIAL'!Z6)</f>
        <v>0</v>
      </c>
      <c r="AA6" s="92">
        <f>((0 + 'BRAWLERS OFICIAL'!AA6)-'BRAWLERS OFICIAL'!AA6)/($BQ6)</f>
        <v>0</v>
      </c>
      <c r="AB6" s="92">
        <f>((0.3 + 'BRAWLERS OFICIAL'!AB6)-'BRAWLERS OFICIAL'!AB6)</f>
        <v>0.29999999999999982</v>
      </c>
      <c r="AC6" s="92">
        <f>(((9 + 4 + 5 + 7)/4 + 'BRAWLERS OFICIAL'!AC6)-'BRAWLERS OFICIAL'!AC6)/($BQ6)</f>
        <v>1.2980769230769231</v>
      </c>
      <c r="AD6" s="92">
        <f>((0 + 'BRAWLERS OFICIAL'!AD6)-'BRAWLERS OFICIAL'!AD6)/($BQ6)</f>
        <v>0</v>
      </c>
      <c r="AE6" s="92">
        <f>((0 + 'BRAWLERS OFICIAL'!AE6)-'BRAWLERS OFICIAL'!AE6)/($BQ6)</f>
        <v>0</v>
      </c>
      <c r="AF6" s="92">
        <f>((0 + 'BRAWLERS OFICIAL'!AF6)-'BRAWLERS OFICIAL'!AF6)/($BQ6)</f>
        <v>0</v>
      </c>
      <c r="AG6" s="92">
        <f>((0 + 'BRAWLERS OFICIAL'!AG6)-'BRAWLERS OFICIAL'!AG6)/($BQ6)</f>
        <v>0</v>
      </c>
      <c r="AH6" s="92">
        <f>((0 + 'BRAWLERS OFICIAL'!AH6)-'BRAWLERS OFICIAL'!AH6)/($BQ6)</f>
        <v>0</v>
      </c>
      <c r="AI6" s="92">
        <f>((0 + 'BRAWLERS OFICIAL'!AI6)-'BRAWLERS OFICIAL'!AI6)/($BQ6)</f>
        <v>0</v>
      </c>
      <c r="AJ6" s="92">
        <f>(( ('BRAWLERS OFICIAL'!AJ6/5) + 'BRAWLERS OFICIAL'!AJ6)-'BRAWLERS OFICIAL'!AJ6)/($BQ6)</f>
        <v>0.20769230769230768</v>
      </c>
      <c r="AK6" s="92">
        <f>((0 + 'BRAWLERS OFICIAL'!AK6)-'BRAWLERS OFICIAL'!AK6)/($BQ6)</f>
        <v>0</v>
      </c>
      <c r="AL6" s="92">
        <f>(((BK6/5+1)*AK6 + 'BRAWLERS OFICIAL'!AL6)-'BRAWLERS OFICIAL'!AL6)/($BQ6)</f>
        <v>0</v>
      </c>
      <c r="AM6" s="92">
        <f>IF( 0 = (1-1), (1-1), ((0 + 'BRAWLERS OFICIAL'!AM6)/1.5)-'BRAWLERS OFICIAL'!AM6 )/($BQ6)</f>
        <v>0</v>
      </c>
      <c r="AN6" s="92">
        <f t="shared" si="0"/>
        <v>0</v>
      </c>
      <c r="AO6" s="92">
        <f>((0 + 'BRAWLERS OFICIAL'!AO6)-'BRAWLERS OFICIAL'!AO6)/($BQ6)</f>
        <v>0</v>
      </c>
      <c r="AP6" s="92">
        <f>((0/1000 + 'BRAWLERS OFICIAL'!AP6)-'BRAWLERS OFICIAL'!AP6)/($BQ6)</f>
        <v>0</v>
      </c>
      <c r="AQ6" s="92">
        <f>((0 + 'BRAWLERS OFICIAL'!AQ6)-'BRAWLERS OFICIAL'!AQ6)/($BQ6)</f>
        <v>0</v>
      </c>
      <c r="AR6" s="92">
        <f>IF( 0 = (1-1), (1-1), ((0 + 'BRAWLERS OFICIAL'!AR6)/1.5) )/($BQ6)</f>
        <v>0</v>
      </c>
      <c r="AS6" s="92">
        <f>IF( 0 = (1-1), (1-1), ((0 + 'BRAWLERS OFICIAL'!AS6)/1.5) )/($BQ6)</f>
        <v>0</v>
      </c>
      <c r="AT6" s="92">
        <f>IF( 0 = (1-1), (1-1), ((0 + 'BRAWLERS OFICIAL'!AT6)/2) )/($BQ6)</f>
        <v>0</v>
      </c>
      <c r="AU6" s="92">
        <f>((0 + 'BRAWLERS OFICIAL'!AU6)-'BRAWLERS OFICIAL'!AU6)/($BQ6)</f>
        <v>0</v>
      </c>
      <c r="AV6" s="92">
        <f>(((0)/4 + 'BRAWLERS OFICIAL'!AV6)-'BRAWLERS OFICIAL'!AV6)/($BQ6)</f>
        <v>0</v>
      </c>
      <c r="AW6" s="92">
        <v>0</v>
      </c>
      <c r="AX6" s="92" t="s">
        <v>390</v>
      </c>
      <c r="AY6" s="91">
        <f>((( 0 )/3 + 'BRAWLERS OFICIAL'!AY6)-'BRAWLERS OFICIAL'!AY6)</f>
        <v>0</v>
      </c>
      <c r="AZ6" s="91">
        <f>((( 0 )/2 + 'BRAWLERS OFICIAL'!AZ6)-'BRAWLERS OFICIAL'!AZ6)/($BQ6)</f>
        <v>0</v>
      </c>
      <c r="BA6" s="91">
        <f>((( 0 )/2 + 'BRAWLERS OFICIAL'!BA6)-'BRAWLERS OFICIAL'!BA6)</f>
        <v>0</v>
      </c>
      <c r="BB6" s="91">
        <f>((( 0 )/3 + 'BRAWLERS OFICIAL'!BB6)-'BRAWLERS OFICIAL'!BB6)</f>
        <v>0</v>
      </c>
      <c r="BC6" s="91">
        <f>((( 0 )/2 + 'BRAWLERS OFICIAL'!BC6)-'BRAWLERS OFICIAL'!BC6)/($BQ6)</f>
        <v>0</v>
      </c>
      <c r="BD6" s="91">
        <f>((( 0 )/3 + 'BRAWLERS OFICIAL'!BD6)-'BRAWLERS OFICIAL'!BD6)</f>
        <v>0</v>
      </c>
      <c r="BE6" s="91">
        <f>((( 0 )/3 + 'BRAWLERS OFICIAL'!BE6)-'BRAWLERS OFICIAL'!BE6)</f>
        <v>0</v>
      </c>
      <c r="BF6" s="91">
        <f>((0 + 'BRAWLERS OFICIAL'!BF6)-'BRAWLERS OFICIAL'!BF6)/($BQ6)</f>
        <v>0</v>
      </c>
      <c r="BG6" s="91">
        <f>((0 + 'BRAWLERS OFICIAL'!BG6)-'BRAWLERS OFICIAL'!BG6)/($BQ6)</f>
        <v>0</v>
      </c>
      <c r="BH6" s="91">
        <f>((( 0 )/2 + 'BRAWLERS OFICIAL'!BH6)-'BRAWLERS OFICIAL'!BH6)</f>
        <v>0</v>
      </c>
      <c r="BI6" s="91">
        <f>((0 + 'BRAWLERS OFICIAL'!BI6)-'BRAWLERS OFICIAL'!BI6)/($BQ6)</f>
        <v>0</v>
      </c>
      <c r="BJ6" s="91">
        <f>((( 0 )/2 + 'BRAWLERS OFICIAL'!BJ6)-'BRAWLERS OFICIAL'!BJ6)</f>
        <v>0</v>
      </c>
      <c r="BK6" s="91">
        <f>((( 0 )/3 + 'BRAWLERS OFICIAL'!BK6)-'BRAWLERS OFICIAL'!BK6)</f>
        <v>0</v>
      </c>
      <c r="BL6" s="91">
        <f>((( 0 )/2 + 'BRAWLERS OFICIAL'!BL6)-'BRAWLERS OFICIAL'!BL6)</f>
        <v>0</v>
      </c>
      <c r="BM6" s="91">
        <f>((0 + 'BRAWLERS OFICIAL'!BM6)-'BRAWLERS OFICIAL'!BM6)/($BQ6)</f>
        <v>0</v>
      </c>
      <c r="BN6" s="91">
        <f>((0 + 'BRAWLERS OFICIAL'!BN6)-'BRAWLERS OFICIAL'!BN6)/($BQ6)</f>
        <v>0</v>
      </c>
      <c r="BO6" s="91">
        <f>((0 + 'BRAWLERS OFICIAL'!BO6)-'BRAWLERS OFICIAL'!BO6)/($BQ6)</f>
        <v>0</v>
      </c>
      <c r="BQ6" s="100">
        <f>('BRAWLERS OFICIAL'!F6 / 'BRAWLERS OFICIAL'!J6 / (1 + ('BRAWLERS OFICIAL'!AA6/5)))*'BRAWLERS OFICIAL'!G6</f>
        <v>4.8148148148148149</v>
      </c>
    </row>
    <row r="7" spans="1:69">
      <c r="B7" s="86" t="s">
        <v>493</v>
      </c>
      <c r="C7" s="87" t="s">
        <v>62</v>
      </c>
      <c r="D7" s="61" t="s">
        <v>375</v>
      </c>
      <c r="E7" s="61" t="s">
        <v>358</v>
      </c>
      <c r="F7" s="91">
        <f>(( 0 + 'BRAWLERS OFICIAL'!F7)-'BRAWLERS OFICIAL'!F7)/$BQ7</f>
        <v>0</v>
      </c>
      <c r="G7" s="91">
        <f>(( 0 + 'BRAWLERS OFICIAL'!G7)-'BRAWLERS OFICIAL'!G7)/$BQ7</f>
        <v>0</v>
      </c>
      <c r="H7" s="91">
        <f>(( ('BRAWLERS OFICIAL'!H7/20) + 'BRAWLERS OFICIAL'!H7)-'BRAWLERS OFICIAL'!H7)/$BQ7</f>
        <v>9.9096774193548391</v>
      </c>
      <c r="I7" s="91">
        <f>(( 0 + 'BRAWLERS OFICIAL'!I7)-'BRAWLERS OFICIAL'!I7)/$BQ7</f>
        <v>0</v>
      </c>
      <c r="J7" s="91">
        <f>(( 0 + 'BRAWLERS OFICIAL'!J7)-'BRAWLERS OFICIAL'!J7)/$BQ7</f>
        <v>0</v>
      </c>
      <c r="K7" s="91">
        <f>(( 0 + 'BRAWLERS OFICIAL'!K7)-'BRAWLERS OFICIAL'!K7)/$BQ7</f>
        <v>0</v>
      </c>
      <c r="L7" s="91">
        <f>(( 0 + 'BRAWLERS OFICIAL'!L7)-'BRAWLERS OFICIAL'!L7)/$BQ7</f>
        <v>0</v>
      </c>
      <c r="M7" s="91">
        <f>(( ('BRAWLERS OFICIAL'!L7 - 'BRAWLERS OFICIAL'!M7) + 'BRAWLERS OFICIAL'!M7)-'BRAWLERS OFICIAL'!M7)/$BQ7</f>
        <v>0.26838709677419353</v>
      </c>
      <c r="N7" s="91">
        <f>(( ('BRAWLERS OFICIAL'!L7 - 'BRAWLERS OFICIAL'!N7) + 'BRAWLERS OFICIAL'!N7)-'BRAWLERS OFICIAL'!N7)/$BQ7</f>
        <v>0.41290322580645161</v>
      </c>
      <c r="O7" s="91">
        <f>(( 0 + 'BRAWLERS OFICIAL'!O7)-'BRAWLERS OFICIAL'!O7)/$BQ7</f>
        <v>0</v>
      </c>
      <c r="P7" s="91">
        <f>(( 0 + 'BRAWLERS OFICIAL'!P7)-'BRAWLERS OFICIAL'!P7)/$BQ7</f>
        <v>0</v>
      </c>
      <c r="Q7" s="91">
        <f>(( 'BRAWLERS OFICIAL'!Q7/20 + 'BRAWLERS OFICIAL'!Q7)-'BRAWLERS OFICIAL'!Q7)/$BQ7</f>
        <v>0</v>
      </c>
      <c r="R7" s="91">
        <f>(( 'BRAWLERS OFICIAL'!R7/20 + 'BRAWLERS OFICIAL'!R7)-'BRAWLERS OFICIAL'!R7)/$BQ7</f>
        <v>0</v>
      </c>
      <c r="S7" s="91">
        <f>(( 'BRAWLERS OFICIAL'!S7/20 + 'BRAWLERS OFICIAL'!S7)-'BRAWLERS OFICIAL'!S7)/$BQ7</f>
        <v>0</v>
      </c>
      <c r="T7" s="91">
        <f>(( 'BRAWLERS OFICIAL'!T7/20 + 'BRAWLERS OFICIAL'!T7)-'BRAWLERS OFICIAL'!T7)/$BQ7</f>
        <v>0</v>
      </c>
      <c r="U7" s="91">
        <f>(( 'BRAWLERS OFICIAL'!U7/20 + 'BRAWLERS OFICIAL'!U7)-'BRAWLERS OFICIAL'!U7)/$BQ7</f>
        <v>0</v>
      </c>
      <c r="V7" s="91">
        <f>(( 0 + 'BRAWLERS OFICIAL'!V7)-'BRAWLERS OFICIAL'!V7)/$BQ7</f>
        <v>0</v>
      </c>
      <c r="W7" s="91">
        <f>(( 0 + 'BRAWLERS OFICIAL'!W7)-'BRAWLERS OFICIAL'!W7)/$BQ7</f>
        <v>0</v>
      </c>
      <c r="X7" s="102">
        <f>(( ('BRAWLERS OFICIAL'!X7/20) + 'BRAWLERS OFICIAL'!X7 + AP7 + AY7/3.5 )-'BRAWLERS OFICIAL'!X7)/($BQ7)</f>
        <v>4.8663594470046097E-2</v>
      </c>
      <c r="Y7" s="92">
        <f>((0 + 'BRAWLERS OFICIAL'!Y7)-'BRAWLERS OFICIAL'!Y7)/($BQ7)</f>
        <v>0</v>
      </c>
      <c r="Z7" s="92">
        <f>(((0)/3 + 'BRAWLERS OFICIAL'!Z7)-'BRAWLERS OFICIAL'!Z7)</f>
        <v>0</v>
      </c>
      <c r="AA7" s="92">
        <f>((0 + 'BRAWLERS OFICIAL'!AA7)-'BRAWLERS OFICIAL'!AA7)/($BQ7)</f>
        <v>0</v>
      </c>
      <c r="AB7" s="92">
        <f>((0 + 'BRAWLERS OFICIAL'!AB7)-'BRAWLERS OFICIAL'!AB7)</f>
        <v>0</v>
      </c>
      <c r="AC7" s="92">
        <f>(((0)/4 + 'BRAWLERS OFICIAL'!AC7)-'BRAWLERS OFICIAL'!AC7)/($BQ7)</f>
        <v>0</v>
      </c>
      <c r="AD7" s="92">
        <f>((0 + 'BRAWLERS OFICIAL'!AD7)-'BRAWLERS OFICIAL'!AD7)/($BQ7)</f>
        <v>0</v>
      </c>
      <c r="AE7" s="92">
        <f>((0 + 'BRAWLERS OFICIAL'!AE7)-'BRAWLERS OFICIAL'!AE7)/($BQ7)</f>
        <v>0</v>
      </c>
      <c r="AF7" s="92">
        <f>((0 + 'BRAWLERS OFICIAL'!AF7)-'BRAWLERS OFICIAL'!AF7)/($BQ7)</f>
        <v>0</v>
      </c>
      <c r="AG7" s="92">
        <f>((0 + 'BRAWLERS OFICIAL'!AG7)-'BRAWLERS OFICIAL'!AG7)/($BQ7)</f>
        <v>0</v>
      </c>
      <c r="AH7" s="92">
        <f>((0 + 'BRAWLERS OFICIAL'!AH7)-'BRAWLERS OFICIAL'!AH7)/($BQ7)</f>
        <v>0</v>
      </c>
      <c r="AI7" s="92">
        <f>((0 + 'BRAWLERS OFICIAL'!AI7)-'BRAWLERS OFICIAL'!AI7)/($BQ7)</f>
        <v>0</v>
      </c>
      <c r="AJ7" s="92">
        <f>(( ('BRAWLERS OFICIAL'!AJ7/5) + 'BRAWLERS OFICIAL'!AJ7)-'BRAWLERS OFICIAL'!AJ7)/($BQ7)</f>
        <v>0.37161290322580659</v>
      </c>
      <c r="AK7" s="92">
        <f>((3 + 'BRAWLERS OFICIAL'!AK7)-'BRAWLERS OFICIAL'!AK7)/($BQ7)</f>
        <v>0.61935483870967745</v>
      </c>
      <c r="AL7" s="92">
        <f>(((BK7/5+1)*AK7 + 'BRAWLERS OFICIAL'!AL7)-'BRAWLERS OFICIAL'!AL7)/($BQ7)</f>
        <v>0.12786680541103013</v>
      </c>
      <c r="AM7" s="92">
        <f>IF( 0 = (1-1), (1-1), ((0 + 'BRAWLERS OFICIAL'!AM7)/1.5)-'BRAWLERS OFICIAL'!AM7 )/($BQ7)</f>
        <v>0</v>
      </c>
      <c r="AN7" s="92">
        <f t="shared" si="0"/>
        <v>0</v>
      </c>
      <c r="AO7" s="92">
        <f>((0 + 'BRAWLERS OFICIAL'!AO7)-'BRAWLERS OFICIAL'!AO7)/($BQ7)</f>
        <v>0</v>
      </c>
      <c r="AP7" s="92">
        <f>((0/1000 + 'BRAWLERS OFICIAL'!AP7)-'BRAWLERS OFICIAL'!AP7)/($BQ7)</f>
        <v>0</v>
      </c>
      <c r="AQ7" s="92">
        <f>((0 + 'BRAWLERS OFICIAL'!AQ7)-'BRAWLERS OFICIAL'!AQ7)/($BQ7)</f>
        <v>0</v>
      </c>
      <c r="AR7" s="92">
        <f>IF( 0 = (1-1), (1-1), ((0 + 'BRAWLERS OFICIAL'!AR7)/1.5) )/($BQ7)</f>
        <v>0</v>
      </c>
      <c r="AS7" s="92">
        <f>IF( 0 = (1-1), (1-1), ((0 + 'BRAWLERS OFICIAL'!AS7)/1.5) )/($BQ7)</f>
        <v>0</v>
      </c>
      <c r="AT7" s="92">
        <f>IF( 0 = (1-1), (1-1), ((0 + 'BRAWLERS OFICIAL'!AT7)/2) )/($BQ7)</f>
        <v>0</v>
      </c>
      <c r="AU7" s="92">
        <f>((0 + 'BRAWLERS OFICIAL'!AU7)-'BRAWLERS OFICIAL'!AU7)/($BQ7)</f>
        <v>0</v>
      </c>
      <c r="AV7" s="92">
        <f>(((0)/4 + 'BRAWLERS OFICIAL'!AV7)-'BRAWLERS OFICIAL'!AV7)/($BQ7)</f>
        <v>0</v>
      </c>
      <c r="AW7" s="92">
        <v>0</v>
      </c>
      <c r="AX7" s="92" t="s">
        <v>390</v>
      </c>
      <c r="AY7" s="91">
        <f>((( 0 )/3 + 'BRAWLERS OFICIAL'!AY7)-'BRAWLERS OFICIAL'!AY7)</f>
        <v>0</v>
      </c>
      <c r="AZ7" s="91">
        <f>((( 0 )/2 + 'BRAWLERS OFICIAL'!AZ7)-'BRAWLERS OFICIAL'!AZ7)/($BQ7)</f>
        <v>0</v>
      </c>
      <c r="BA7" s="91">
        <f>((( 0 )/2 + 'BRAWLERS OFICIAL'!BA7)-'BRAWLERS OFICIAL'!BA7)</f>
        <v>0</v>
      </c>
      <c r="BB7" s="91">
        <f>((( 0 )/3 + 'BRAWLERS OFICIAL'!BB7)-'BRAWLERS OFICIAL'!BB7)</f>
        <v>0</v>
      </c>
      <c r="BC7" s="91">
        <f>((( 0 )/2 + 'BRAWLERS OFICIAL'!BC7)-'BRAWLERS OFICIAL'!BC7)/($BQ7)</f>
        <v>0</v>
      </c>
      <c r="BD7" s="91">
        <f>((( 0 )/3 + 'BRAWLERS OFICIAL'!BD7)-'BRAWLERS OFICIAL'!BD7)</f>
        <v>0</v>
      </c>
      <c r="BE7" s="91">
        <f>((( 0 )/3 + 'BRAWLERS OFICIAL'!BE7)-'BRAWLERS OFICIAL'!BE7)</f>
        <v>0</v>
      </c>
      <c r="BF7" s="91">
        <f>((0 + 'BRAWLERS OFICIAL'!BF7)-'BRAWLERS OFICIAL'!BF7)/($BQ7)</f>
        <v>0</v>
      </c>
      <c r="BG7" s="91">
        <f>((0 + 'BRAWLERS OFICIAL'!BG7)-'BRAWLERS OFICIAL'!BG7)/($BQ7)</f>
        <v>0</v>
      </c>
      <c r="BH7" s="91">
        <f>((( 0 )/2 + 'BRAWLERS OFICIAL'!BH7)-'BRAWLERS OFICIAL'!BH7)</f>
        <v>0</v>
      </c>
      <c r="BI7" s="91">
        <f>((0 + 'BRAWLERS OFICIAL'!BI7)-'BRAWLERS OFICIAL'!BI7)/($BQ7)</f>
        <v>0</v>
      </c>
      <c r="BJ7" s="91">
        <f>((( 0 )/2 + 'BRAWLERS OFICIAL'!BJ7)-'BRAWLERS OFICIAL'!BJ7)</f>
        <v>0</v>
      </c>
      <c r="BK7" s="91">
        <f>((( 0 )/3 + 'BRAWLERS OFICIAL'!BK7)-'BRAWLERS OFICIAL'!BK7)</f>
        <v>0</v>
      </c>
      <c r="BL7" s="91">
        <f>((( 0 )/2 + 'BRAWLERS OFICIAL'!BL7)-'BRAWLERS OFICIAL'!BL7)</f>
        <v>0</v>
      </c>
      <c r="BM7" s="91">
        <f>((0 + 'BRAWLERS OFICIAL'!BM7)-'BRAWLERS OFICIAL'!BM7)/($BQ7)</f>
        <v>0</v>
      </c>
      <c r="BN7" s="91">
        <f>((0 + 'BRAWLERS OFICIAL'!BN7)-'BRAWLERS OFICIAL'!BN7)/($BQ7)</f>
        <v>0</v>
      </c>
      <c r="BO7" s="91">
        <f>((0 + 'BRAWLERS OFICIAL'!BO7)-'BRAWLERS OFICIAL'!BO7)/($BQ7)</f>
        <v>0</v>
      </c>
      <c r="BQ7" s="100">
        <f>('BRAWLERS OFICIAL'!F7 / 'BRAWLERS OFICIAL'!J7 / (1 + ('BRAWLERS OFICIAL'!AA7/5)))*'BRAWLERS OFICIAL'!G7</f>
        <v>4.84375</v>
      </c>
    </row>
    <row r="8" spans="1:69">
      <c r="B8" s="86" t="s">
        <v>494</v>
      </c>
      <c r="C8" s="87" t="s">
        <v>44</v>
      </c>
      <c r="D8" s="61" t="s">
        <v>378</v>
      </c>
      <c r="E8" s="61" t="s">
        <v>325</v>
      </c>
      <c r="F8" s="91">
        <f>(( 0 + 'BRAWLERS OFICIAL'!F8)-'BRAWLERS OFICIAL'!F8)/$BQ8</f>
        <v>0</v>
      </c>
      <c r="G8" s="91">
        <f>(( 0 + 'BRAWLERS OFICIAL'!G8)-'BRAWLERS OFICIAL'!G8)/$BQ8</f>
        <v>0</v>
      </c>
      <c r="H8" s="91">
        <f>(( ('BRAWLERS OFICIAL'!H8/20) + 'BRAWLERS OFICIAL'!H8)-'BRAWLERS OFICIAL'!H8)/$BQ8</f>
        <v>4</v>
      </c>
      <c r="I8" s="91">
        <f>(( 0 + 'BRAWLERS OFICIAL'!I8)-'BRAWLERS OFICIAL'!I8)/$BQ8</f>
        <v>0</v>
      </c>
      <c r="J8" s="91">
        <f>(( 0 + 'BRAWLERS OFICIAL'!J8)-'BRAWLERS OFICIAL'!J8)/$BQ8</f>
        <v>0</v>
      </c>
      <c r="K8" s="91">
        <f>(( 0 + 'BRAWLERS OFICIAL'!K8)-'BRAWLERS OFICIAL'!K8)/$BQ8</f>
        <v>0</v>
      </c>
      <c r="L8" s="91">
        <f>(( 0 + 'BRAWLERS OFICIAL'!L8)-'BRAWLERS OFICIAL'!L8)/$BQ8</f>
        <v>0</v>
      </c>
      <c r="M8" s="91">
        <f>(( 0 + 'BRAWLERS OFICIAL'!M8)-'BRAWLERS OFICIAL'!M8)/$BQ8</f>
        <v>0</v>
      </c>
      <c r="N8" s="91">
        <f>(( 0 + 'BRAWLERS OFICIAL'!N8)-'BRAWLERS OFICIAL'!N8)/$BQ8</f>
        <v>0</v>
      </c>
      <c r="O8" s="91">
        <f>(( 0 + 'BRAWLERS OFICIAL'!O8)-'BRAWLERS OFICIAL'!O8)/$BQ8</f>
        <v>0</v>
      </c>
      <c r="P8" s="91">
        <f>(( 0 + 'BRAWLERS OFICIAL'!P8)-'BRAWLERS OFICIAL'!P8)/$BQ8</f>
        <v>0</v>
      </c>
      <c r="Q8" s="91">
        <f>(( 'BRAWLERS OFICIAL'!Q8/20 + 1200 + 'BRAWLERS OFICIAL'!Q8)-'BRAWLERS OFICIAL'!Q8)/$BQ8</f>
        <v>168</v>
      </c>
      <c r="R8" s="91">
        <f>(( 'BRAWLERS OFICIAL'!R8/20 + 1200 + 'BRAWLERS OFICIAL'!R8)-'BRAWLERS OFICIAL'!R8)/$BQ8</f>
        <v>168</v>
      </c>
      <c r="S8" s="91">
        <f>(( 'BRAWLERS OFICIAL'!S8/20 + 1200 + 'BRAWLERS OFICIAL'!S8)-'BRAWLERS OFICIAL'!S8)/$BQ8</f>
        <v>168</v>
      </c>
      <c r="T8" s="91">
        <f>(( 'BRAWLERS OFICIAL'!T8/20 + 1200 + 'BRAWLERS OFICIAL'!T8)-'BRAWLERS OFICIAL'!T8)/$BQ8</f>
        <v>168</v>
      </c>
      <c r="U8" s="91">
        <f>(( 'BRAWLERS OFICIAL'!U8/20 + 1200 + 'BRAWLERS OFICIAL'!U8)-'BRAWLERS OFICIAL'!U8)/$BQ8</f>
        <v>168</v>
      </c>
      <c r="V8" s="91">
        <f>(( 0 + 'BRAWLERS OFICIAL'!V8)-'BRAWLERS OFICIAL'!V8)/$BQ8</f>
        <v>0</v>
      </c>
      <c r="W8" s="91">
        <f>(( 0 + 'BRAWLERS OFICIAL'!W8)-'BRAWLERS OFICIAL'!W8)/$BQ8</f>
        <v>0</v>
      </c>
      <c r="X8" s="102">
        <f>(( ('BRAWLERS OFICIAL'!X8/20) + 'BRAWLERS OFICIAL'!X8 + AP8 + AY8/3.5 )-'BRAWLERS OFICIAL'!X8)/($BQ8)</f>
        <v>3.8095238095238078E-2</v>
      </c>
      <c r="Y8" s="92">
        <f>((0 + 'BRAWLERS OFICIAL'!Y8)-'BRAWLERS OFICIAL'!Y8)/($BQ8)</f>
        <v>0</v>
      </c>
      <c r="Z8" s="92">
        <f>(((0)/3 + 'BRAWLERS OFICIAL'!Z8)-'BRAWLERS OFICIAL'!Z8)</f>
        <v>0</v>
      </c>
      <c r="AA8" s="92">
        <f>((2 + 'BRAWLERS OFICIAL'!AA8)-'BRAWLERS OFICIAL'!AA8)/($BQ8)</f>
        <v>0.26666666666666666</v>
      </c>
      <c r="AB8" s="92">
        <f>((0 + 'BRAWLERS OFICIAL'!AB8)-'BRAWLERS OFICIAL'!AB8)</f>
        <v>0</v>
      </c>
      <c r="AC8" s="92">
        <f>(((0)/4 + 'BRAWLERS OFICIAL'!AC8)-'BRAWLERS OFICIAL'!AC8)/($BQ8)</f>
        <v>0</v>
      </c>
      <c r="AD8" s="92">
        <f>((0 + 'BRAWLERS OFICIAL'!AD8)-'BRAWLERS OFICIAL'!AD8)/($BQ8)</f>
        <v>0</v>
      </c>
      <c r="AE8" s="92">
        <f>((0 + 'BRAWLERS OFICIAL'!AE8)-'BRAWLERS OFICIAL'!AE8)/($BQ8)</f>
        <v>0</v>
      </c>
      <c r="AF8" s="92">
        <f>((0 + 'BRAWLERS OFICIAL'!AF8)-'BRAWLERS OFICIAL'!AF8)/($BQ8)</f>
        <v>0</v>
      </c>
      <c r="AG8" s="92">
        <f>((0 + 'BRAWLERS OFICIAL'!AG8)-'BRAWLERS OFICIAL'!AG8)/($BQ8)</f>
        <v>0</v>
      </c>
      <c r="AH8" s="92">
        <f>((0 + 'BRAWLERS OFICIAL'!AH8)-'BRAWLERS OFICIAL'!AH8)/($BQ8)</f>
        <v>0</v>
      </c>
      <c r="AI8" s="92">
        <f>((0 + 'BRAWLERS OFICIAL'!AI8)-'BRAWLERS OFICIAL'!AI8)/($BQ8)</f>
        <v>0</v>
      </c>
      <c r="AJ8" s="92">
        <f>(( ('BRAWLERS OFICIAL'!AJ8/5) + 'BRAWLERS OFICIAL'!AJ8)-'BRAWLERS OFICIAL'!AJ8)/($BQ8)</f>
        <v>0.13333333333333333</v>
      </c>
      <c r="AK8" s="92">
        <f>((0 + 'BRAWLERS OFICIAL'!AK8)-'BRAWLERS OFICIAL'!AK8)/($BQ8)</f>
        <v>0</v>
      </c>
      <c r="AL8" s="92">
        <f>(((BK8/5+1)*AK8 + 'BRAWLERS OFICIAL'!AL8)-'BRAWLERS OFICIAL'!AL8)/($BQ8)</f>
        <v>0</v>
      </c>
      <c r="AM8" s="92">
        <f>IF( 0 = (1-1), (1-1), ((0 + 'BRAWLERS OFICIAL'!AM8)/1.5)-'BRAWLERS OFICIAL'!AM8 )/($BQ8)</f>
        <v>0</v>
      </c>
      <c r="AN8" s="92">
        <f t="shared" si="0"/>
        <v>0</v>
      </c>
      <c r="AO8" s="92">
        <f>((0 + 'BRAWLERS OFICIAL'!AO8)-'BRAWLERS OFICIAL'!AO8)/($BQ8)</f>
        <v>0</v>
      </c>
      <c r="AP8" s="92">
        <f>((0/1000 + 'BRAWLERS OFICIAL'!AP8)-'BRAWLERS OFICIAL'!AP8)/($BQ8)</f>
        <v>0</v>
      </c>
      <c r="AQ8" s="92">
        <f>((0 + 'BRAWLERS OFICIAL'!AQ8)-'BRAWLERS OFICIAL'!AQ8)/($BQ8)</f>
        <v>0</v>
      </c>
      <c r="AR8" s="92">
        <f>IF( 0 = (1-1), (1-1), ((0 + 'BRAWLERS OFICIAL'!AR8)/1.5) )/($BQ8)</f>
        <v>0</v>
      </c>
      <c r="AS8" s="92">
        <f>IF( 0 = (1-1), (1-1), ((0 + 'BRAWLERS OFICIAL'!AS8)/1.5) )/($BQ8)</f>
        <v>0</v>
      </c>
      <c r="AT8" s="92">
        <f>IF( 0 = (1-1), (1-1), ((0 + 'BRAWLERS OFICIAL'!AT8)/2) )/($BQ8)</f>
        <v>0</v>
      </c>
      <c r="AU8" s="92">
        <f>((0 + 'BRAWLERS OFICIAL'!AU8)-'BRAWLERS OFICIAL'!AU8)/($BQ8)</f>
        <v>0</v>
      </c>
      <c r="AV8" s="92">
        <f>(((0)/4 + 'BRAWLERS OFICIAL'!AV8)-'BRAWLERS OFICIAL'!AV8)/($BQ8)</f>
        <v>0</v>
      </c>
      <c r="AW8" s="92">
        <v>0</v>
      </c>
      <c r="AX8" s="92" t="s">
        <v>390</v>
      </c>
      <c r="AY8" s="91">
        <f>((( 0 )/3 + 'BRAWLERS OFICIAL'!AY8)-'BRAWLERS OFICIAL'!AY8)</f>
        <v>0</v>
      </c>
      <c r="AZ8" s="91">
        <f>((( 0 )/2 + 'BRAWLERS OFICIAL'!AZ8)-'BRAWLERS OFICIAL'!AZ8)/($BQ8)</f>
        <v>0</v>
      </c>
      <c r="BA8" s="91">
        <f>((( 0 )/2 + 'BRAWLERS OFICIAL'!BA8)-'BRAWLERS OFICIAL'!BA8)</f>
        <v>0</v>
      </c>
      <c r="BB8" s="91">
        <f>((( 0 )/3 + 'BRAWLERS OFICIAL'!BB8)-'BRAWLERS OFICIAL'!BB8)</f>
        <v>0</v>
      </c>
      <c r="BC8" s="91">
        <f>((( 0 )/2 + 'BRAWLERS OFICIAL'!BC8)-'BRAWLERS OFICIAL'!BC8)/($BQ8)</f>
        <v>0</v>
      </c>
      <c r="BD8" s="91">
        <f>((( 0 )/3 + 'BRAWLERS OFICIAL'!BD8)-'BRAWLERS OFICIAL'!BD8)</f>
        <v>0</v>
      </c>
      <c r="BE8" s="91">
        <f>((( 0 )/3 + 'BRAWLERS OFICIAL'!BE8)-'BRAWLERS OFICIAL'!BE8)</f>
        <v>0</v>
      </c>
      <c r="BF8" s="91">
        <f>((0 + 'BRAWLERS OFICIAL'!BF8)-'BRAWLERS OFICIAL'!BF8)/($BQ8)</f>
        <v>0</v>
      </c>
      <c r="BG8" s="91">
        <f>((0 + 'BRAWLERS OFICIAL'!BG8)-'BRAWLERS OFICIAL'!BG8)/($BQ8)</f>
        <v>0</v>
      </c>
      <c r="BH8" s="91">
        <f>((( 0 )/2 + 'BRAWLERS OFICIAL'!BH8)-'BRAWLERS OFICIAL'!BH8)</f>
        <v>0</v>
      </c>
      <c r="BI8" s="91">
        <f>((0 + 'BRAWLERS OFICIAL'!BI8)-'BRAWLERS OFICIAL'!BI8)/($BQ8)</f>
        <v>0</v>
      </c>
      <c r="BJ8" s="91">
        <f>((( 0 )/2 + 'BRAWLERS OFICIAL'!BJ8)-'BRAWLERS OFICIAL'!BJ8)</f>
        <v>0</v>
      </c>
      <c r="BK8" s="91">
        <f>((( 0 )/3 + 'BRAWLERS OFICIAL'!BK8)-'BRAWLERS OFICIAL'!BK8)</f>
        <v>0</v>
      </c>
      <c r="BL8" s="91">
        <f>((( 0 )/2 + 'BRAWLERS OFICIAL'!BL8)-'BRAWLERS OFICIAL'!BL8)</f>
        <v>0</v>
      </c>
      <c r="BM8" s="91">
        <f>((0 + 'BRAWLERS OFICIAL'!BM8)-'BRAWLERS OFICIAL'!BM8)/($BQ8)</f>
        <v>0</v>
      </c>
      <c r="BN8" s="91">
        <f>((0 + 'BRAWLERS OFICIAL'!BN8)-'BRAWLERS OFICIAL'!BN8)/($BQ8)</f>
        <v>0</v>
      </c>
      <c r="BO8" s="91">
        <f>((0 + 'BRAWLERS OFICIAL'!BO8)-'BRAWLERS OFICIAL'!BO8)/($BQ8)</f>
        <v>0</v>
      </c>
      <c r="BQ8" s="100">
        <f>('BRAWLERS OFICIAL'!F8 / 'BRAWLERS OFICIAL'!J8 / (1 + ('BRAWLERS OFICIAL'!AA8/5)))*'BRAWLERS OFICIAL'!G8</f>
        <v>7.5</v>
      </c>
    </row>
    <row r="9" spans="1:69">
      <c r="B9" s="86" t="s">
        <v>495</v>
      </c>
      <c r="C9" s="88" t="s">
        <v>95</v>
      </c>
      <c r="D9" s="73" t="s">
        <v>332</v>
      </c>
      <c r="E9" s="73" t="s">
        <v>333</v>
      </c>
      <c r="F9" s="91">
        <f>(( 0 + 'BRAWLERS OFICIAL'!F9)-'BRAWLERS OFICIAL'!F9)/$BQ9</f>
        <v>0</v>
      </c>
      <c r="G9" s="91">
        <f>(( 0 + 'BRAWLERS OFICIAL'!G9)-'BRAWLERS OFICIAL'!G9)/$BQ9</f>
        <v>0</v>
      </c>
      <c r="H9" s="91">
        <f>(( ('BRAWLERS OFICIAL'!H9/20) + 'BRAWLERS OFICIAL'!H9)-'BRAWLERS OFICIAL'!H9)/$BQ9</f>
        <v>7.9411764705882355</v>
      </c>
      <c r="I9" s="91">
        <f>(( 0 + 'BRAWLERS OFICIAL'!I9)-'BRAWLERS OFICIAL'!I9)/$BQ9</f>
        <v>0</v>
      </c>
      <c r="J9" s="91">
        <f>(( 0 + 'BRAWLERS OFICIAL'!J9)-'BRAWLERS OFICIAL'!J9)/$BQ9</f>
        <v>0</v>
      </c>
      <c r="K9" s="91">
        <f>(( 0 + 'BRAWLERS OFICIAL'!K9)-'BRAWLERS OFICIAL'!K9)/$BQ9</f>
        <v>0</v>
      </c>
      <c r="L9" s="91">
        <f>(( 0 + 'BRAWLERS OFICIAL'!L9)-'BRAWLERS OFICIAL'!L9)/$BQ9</f>
        <v>0</v>
      </c>
      <c r="M9" s="91">
        <f>(( 0 + 'BRAWLERS OFICIAL'!M9)-'BRAWLERS OFICIAL'!M9)/$BQ9</f>
        <v>0</v>
      </c>
      <c r="N9" s="91">
        <f>(( 0 + 'BRAWLERS OFICIAL'!N9)-'BRAWLERS OFICIAL'!N9)/$BQ9</f>
        <v>0</v>
      </c>
      <c r="O9" s="91">
        <f>(( 0 + 'BRAWLERS OFICIAL'!O9)-'BRAWLERS OFICIAL'!O9)/$BQ9</f>
        <v>0</v>
      </c>
      <c r="P9" s="91">
        <f>(( 0 + 'BRAWLERS OFICIAL'!P9)-'BRAWLERS OFICIAL'!P9)/$BQ9</f>
        <v>0</v>
      </c>
      <c r="Q9" s="91">
        <f>(( 'BRAWLERS OFICIAL'!Q9/20 + 'BRAWLERS OFICIAL'!Q9)-'BRAWLERS OFICIAL'!Q9)/$BQ9</f>
        <v>76.235294117647058</v>
      </c>
      <c r="R9" s="91">
        <f>(( 'BRAWLERS OFICIAL'!R9/20 + 'BRAWLERS OFICIAL'!R9)-'BRAWLERS OFICIAL'!R9)/$BQ9</f>
        <v>42.352941176470587</v>
      </c>
      <c r="S9" s="91">
        <f>(( 'BRAWLERS OFICIAL'!S9/20 + 'BRAWLERS OFICIAL'!S9)-'BRAWLERS OFICIAL'!S9)/$BQ9</f>
        <v>25.411764705882355</v>
      </c>
      <c r="T9" s="91">
        <f>(( 'BRAWLERS OFICIAL'!T9/20 + 'BRAWLERS OFICIAL'!T9)-'BRAWLERS OFICIAL'!T9)/$BQ9</f>
        <v>0</v>
      </c>
      <c r="U9" s="91">
        <f>(( 'BRAWLERS OFICIAL'!U9/20 + 'BRAWLERS OFICIAL'!U9)-'BRAWLERS OFICIAL'!U9)/$BQ9</f>
        <v>76.235294117647058</v>
      </c>
      <c r="V9" s="91">
        <f>(( 0 + 'BRAWLERS OFICIAL'!V9)-'BRAWLERS OFICIAL'!V9)/$BQ9</f>
        <v>0</v>
      </c>
      <c r="W9" s="91">
        <f>(( 0 + 'BRAWLERS OFICIAL'!W9)-'BRAWLERS OFICIAL'!W9)/$BQ9</f>
        <v>0</v>
      </c>
      <c r="X9" s="102">
        <f>(( ('BRAWLERS OFICIAL'!X9/20) + 'BRAWLERS OFICIAL'!X9 + AP9 + AY9/3.5 )-'BRAWLERS OFICIAL'!X9)/($BQ9)</f>
        <v>7.3739495798319302E-2</v>
      </c>
      <c r="Y9" s="92">
        <f>((1.5 + 'BRAWLERS OFICIAL'!Y9)-'BRAWLERS OFICIAL'!Y9)/($BQ9)</f>
        <v>0.3970588235294118</v>
      </c>
      <c r="Z9" s="92">
        <f>(((0)/3 + 'BRAWLERS OFICIAL'!Z9)-'BRAWLERS OFICIAL'!Z9)</f>
        <v>0</v>
      </c>
      <c r="AA9" s="92">
        <f>((1 + 'BRAWLERS OFICIAL'!AA9)-'BRAWLERS OFICIAL'!AA9)/($BQ9)</f>
        <v>0.26470588235294118</v>
      </c>
      <c r="AB9" s="92">
        <f>((0 + 'BRAWLERS OFICIAL'!AB9)-'BRAWLERS OFICIAL'!AB9)</f>
        <v>0</v>
      </c>
      <c r="AC9" s="92">
        <f>(((0)/4 + 'BRAWLERS OFICIAL'!AC9)-'BRAWLERS OFICIAL'!AC9)/($BQ9)</f>
        <v>0</v>
      </c>
      <c r="AD9" s="92">
        <f>((0 + 'BRAWLERS OFICIAL'!AD9)-'BRAWLERS OFICIAL'!AD9)/($BQ9)</f>
        <v>0</v>
      </c>
      <c r="AE9" s="92">
        <f>((0 + 'BRAWLERS OFICIAL'!AE9)-'BRAWLERS OFICIAL'!AE9)/($BQ9)</f>
        <v>0</v>
      </c>
      <c r="AF9" s="92">
        <f>((0 + 'BRAWLERS OFICIAL'!AF9)-'BRAWLERS OFICIAL'!AF9)/($BQ9)</f>
        <v>0</v>
      </c>
      <c r="AG9" s="92">
        <f>((0 + 'BRAWLERS OFICIAL'!AG9)-'BRAWLERS OFICIAL'!AG9)/($BQ9)</f>
        <v>0</v>
      </c>
      <c r="AH9" s="92">
        <f>((0 + 'BRAWLERS OFICIAL'!AH9)-'BRAWLERS OFICIAL'!AH9)/($BQ9)</f>
        <v>0</v>
      </c>
      <c r="AI9" s="92">
        <f>((0 + 'BRAWLERS OFICIAL'!AI9)-'BRAWLERS OFICIAL'!AI9)/($BQ9)</f>
        <v>0</v>
      </c>
      <c r="AJ9" s="92">
        <f>(( ('BRAWLERS OFICIAL'!AJ9/5) + 'BRAWLERS OFICIAL'!AJ9)-'BRAWLERS OFICIAL'!AJ9)/($BQ9)</f>
        <v>0.37058823529411777</v>
      </c>
      <c r="AK9" s="92">
        <f>((0 + 'BRAWLERS OFICIAL'!AK9)-'BRAWLERS OFICIAL'!AK9)/($BQ9)</f>
        <v>0</v>
      </c>
      <c r="AL9" s="92">
        <f>(((BK9/5+1)*AK9 + 'BRAWLERS OFICIAL'!AL9)-'BRAWLERS OFICIAL'!AL9)/($BQ9)</f>
        <v>0</v>
      </c>
      <c r="AM9" s="92">
        <f>IF( 0 = (1-1), (1-1), ((0 + 'BRAWLERS OFICIAL'!AM9)/1.5)-'BRAWLERS OFICIAL'!AM9 )/($BQ9)</f>
        <v>0</v>
      </c>
      <c r="AN9" s="92">
        <f t="shared" si="0"/>
        <v>0</v>
      </c>
      <c r="AO9" s="92">
        <f>((0 + 'BRAWLERS OFICIAL'!AO9)-'BRAWLERS OFICIAL'!AO9)/($BQ9)</f>
        <v>0</v>
      </c>
      <c r="AP9" s="92">
        <f>((0/1000 + 'BRAWLERS OFICIAL'!AP9)-'BRAWLERS OFICIAL'!AP9)/($BQ9)</f>
        <v>0</v>
      </c>
      <c r="AQ9" s="92">
        <f>((0 + 'BRAWLERS OFICIAL'!AQ9)-'BRAWLERS OFICIAL'!AQ9)/($BQ9)</f>
        <v>0</v>
      </c>
      <c r="AR9" s="92">
        <f>IF( 0 = (1-1), (1-1), ((0 + 'BRAWLERS OFICIAL'!AR9)/1.5) )/($BQ9)</f>
        <v>0</v>
      </c>
      <c r="AS9" s="92">
        <f>IF( 0 = (1-1), (1-1), ((0 + 'BRAWLERS OFICIAL'!AS9)/1.5) )/($BQ9)</f>
        <v>0</v>
      </c>
      <c r="AT9" s="92">
        <f>IF( 0 = (1-1), (1-1), ((0 + 'BRAWLERS OFICIAL'!AT9)/2) )/($BQ9)</f>
        <v>0</v>
      </c>
      <c r="AU9" s="92">
        <f>((0 + 'BRAWLERS OFICIAL'!AU9)-'BRAWLERS OFICIAL'!AU9)/($BQ9)</f>
        <v>0</v>
      </c>
      <c r="AV9" s="92">
        <f>(((0)/4 + 'BRAWLERS OFICIAL'!AV9)-'BRAWLERS OFICIAL'!AV9)/($BQ9)</f>
        <v>0</v>
      </c>
      <c r="AW9" s="92">
        <v>0</v>
      </c>
      <c r="AX9" s="92" t="s">
        <v>390</v>
      </c>
      <c r="AY9" s="91">
        <f>((( 0 )/3 + 'BRAWLERS OFICIAL'!AY9)-'BRAWLERS OFICIAL'!AY9)</f>
        <v>0</v>
      </c>
      <c r="AZ9" s="91">
        <f>((( 0 )/2 + 'BRAWLERS OFICIAL'!AZ9)-'BRAWLERS OFICIAL'!AZ9)/($BQ9)</f>
        <v>0</v>
      </c>
      <c r="BA9" s="91">
        <f>((( 0 )/2 + 'BRAWLERS OFICIAL'!BA9)-'BRAWLERS OFICIAL'!BA9)</f>
        <v>0</v>
      </c>
      <c r="BB9" s="91">
        <f>((( 0 )/3 + 'BRAWLERS OFICIAL'!BB9)-'BRAWLERS OFICIAL'!BB9)</f>
        <v>0</v>
      </c>
      <c r="BC9" s="91">
        <f>((( 0 )/2 + 'BRAWLERS OFICIAL'!BC9)-'BRAWLERS OFICIAL'!BC9)/($BQ9)</f>
        <v>0</v>
      </c>
      <c r="BD9" s="91">
        <f>((( 0 )/3 + 'BRAWLERS OFICIAL'!BD9)-'BRAWLERS OFICIAL'!BD9)</f>
        <v>0</v>
      </c>
      <c r="BE9" s="91">
        <f>((( 0 )/3 + 'BRAWLERS OFICIAL'!BE9)-'BRAWLERS OFICIAL'!BE9)</f>
        <v>0</v>
      </c>
      <c r="BF9" s="91">
        <f>((0 + 'BRAWLERS OFICIAL'!BF9)-'BRAWLERS OFICIAL'!BF9)/($BQ9)</f>
        <v>0</v>
      </c>
      <c r="BG9" s="91">
        <f>((0 + 'BRAWLERS OFICIAL'!BG9)-'BRAWLERS OFICIAL'!BG9)/($BQ9)</f>
        <v>0</v>
      </c>
      <c r="BH9" s="91">
        <f>((( 0 )/2 + 'BRAWLERS OFICIAL'!BH9)-'BRAWLERS OFICIAL'!BH9)</f>
        <v>0</v>
      </c>
      <c r="BI9" s="91">
        <f>((0 + 'BRAWLERS OFICIAL'!BI9)-'BRAWLERS OFICIAL'!BI9)/($BQ9)</f>
        <v>0</v>
      </c>
      <c r="BJ9" s="91">
        <f>((( 0 )/2 + 'BRAWLERS OFICIAL'!BJ9)-'BRAWLERS OFICIAL'!BJ9)</f>
        <v>0</v>
      </c>
      <c r="BK9" s="91">
        <f>((( 0 )/3 + 'BRAWLERS OFICIAL'!BK9)-'BRAWLERS OFICIAL'!BK9)</f>
        <v>0</v>
      </c>
      <c r="BL9" s="91">
        <f>((( 0 )/2 + 'BRAWLERS OFICIAL'!BL9)-'BRAWLERS OFICIAL'!BL9)</f>
        <v>0</v>
      </c>
      <c r="BM9" s="91">
        <f>((0 + 'BRAWLERS OFICIAL'!BM9)-'BRAWLERS OFICIAL'!BM9)/($BQ9)</f>
        <v>0</v>
      </c>
      <c r="BN9" s="91">
        <f>((0 + 'BRAWLERS OFICIAL'!BN9)-'BRAWLERS OFICIAL'!BN9)/($BQ9)</f>
        <v>0</v>
      </c>
      <c r="BO9" s="91">
        <f>((0 + 'BRAWLERS OFICIAL'!BO9)-'BRAWLERS OFICIAL'!BO9)/($BQ9)</f>
        <v>0</v>
      </c>
      <c r="BQ9" s="100">
        <f>('BRAWLERS OFICIAL'!F9 / 'BRAWLERS OFICIAL'!J9 / (1 + ('BRAWLERS OFICIAL'!AA9/5)))*'BRAWLERS OFICIAL'!G9</f>
        <v>3.7777777777777777</v>
      </c>
    </row>
    <row r="10" spans="1:69">
      <c r="B10" s="86" t="s">
        <v>496</v>
      </c>
      <c r="C10" s="88" t="s">
        <v>87</v>
      </c>
      <c r="D10" s="73" t="s">
        <v>390</v>
      </c>
      <c r="E10" s="73" t="s">
        <v>390</v>
      </c>
      <c r="F10" s="91">
        <f>(( 0 + 'BRAWLERS OFICIAL'!F10)-'BRAWLERS OFICIAL'!F10)/$BQ10</f>
        <v>0</v>
      </c>
      <c r="G10" s="91">
        <f>(( 0 + 'BRAWLERS OFICIAL'!G10)-'BRAWLERS OFICIAL'!G10)/$BQ10</f>
        <v>0</v>
      </c>
      <c r="H10" s="91">
        <f>(( ('BRAWLERS OFICIAL'!H10/20) + 'BRAWLERS OFICIAL'!H10)-'BRAWLERS OFICIAL'!H10)/$BQ10</f>
        <v>18.239999999999998</v>
      </c>
      <c r="I10" s="91">
        <f>(( 0 + 'BRAWLERS OFICIAL'!I10)-'BRAWLERS OFICIAL'!I10)/$BQ10</f>
        <v>0</v>
      </c>
      <c r="J10" s="91">
        <f>(( 0 + 'BRAWLERS OFICIAL'!J10)-'BRAWLERS OFICIAL'!J10)/$BQ10</f>
        <v>0</v>
      </c>
      <c r="K10" s="91">
        <f>(( 0 + 'BRAWLERS OFICIAL'!K10)-'BRAWLERS OFICIAL'!K10)/$BQ10</f>
        <v>0</v>
      </c>
      <c r="L10" s="91">
        <f>(( 0 + 'BRAWLERS OFICIAL'!L10)-'BRAWLERS OFICIAL'!L10)/$BQ10</f>
        <v>0</v>
      </c>
      <c r="M10" s="91">
        <f>(( 0 + 'BRAWLERS OFICIAL'!M10)-'BRAWLERS OFICIAL'!M10)/$BQ10</f>
        <v>0</v>
      </c>
      <c r="N10" s="91">
        <f>(( 0 + 'BRAWLERS OFICIAL'!N10)-'BRAWLERS OFICIAL'!N10)/$BQ10</f>
        <v>0</v>
      </c>
      <c r="O10" s="91">
        <f>(( 0 + 'BRAWLERS OFICIAL'!O10)-'BRAWLERS OFICIAL'!O10)/$BQ10</f>
        <v>0</v>
      </c>
      <c r="P10" s="91">
        <f>(( 0 + 'BRAWLERS OFICIAL'!P10)-'BRAWLERS OFICIAL'!P10)/$BQ10</f>
        <v>0</v>
      </c>
      <c r="Q10" s="91">
        <f>(( 'BRAWLERS OFICIAL'!Q10/20 + 'BRAWLERS OFICIAL'!Q10)-'BRAWLERS OFICIAL'!Q10)/$BQ10</f>
        <v>0</v>
      </c>
      <c r="R10" s="91">
        <f>(( 'BRAWLERS OFICIAL'!R10/20 + 'BRAWLERS OFICIAL'!R10)-'BRAWLERS OFICIAL'!R10)/$BQ10</f>
        <v>0</v>
      </c>
      <c r="S10" s="91">
        <f>(( 'BRAWLERS OFICIAL'!S10/20 + 'BRAWLERS OFICIAL'!S10)-'BRAWLERS OFICIAL'!S10)/$BQ10</f>
        <v>0</v>
      </c>
      <c r="T10" s="91">
        <f>(( 'BRAWLERS OFICIAL'!T10/20 + 'BRAWLERS OFICIAL'!T10)-'BRAWLERS OFICIAL'!T10)/$BQ10</f>
        <v>0</v>
      </c>
      <c r="U10" s="91">
        <f>(( 'BRAWLERS OFICIAL'!U10/20 + 'BRAWLERS OFICIAL'!U10)-'BRAWLERS OFICIAL'!U10)/$BQ10</f>
        <v>0</v>
      </c>
      <c r="V10" s="91">
        <f>(( 0 + 'BRAWLERS OFICIAL'!V10)-'BRAWLERS OFICIAL'!V10)/$BQ10</f>
        <v>0</v>
      </c>
      <c r="W10" s="91">
        <f>(( 0 + 'BRAWLERS OFICIAL'!W10)-'BRAWLERS OFICIAL'!W10)/$BQ10</f>
        <v>0</v>
      </c>
      <c r="X10" s="102">
        <f>(( ('BRAWLERS OFICIAL'!X10/20) + 'BRAWLERS OFICIAL'!X10 + AP10 + AY10/3.5 )-'BRAWLERS OFICIAL'!X10)/($BQ10)</f>
        <v>9.6000000000000085E-2</v>
      </c>
      <c r="Y10" s="92">
        <f>((0 + 'BRAWLERS OFICIAL'!Y10)-'BRAWLERS OFICIAL'!Y10)/($BQ10)</f>
        <v>0</v>
      </c>
      <c r="Z10" s="92">
        <f>(((0)/3 + 'BRAWLERS OFICIAL'!Z10)-'BRAWLERS OFICIAL'!Z10)</f>
        <v>0</v>
      </c>
      <c r="AA10" s="92">
        <f>((0 + 'BRAWLERS OFICIAL'!AA10)-'BRAWLERS OFICIAL'!AA10)/($BQ10)</f>
        <v>0</v>
      </c>
      <c r="AB10" s="92">
        <f>((0 + 'BRAWLERS OFICIAL'!AB10)-'BRAWLERS OFICIAL'!AB10)</f>
        <v>0</v>
      </c>
      <c r="AC10" s="92">
        <f>(((0)/4 + 'BRAWLERS OFICIAL'!AC10)-'BRAWLERS OFICIAL'!AC10)/($BQ10)</f>
        <v>0</v>
      </c>
      <c r="AD10" s="92">
        <f>((0 + 'BRAWLERS OFICIAL'!AD10)-'BRAWLERS OFICIAL'!AD10)/($BQ10)</f>
        <v>0</v>
      </c>
      <c r="AE10" s="92">
        <f>((0 + 'BRAWLERS OFICIAL'!AE10)-'BRAWLERS OFICIAL'!AE10)/($BQ10)</f>
        <v>0</v>
      </c>
      <c r="AF10" s="92">
        <f>((0 + 'BRAWLERS OFICIAL'!AF10)-'BRAWLERS OFICIAL'!AF10)/($BQ10)</f>
        <v>0</v>
      </c>
      <c r="AG10" s="92">
        <f>((0 + 'BRAWLERS OFICIAL'!AG10)-'BRAWLERS OFICIAL'!AG10)/($BQ10)</f>
        <v>0</v>
      </c>
      <c r="AH10" s="92">
        <f>((0 + 'BRAWLERS OFICIAL'!AH10)-'BRAWLERS OFICIAL'!AH10)/($BQ10)</f>
        <v>0</v>
      </c>
      <c r="AI10" s="92">
        <f>((0 + 'BRAWLERS OFICIAL'!AI10)-'BRAWLERS OFICIAL'!AI10)/($BQ10)</f>
        <v>0</v>
      </c>
      <c r="AJ10" s="92">
        <f>(( ('BRAWLERS OFICIAL'!AJ10/5) + 'BRAWLERS OFICIAL'!AJ10)-'BRAWLERS OFICIAL'!AJ10)/($BQ10)</f>
        <v>0.24</v>
      </c>
      <c r="AK10" s="92">
        <f>((0 + 'BRAWLERS OFICIAL'!AK10)-'BRAWLERS OFICIAL'!AK10)/($BQ10)</f>
        <v>0</v>
      </c>
      <c r="AL10" s="92">
        <f>(((BK10/5+1)*AK10 + 'BRAWLERS OFICIAL'!AL10)-'BRAWLERS OFICIAL'!AL10)/($BQ10)</f>
        <v>0</v>
      </c>
      <c r="AM10" s="92">
        <f>IF( 0 = (1-1), (1-1), ((0 + 'BRAWLERS OFICIAL'!AM10)/1.5)-'BRAWLERS OFICIAL'!AM10 )/($BQ10)</f>
        <v>0</v>
      </c>
      <c r="AN10" s="92">
        <f t="shared" si="0"/>
        <v>0</v>
      </c>
      <c r="AO10" s="92">
        <f>((0 + 'BRAWLERS OFICIAL'!AO10)-'BRAWLERS OFICIAL'!AO10)/($BQ10)</f>
        <v>0</v>
      </c>
      <c r="AP10" s="92">
        <f>((0/1000 + 'BRAWLERS OFICIAL'!AP10)-'BRAWLERS OFICIAL'!AP10)/($BQ10)</f>
        <v>0</v>
      </c>
      <c r="AQ10" s="92">
        <f>((0 + 'BRAWLERS OFICIAL'!AQ10)-'BRAWLERS OFICIAL'!AQ10)/($BQ10)</f>
        <v>0</v>
      </c>
      <c r="AR10" s="92">
        <f>IF( 0 = (1-1), (1-1), ((0 + 'BRAWLERS OFICIAL'!AR10)/1.5) )/($BQ10)</f>
        <v>0</v>
      </c>
      <c r="AS10" s="92">
        <f>IF( 0 = (1-1), (1-1), ((0 + 'BRAWLERS OFICIAL'!AS10)/1.5) )/($BQ10)</f>
        <v>0</v>
      </c>
      <c r="AT10" s="92">
        <f>IF( 0 = (1-1), (1-1), ((0 + 'BRAWLERS OFICIAL'!AT10)/2) )/($BQ10)</f>
        <v>0</v>
      </c>
      <c r="AU10" s="92">
        <f>((0 + 'BRAWLERS OFICIAL'!AU10)-'BRAWLERS OFICIAL'!AU10)/($BQ10)</f>
        <v>0</v>
      </c>
      <c r="AV10" s="92">
        <f>(((0)/4 + 'BRAWLERS OFICIAL'!AV10)-'BRAWLERS OFICIAL'!AV10)/($BQ10)</f>
        <v>0</v>
      </c>
      <c r="AW10" s="92">
        <v>0</v>
      </c>
      <c r="AX10" s="92" t="s">
        <v>390</v>
      </c>
      <c r="AY10" s="91">
        <f>((( 0 )/3 + 'BRAWLERS OFICIAL'!AY10)-'BRAWLERS OFICIAL'!AY10)</f>
        <v>0</v>
      </c>
      <c r="AZ10" s="91">
        <f>((( 0 )/2 + 'BRAWLERS OFICIAL'!AZ10)-'BRAWLERS OFICIAL'!AZ10)/($BQ10)</f>
        <v>0</v>
      </c>
      <c r="BA10" s="91">
        <f>((( 1 + 7 )/2 + 'BRAWLERS OFICIAL'!BA10)-'BRAWLERS OFICIAL'!BA10)</f>
        <v>4</v>
      </c>
      <c r="BB10" s="91">
        <f>((( 0 )/3 + 'BRAWLERS OFICIAL'!BB10)-'BRAWLERS OFICIAL'!BB10)</f>
        <v>0</v>
      </c>
      <c r="BC10" s="91">
        <f>((( 0 )/2 + 'BRAWLERS OFICIAL'!BC10)-'BRAWLERS OFICIAL'!BC10)/($BQ10)</f>
        <v>0</v>
      </c>
      <c r="BD10" s="91">
        <f>((( 0 )/3 + 'BRAWLERS OFICIAL'!BD10)-'BRAWLERS OFICIAL'!BD10)</f>
        <v>0</v>
      </c>
      <c r="BE10" s="91">
        <f>((( 0 )/3 + 'BRAWLERS OFICIAL'!BE10)-'BRAWLERS OFICIAL'!BE10)</f>
        <v>0</v>
      </c>
      <c r="BF10" s="91">
        <f>((0 + 'BRAWLERS OFICIAL'!BF10)-'BRAWLERS OFICIAL'!BF10)/($BQ10)</f>
        <v>0</v>
      </c>
      <c r="BG10" s="91">
        <f>((0 + 'BRAWLERS OFICIAL'!BG10)-'BRAWLERS OFICIAL'!BG10)/($BQ10)</f>
        <v>0</v>
      </c>
      <c r="BH10" s="91">
        <f>((( 0 )/2 + 'BRAWLERS OFICIAL'!BH10)-'BRAWLERS OFICIAL'!BH10)</f>
        <v>0</v>
      </c>
      <c r="BI10" s="91">
        <f>((0 + 'BRAWLERS OFICIAL'!BI10)-'BRAWLERS OFICIAL'!BI10)/($BQ10)</f>
        <v>0</v>
      </c>
      <c r="BJ10" s="91">
        <f>((( 0 )/2 + 'BRAWLERS OFICIAL'!BJ10)-'BRAWLERS OFICIAL'!BJ10)</f>
        <v>0</v>
      </c>
      <c r="BK10" s="91">
        <f>((( 0 )/3 + 'BRAWLERS OFICIAL'!BK10)-'BRAWLERS OFICIAL'!BK10)</f>
        <v>0</v>
      </c>
      <c r="BL10" s="91">
        <f>((( 0 )/2 + 'BRAWLERS OFICIAL'!BL10)-'BRAWLERS OFICIAL'!BL10)</f>
        <v>0</v>
      </c>
      <c r="BM10" s="91">
        <f>((0 + 'BRAWLERS OFICIAL'!BM10)-'BRAWLERS OFICIAL'!BM10)/($BQ10)</f>
        <v>0</v>
      </c>
      <c r="BN10" s="91">
        <f>((0 + 'BRAWLERS OFICIAL'!BN10)-'BRAWLERS OFICIAL'!BN10)/($BQ10)</f>
        <v>0</v>
      </c>
      <c r="BO10" s="91">
        <f>((0 + 'BRAWLERS OFICIAL'!BO10)-'BRAWLERS OFICIAL'!BO10)/($BQ10)</f>
        <v>0</v>
      </c>
      <c r="BQ10" s="100">
        <f>('BRAWLERS OFICIAL'!F10 / 'BRAWLERS OFICIAL'!J10 / (1 + ('BRAWLERS OFICIAL'!AA10/5)))*'BRAWLERS OFICIAL'!G10</f>
        <v>4.166666666666667</v>
      </c>
    </row>
    <row r="11" spans="1:69">
      <c r="B11" s="86" t="s">
        <v>497</v>
      </c>
      <c r="C11" s="87" t="s">
        <v>15</v>
      </c>
      <c r="D11" s="61" t="s">
        <v>351</v>
      </c>
      <c r="E11" s="61" t="s">
        <v>384</v>
      </c>
      <c r="F11" s="91">
        <f>(( 0 + 'BRAWLERS OFICIAL'!F11)-'BRAWLERS OFICIAL'!F11)/$BQ11</f>
        <v>0</v>
      </c>
      <c r="G11" s="91">
        <f>(( 0 + 'BRAWLERS OFICIAL'!G11)-'BRAWLERS OFICIAL'!G11)/$BQ11</f>
        <v>0</v>
      </c>
      <c r="H11" s="91">
        <f>(( ('BRAWLERS OFICIAL'!H11/20) + 'BRAWLERS OFICIAL'!H11)-'BRAWLERS OFICIAL'!H11)/$BQ11</f>
        <v>22.628571428571426</v>
      </c>
      <c r="I11" s="91">
        <f>(( 0 + 'BRAWLERS OFICIAL'!I11)-'BRAWLERS OFICIAL'!I11)/$BQ11</f>
        <v>0</v>
      </c>
      <c r="J11" s="91">
        <f>(( 0 + 'BRAWLERS OFICIAL'!J11)-'BRAWLERS OFICIAL'!J11)/$BQ11</f>
        <v>0</v>
      </c>
      <c r="K11" s="91">
        <f>(( 0 + 'BRAWLERS OFICIAL'!K11)-'BRAWLERS OFICIAL'!K11)/$BQ11</f>
        <v>0</v>
      </c>
      <c r="L11" s="91">
        <f>(( 0 + 'BRAWLERS OFICIAL'!L11)-'BRAWLERS OFICIAL'!L11)/$BQ11</f>
        <v>0</v>
      </c>
      <c r="M11" s="91">
        <f>(( 0 + 'BRAWLERS OFICIAL'!M11)-'BRAWLERS OFICIAL'!M11)/$BQ11</f>
        <v>0</v>
      </c>
      <c r="N11" s="91">
        <f>(( 0 + 'BRAWLERS OFICIAL'!N11)-'BRAWLERS OFICIAL'!N11)/$BQ11</f>
        <v>0</v>
      </c>
      <c r="O11" s="91">
        <f>(( 0 + 'BRAWLERS OFICIAL'!O11)-'BRAWLERS OFICIAL'!O11)/$BQ11</f>
        <v>0</v>
      </c>
      <c r="P11" s="91">
        <f>(( 0 + 'BRAWLERS OFICIAL'!P11)-'BRAWLERS OFICIAL'!P11)/$BQ11</f>
        <v>0</v>
      </c>
      <c r="Q11" s="91">
        <f>(( 'BRAWLERS OFICIAL'!Q11/20 + 'BRAWLERS OFICIAL'!Q11)-'BRAWLERS OFICIAL'!Q11)/$BQ11</f>
        <v>74.742857142857133</v>
      </c>
      <c r="R11" s="91">
        <f>(( 'BRAWLERS OFICIAL'!R11/20 + 'BRAWLERS OFICIAL'!R11)-'BRAWLERS OFICIAL'!R11)/$BQ11</f>
        <v>74.742857142857133</v>
      </c>
      <c r="S11" s="91">
        <f>(( 'BRAWLERS OFICIAL'!S11/20 + 'BRAWLERS OFICIAL'!S11)-'BRAWLERS OFICIAL'!S11)/$BQ11</f>
        <v>37.371428571428567</v>
      </c>
      <c r="T11" s="91">
        <f>(( 'BRAWLERS OFICIAL'!T11/20 + 'BRAWLERS OFICIAL'!T11)-'BRAWLERS OFICIAL'!T11)/$BQ11</f>
        <v>0</v>
      </c>
      <c r="U11" s="91">
        <f>(( 'BRAWLERS OFICIAL'!U11/20 + 'BRAWLERS OFICIAL'!U11)-'BRAWLERS OFICIAL'!U11)/$BQ11</f>
        <v>74.742857142857133</v>
      </c>
      <c r="V11" s="91">
        <f>(( 0 + 'BRAWLERS OFICIAL'!V11)-'BRAWLERS OFICIAL'!V11)/$BQ11</f>
        <v>0</v>
      </c>
      <c r="W11" s="91">
        <f>(( 0 + 'BRAWLERS OFICIAL'!W11)-'BRAWLERS OFICIAL'!W11)/$BQ11</f>
        <v>0</v>
      </c>
      <c r="X11" s="102">
        <f>(( ('BRAWLERS OFICIAL'!X11/20) + 'BRAWLERS OFICIAL'!X11 + AP11 + AY11/3.5 )-'BRAWLERS OFICIAL'!X11)/($BQ11)</f>
        <v>9.7959183673469341E-2</v>
      </c>
      <c r="Y11" s="92">
        <f>((0 + 'BRAWLERS OFICIAL'!Y11)-'BRAWLERS OFICIAL'!Y11)/($BQ11)</f>
        <v>0</v>
      </c>
      <c r="Z11" s="92">
        <f>(((0)/3 + 'BRAWLERS OFICIAL'!Z11)-'BRAWLERS OFICIAL'!Z11)</f>
        <v>0</v>
      </c>
      <c r="AA11" s="92">
        <f>((0 + 'BRAWLERS OFICIAL'!AA11)-'BRAWLERS OFICIAL'!AA11)/($BQ11)</f>
        <v>0</v>
      </c>
      <c r="AB11" s="92">
        <f>((0 + 'BRAWLERS OFICIAL'!AB11)-'BRAWLERS OFICIAL'!AB11)</f>
        <v>0</v>
      </c>
      <c r="AC11" s="92">
        <f>(((6 + 4 + 6 + 5)/4)-'BRAWLERS OFICIAL'!AC11)/($BQ11)</f>
        <v>0.25714285714285712</v>
      </c>
      <c r="AD11" s="92">
        <f>((0 + 'BRAWLERS OFICIAL'!AD11)-'BRAWLERS OFICIAL'!AD11)/($BQ11)</f>
        <v>0</v>
      </c>
      <c r="AE11" s="92">
        <f>((0 + 'BRAWLERS OFICIAL'!AE11)-'BRAWLERS OFICIAL'!AE11)/($BQ11)</f>
        <v>0</v>
      </c>
      <c r="AF11" s="92">
        <f>((0 + 'BRAWLERS OFICIAL'!AF11)-'BRAWLERS OFICIAL'!AF11)/($BQ11)</f>
        <v>0</v>
      </c>
      <c r="AG11" s="92">
        <f>((0 + 'BRAWLERS OFICIAL'!AG11)-'BRAWLERS OFICIAL'!AG11)/($BQ11)</f>
        <v>0</v>
      </c>
      <c r="AH11" s="92">
        <f>((0 + 'BRAWLERS OFICIAL'!AH11)-'BRAWLERS OFICIAL'!AH11)/($BQ11)</f>
        <v>0</v>
      </c>
      <c r="AI11" s="92">
        <f>((0 + 'BRAWLERS OFICIAL'!AI11)-'BRAWLERS OFICIAL'!AI11)/($BQ11)</f>
        <v>0</v>
      </c>
      <c r="AJ11" s="92">
        <f>(( ('BRAWLERS OFICIAL'!AJ11/5) + 'BRAWLERS OFICIAL'!AJ11)-'BRAWLERS OFICIAL'!AJ11)/($BQ11)</f>
        <v>0.3428571428571428</v>
      </c>
      <c r="AK11" s="92">
        <f>((0 + 'BRAWLERS OFICIAL'!AK11)-'BRAWLERS OFICIAL'!AK11)/($BQ11)</f>
        <v>0</v>
      </c>
      <c r="AL11" s="92">
        <f>(((BK11/5+1)*AK11 + 'BRAWLERS OFICIAL'!AL11)-'BRAWLERS OFICIAL'!AL11)/($BQ11)</f>
        <v>0</v>
      </c>
      <c r="AM11" s="92">
        <f>IF( 0 = (1-1), (1-1), ((0 + 'BRAWLERS OFICIAL'!AM11)/1.5)-'BRAWLERS OFICIAL'!AM11 )/($BQ11)</f>
        <v>0</v>
      </c>
      <c r="AN11" s="92">
        <f t="shared" si="0"/>
        <v>0</v>
      </c>
      <c r="AO11" s="92">
        <f>((0 + 'BRAWLERS OFICIAL'!AO11)-'BRAWLERS OFICIAL'!AO11)/($BQ11)</f>
        <v>0</v>
      </c>
      <c r="AP11" s="92">
        <f>((0/1000 + 'BRAWLERS OFICIAL'!AP11)-'BRAWLERS OFICIAL'!AP11)/($BQ11)</f>
        <v>0</v>
      </c>
      <c r="AQ11" s="92">
        <f>((0 + 'BRAWLERS OFICIAL'!AQ11)-'BRAWLERS OFICIAL'!AQ11)/($BQ11)</f>
        <v>0</v>
      </c>
      <c r="AR11" s="92">
        <f>IF( 0 = (1-1), (1-1), ((0 + 'BRAWLERS OFICIAL'!AR11)/1.5) )/($BQ11)</f>
        <v>0</v>
      </c>
      <c r="AS11" s="92">
        <f>IF( 0 = (1-1), (1-1), ((0 + 'BRAWLERS OFICIAL'!AS11)/1.5) )/($BQ11)</f>
        <v>0</v>
      </c>
      <c r="AT11" s="92">
        <f>IF( 0 = (1-1), (1-1), ((0 + 'BRAWLERS OFICIAL'!AT11)/2) )/($BQ11)</f>
        <v>0</v>
      </c>
      <c r="AU11" s="92">
        <f>((0 + 'BRAWLERS OFICIAL'!AU11)-'BRAWLERS OFICIAL'!AU11)/($BQ11)</f>
        <v>0</v>
      </c>
      <c r="AV11" s="92">
        <f>(((0)/4 + 'BRAWLERS OFICIAL'!AV11)-'BRAWLERS OFICIAL'!AV11)/($BQ11)</f>
        <v>0</v>
      </c>
      <c r="AW11" s="92">
        <v>0</v>
      </c>
      <c r="AX11" s="92" t="s">
        <v>390</v>
      </c>
      <c r="AY11" s="91">
        <f>((( 0 )/3 + 'BRAWLERS OFICIAL'!AY11)-'BRAWLERS OFICIAL'!AY11)</f>
        <v>0</v>
      </c>
      <c r="AZ11" s="91">
        <f>((( 0 )/2 + 'BRAWLERS OFICIAL'!AZ11)-'BRAWLERS OFICIAL'!AZ11)/($BQ11)</f>
        <v>0</v>
      </c>
      <c r="BA11" s="91">
        <f>((( 0 )/2 + 'BRAWLERS OFICIAL'!BA11)-'BRAWLERS OFICIAL'!BA11)</f>
        <v>0</v>
      </c>
      <c r="BB11" s="91">
        <f>((( 0 )/3 + 'BRAWLERS OFICIAL'!BB11)-'BRAWLERS OFICIAL'!BB11)</f>
        <v>0</v>
      </c>
      <c r="BC11" s="91">
        <f>((( 0 )/2 + 'BRAWLERS OFICIAL'!BC11)-'BRAWLERS OFICIAL'!BC11)/($BQ11)</f>
        <v>0</v>
      </c>
      <c r="BD11" s="91">
        <f>((( 0 )/3 + 'BRAWLERS OFICIAL'!BD11)-'BRAWLERS OFICIAL'!BD11)</f>
        <v>0</v>
      </c>
      <c r="BE11" s="91">
        <f>((( 0 )/3 + 'BRAWLERS OFICIAL'!BE11)-'BRAWLERS OFICIAL'!BE11)</f>
        <v>0</v>
      </c>
      <c r="BF11" s="91">
        <f>((0 + 'BRAWLERS OFICIAL'!BF11)-'BRAWLERS OFICIAL'!BF11)/($BQ11)</f>
        <v>0</v>
      </c>
      <c r="BG11" s="91">
        <f>((0 + 'BRAWLERS OFICIAL'!BG11)-'BRAWLERS OFICIAL'!BG11)/($BQ11)</f>
        <v>0</v>
      </c>
      <c r="BH11" s="91">
        <f>((( 0 )/2 + 'BRAWLERS OFICIAL'!BH11)-'BRAWLERS OFICIAL'!BH11)</f>
        <v>0</v>
      </c>
      <c r="BI11" s="91">
        <f>((0 + 'BRAWLERS OFICIAL'!BI11)-'BRAWLERS OFICIAL'!BI11)/($BQ11)</f>
        <v>0</v>
      </c>
      <c r="BJ11" s="91">
        <f>((( 0 )/2 + 'BRAWLERS OFICIAL'!BJ11)-'BRAWLERS OFICIAL'!BJ11)</f>
        <v>0</v>
      </c>
      <c r="BK11" s="91">
        <f>((( 0 )/3 + 'BRAWLERS OFICIAL'!BK11)-'BRAWLERS OFICIAL'!BK11)</f>
        <v>0</v>
      </c>
      <c r="BL11" s="91">
        <f>((( 0 )/2 + 'BRAWLERS OFICIAL'!BL11)-'BRAWLERS OFICIAL'!BL11)</f>
        <v>0</v>
      </c>
      <c r="BM11" s="91">
        <f>((0 + 'BRAWLERS OFICIAL'!BM11)-'BRAWLERS OFICIAL'!BM11)/($BQ11)</f>
        <v>0</v>
      </c>
      <c r="BN11" s="91">
        <f>((0 + 'BRAWLERS OFICIAL'!BN11)-'BRAWLERS OFICIAL'!BN11)/($BQ11)</f>
        <v>0</v>
      </c>
      <c r="BO11" s="91">
        <f>((0 + 'BRAWLERS OFICIAL'!BO11)-'BRAWLERS OFICIAL'!BO11)/($BQ11)</f>
        <v>0</v>
      </c>
      <c r="BQ11" s="100">
        <f>('BRAWLERS OFICIAL'!F11 / 'BRAWLERS OFICIAL'!J11 / (1 + ('BRAWLERS OFICIAL'!AA11/5)))*'BRAWLERS OFICIAL'!G11</f>
        <v>2.916666666666667</v>
      </c>
    </row>
    <row r="12" spans="1:69">
      <c r="B12" s="86" t="s">
        <v>498</v>
      </c>
      <c r="C12" s="88" t="s">
        <v>43</v>
      </c>
      <c r="D12" s="73" t="s">
        <v>364</v>
      </c>
      <c r="E12" s="73" t="s">
        <v>374</v>
      </c>
      <c r="F12" s="91">
        <f>(( 0 + 'BRAWLERS OFICIAL'!F12)-'BRAWLERS OFICIAL'!F12)/$BQ12</f>
        <v>0</v>
      </c>
      <c r="G12" s="91">
        <f>(( 0 + 'BRAWLERS OFICIAL'!G12)-'BRAWLERS OFICIAL'!G12)/$BQ12</f>
        <v>0</v>
      </c>
      <c r="H12" s="91">
        <f>(( ('BRAWLERS OFICIAL'!H12/20) + 'BRAWLERS OFICIAL'!H12)-'BRAWLERS OFICIAL'!H12)/$BQ12</f>
        <v>27.839999999999996</v>
      </c>
      <c r="I12" s="91">
        <f>(( 0 + 'BRAWLERS OFICIAL'!I12)-'BRAWLERS OFICIAL'!I12)/$BQ12</f>
        <v>0</v>
      </c>
      <c r="J12" s="91">
        <f>(( 0 + 'BRAWLERS OFICIAL'!J12)-'BRAWLERS OFICIAL'!J12)/$BQ12</f>
        <v>0</v>
      </c>
      <c r="K12" s="91">
        <f>(( 0 + 'BRAWLERS OFICIAL'!K12)-'BRAWLERS OFICIAL'!K12)/$BQ12</f>
        <v>0</v>
      </c>
      <c r="L12" s="91">
        <f>(( 0 + 'BRAWLERS OFICIAL'!L12)-'BRAWLERS OFICIAL'!L12)/$BQ12</f>
        <v>0</v>
      </c>
      <c r="M12" s="91">
        <f>(( 0 + 'BRAWLERS OFICIAL'!M12)-'BRAWLERS OFICIAL'!M12)/$BQ12</f>
        <v>0</v>
      </c>
      <c r="N12" s="91">
        <f>(( 0 + 'BRAWLERS OFICIAL'!N12)-'BRAWLERS OFICIAL'!N12)/$BQ12</f>
        <v>0</v>
      </c>
      <c r="O12" s="91">
        <f>(( 0 + 'BRAWLERS OFICIAL'!O12)-'BRAWLERS OFICIAL'!O12)/$BQ12</f>
        <v>0</v>
      </c>
      <c r="P12" s="91">
        <f>(( 0 + 'BRAWLERS OFICIAL'!P12)-'BRAWLERS OFICIAL'!P12)/$BQ12</f>
        <v>0</v>
      </c>
      <c r="Q12" s="91">
        <f>(( 'BRAWLERS OFICIAL'!Q12/20 + 'BRAWLERS OFICIAL'!Q12)-'BRAWLERS OFICIAL'!Q12)/$BQ12</f>
        <v>29.759999999999998</v>
      </c>
      <c r="R12" s="91">
        <f>(( 'BRAWLERS OFICIAL'!R12/20 + 'BRAWLERS OFICIAL'!R12)-'BRAWLERS OFICIAL'!R12)/$BQ12</f>
        <v>29.759999999999998</v>
      </c>
      <c r="S12" s="91">
        <f>(( 'BRAWLERS OFICIAL'!S12/20 + 'BRAWLERS OFICIAL'!S12)-'BRAWLERS OFICIAL'!S12)/$BQ12</f>
        <v>14.879999999999999</v>
      </c>
      <c r="T12" s="91">
        <f>(( 'BRAWLERS OFICIAL'!T12/20 + 'BRAWLERS OFICIAL'!T12)-'BRAWLERS OFICIAL'!T12)/$BQ12</f>
        <v>0</v>
      </c>
      <c r="U12" s="91">
        <f>(( 'BRAWLERS OFICIAL'!U12/20 + 'BRAWLERS OFICIAL'!U12)-'BRAWLERS OFICIAL'!U12)/$BQ12</f>
        <v>29.759999999999998</v>
      </c>
      <c r="V12" s="91">
        <f>(( 0 + 'BRAWLERS OFICIAL'!V12)-'BRAWLERS OFICIAL'!V12)/$BQ12</f>
        <v>0</v>
      </c>
      <c r="W12" s="91">
        <f>(( 0 + 'BRAWLERS OFICIAL'!W12)-'BRAWLERS OFICIAL'!W12)/$BQ12</f>
        <v>0</v>
      </c>
      <c r="X12" s="102">
        <f>(( ('BRAWLERS OFICIAL'!X12/20) + 'BRAWLERS OFICIAL'!X12 + AP12 + AY12/3.5 )-'BRAWLERS OFICIAL'!X12)/($BQ12)</f>
        <v>0.11657142857142858</v>
      </c>
      <c r="Y12" s="92">
        <f>((0 + 'BRAWLERS OFICIAL'!Y12)-'BRAWLERS OFICIAL'!Y12)/($BQ12)</f>
        <v>0</v>
      </c>
      <c r="Z12" s="92">
        <f>(((0)/3 + 'BRAWLERS OFICIAL'!Z12)-'BRAWLERS OFICIAL'!Z12)</f>
        <v>0</v>
      </c>
      <c r="AA12" s="92">
        <f>((2 + 'BRAWLERS OFICIAL'!AA12)-'BRAWLERS OFICIAL'!AA12)/($BQ12)</f>
        <v>0.48</v>
      </c>
      <c r="AB12" s="92">
        <f>((0 + 'BRAWLERS OFICIAL'!AB12)-'BRAWLERS OFICIAL'!AB12)</f>
        <v>0</v>
      </c>
      <c r="AC12" s="92">
        <f>(((0)/4 + 'BRAWLERS OFICIAL'!AC12)-'BRAWLERS OFICIAL'!AC12)/($BQ12)</f>
        <v>0</v>
      </c>
      <c r="AD12" s="92">
        <f>((0 + 'BRAWLERS OFICIAL'!AD12)-'BRAWLERS OFICIAL'!AD12)/($BQ12)</f>
        <v>0</v>
      </c>
      <c r="AE12" s="92">
        <f>((0 + 'BRAWLERS OFICIAL'!AE12)-'BRAWLERS OFICIAL'!AE12)/($BQ12)</f>
        <v>0</v>
      </c>
      <c r="AF12" s="92">
        <f>((0 + 'BRAWLERS OFICIAL'!AF12)-'BRAWLERS OFICIAL'!AF12)/($BQ12)</f>
        <v>0</v>
      </c>
      <c r="AG12" s="92">
        <f>((2 + 'BRAWLERS OFICIAL'!AG12)-'BRAWLERS OFICIAL'!AG12)/($BQ12)</f>
        <v>0.48</v>
      </c>
      <c r="AH12" s="92">
        <f>((1.5 + 'BRAWLERS OFICIAL'!AH12)-'BRAWLERS OFICIAL'!AH12)/($BQ12)</f>
        <v>0.36</v>
      </c>
      <c r="AI12" s="92">
        <f>((0 + 'BRAWLERS OFICIAL'!AI12)-'BRAWLERS OFICIAL'!AI12)/($BQ12)</f>
        <v>0</v>
      </c>
      <c r="AJ12" s="92">
        <f>(( ('BRAWLERS OFICIAL'!AJ12/5) + 'BRAWLERS OFICIAL'!AJ12)-'BRAWLERS OFICIAL'!AJ12)/($BQ12)</f>
        <v>0.28800000000000003</v>
      </c>
      <c r="AK12" s="92">
        <f>((0 + 'BRAWLERS OFICIAL'!AK12)-'BRAWLERS OFICIAL'!AK12)/($BQ12)</f>
        <v>0</v>
      </c>
      <c r="AL12" s="92">
        <f>(((BK12/5+1)*AK12 + 'BRAWLERS OFICIAL'!AL12)-'BRAWLERS OFICIAL'!AL12)/($BQ12)</f>
        <v>0</v>
      </c>
      <c r="AM12" s="92">
        <f>IF( 0 = (1-1), (1-1), ((0 + 'BRAWLERS OFICIAL'!AM12)/1.5)-'BRAWLERS OFICIAL'!AM12 )/($BQ12)</f>
        <v>0</v>
      </c>
      <c r="AN12" s="92">
        <f t="shared" si="0"/>
        <v>0</v>
      </c>
      <c r="AO12" s="92">
        <f>((0 + 'BRAWLERS OFICIAL'!AO12)-'BRAWLERS OFICIAL'!AO12)/($BQ12)</f>
        <v>0</v>
      </c>
      <c r="AP12" s="92">
        <f>((0/1000 + 'BRAWLERS OFICIAL'!AP12)-'BRAWLERS OFICIAL'!AP12)/($BQ12)</f>
        <v>0</v>
      </c>
      <c r="AQ12" s="92">
        <f>((0 + 'BRAWLERS OFICIAL'!AQ12)-'BRAWLERS OFICIAL'!AQ12)/($BQ12)</f>
        <v>0</v>
      </c>
      <c r="AR12" s="92">
        <f>IF( 0 = (1-1), (1-1), ((0 + 'BRAWLERS OFICIAL'!AR12)/1.5) )/($BQ12)</f>
        <v>0</v>
      </c>
      <c r="AS12" s="92">
        <f>IF( 0 = (1-1), (1-1), ((0 + 'BRAWLERS OFICIAL'!AS12)/1.5) )/($BQ12)</f>
        <v>0</v>
      </c>
      <c r="AT12" s="92">
        <f>IF( 0 = (1-1), (1-1), ((0 + 'BRAWLERS OFICIAL'!AT12)/2) )/($BQ12)</f>
        <v>0</v>
      </c>
      <c r="AU12" s="92">
        <f>((0 + 'BRAWLERS OFICIAL'!AU12)-'BRAWLERS OFICIAL'!AU12)/($BQ12)</f>
        <v>0</v>
      </c>
      <c r="AV12" s="92">
        <f>(((0)/4 + 'BRAWLERS OFICIAL'!AV12)-'BRAWLERS OFICIAL'!AV12)/($BQ12)</f>
        <v>0</v>
      </c>
      <c r="AW12" s="92">
        <v>0</v>
      </c>
      <c r="AX12" s="92" t="s">
        <v>390</v>
      </c>
      <c r="AY12" s="91">
        <f>((( 0 )/3 + 'BRAWLERS OFICIAL'!AY12)-'BRAWLERS OFICIAL'!AY12)</f>
        <v>0</v>
      </c>
      <c r="AZ12" s="91">
        <f>((( 0 )/2 + 'BRAWLERS OFICIAL'!AZ12)-'BRAWLERS OFICIAL'!AZ12)/($BQ12)</f>
        <v>0</v>
      </c>
      <c r="BA12" s="91">
        <f>((( 0 )/2 + 'BRAWLERS OFICIAL'!BA12)-'BRAWLERS OFICIAL'!BA12)</f>
        <v>0</v>
      </c>
      <c r="BB12" s="91">
        <f>((( 0 )/3 + 'BRAWLERS OFICIAL'!BB12)-'BRAWLERS OFICIAL'!BB12)</f>
        <v>0</v>
      </c>
      <c r="BC12" s="91">
        <f>((( 0 )/2 + 'BRAWLERS OFICIAL'!BC12)-'BRAWLERS OFICIAL'!BC12)/($BQ12)</f>
        <v>0</v>
      </c>
      <c r="BD12" s="91">
        <f>((( 0 )/3 + 'BRAWLERS OFICIAL'!BD12)-'BRAWLERS OFICIAL'!BD12)</f>
        <v>0</v>
      </c>
      <c r="BE12" s="91">
        <f>((( 0 )/3 + 'BRAWLERS OFICIAL'!BE12)-'BRAWLERS OFICIAL'!BE12)</f>
        <v>0</v>
      </c>
      <c r="BF12" s="91">
        <f>((0 + 'BRAWLERS OFICIAL'!BF12)-'BRAWLERS OFICIAL'!BF12)/($BQ12)</f>
        <v>0</v>
      </c>
      <c r="BG12" s="91">
        <f>((0 + 'BRAWLERS OFICIAL'!BG12)-'BRAWLERS OFICIAL'!BG12)/($BQ12)</f>
        <v>0</v>
      </c>
      <c r="BH12" s="91">
        <f>((( 0 )/2 + 'BRAWLERS OFICIAL'!BH12)-'BRAWLERS OFICIAL'!BH12)</f>
        <v>0</v>
      </c>
      <c r="BI12" s="91">
        <f>((0 + 'BRAWLERS OFICIAL'!BI12)-'BRAWLERS OFICIAL'!BI12)/($BQ12)</f>
        <v>0</v>
      </c>
      <c r="BJ12" s="91">
        <f>((( 0 )/2 + 'BRAWLERS OFICIAL'!BJ12)-'BRAWLERS OFICIAL'!BJ12)</f>
        <v>0</v>
      </c>
      <c r="BK12" s="91">
        <f>((( 0 )/3 + 'BRAWLERS OFICIAL'!BK12)-'BRAWLERS OFICIAL'!BK12)</f>
        <v>0</v>
      </c>
      <c r="BL12" s="91">
        <f>((( 0 )/2 + 'BRAWLERS OFICIAL'!BL12)-'BRAWLERS OFICIAL'!BL12)</f>
        <v>0</v>
      </c>
      <c r="BM12" s="91">
        <f>((0 + 'BRAWLERS OFICIAL'!BM12)-'BRAWLERS OFICIAL'!BM12)/($BQ12)</f>
        <v>0</v>
      </c>
      <c r="BN12" s="91">
        <f>((3 + 'BRAWLERS OFICIAL'!BN12)-'BRAWLERS OFICIAL'!BN12)/($BQ12)</f>
        <v>0.72</v>
      </c>
      <c r="BO12" s="91">
        <f>((0 + 'BRAWLERS OFICIAL'!BO12)-'BRAWLERS OFICIAL'!BO12)/($BQ12)</f>
        <v>0</v>
      </c>
      <c r="BQ12" s="100">
        <f>('BRAWLERS OFICIAL'!F12 / 'BRAWLERS OFICIAL'!J12 / (1 + ('BRAWLERS OFICIAL'!AA12/5)))*'BRAWLERS OFICIAL'!G12</f>
        <v>4.166666666666667</v>
      </c>
    </row>
    <row r="13" spans="1:69">
      <c r="B13" s="86" t="s">
        <v>499</v>
      </c>
      <c r="C13" s="87" t="s">
        <v>93</v>
      </c>
      <c r="D13" s="61" t="s">
        <v>384</v>
      </c>
      <c r="E13" s="61" t="s">
        <v>325</v>
      </c>
      <c r="F13" s="91">
        <f>(( 0 + 'BRAWLERS OFICIAL'!F13)-'BRAWLERS OFICIAL'!F13)/$BQ13</f>
        <v>0</v>
      </c>
      <c r="G13" s="91">
        <f>(( 0 + 'BRAWLERS OFICIAL'!G13)-'BRAWLERS OFICIAL'!G13)/$BQ13</f>
        <v>0</v>
      </c>
      <c r="H13" s="91">
        <f>(( ('BRAWLERS OFICIAL'!H13/20) + 'BRAWLERS OFICIAL'!H13)-'BRAWLERS OFICIAL'!H13)/$BQ13</f>
        <v>12</v>
      </c>
      <c r="I13" s="91">
        <f>(( 0 + 'BRAWLERS OFICIAL'!I13)-'BRAWLERS OFICIAL'!I13)/$BQ13</f>
        <v>0</v>
      </c>
      <c r="J13" s="91">
        <f>(( 0 + 'BRAWLERS OFICIAL'!J13)-'BRAWLERS OFICIAL'!J13)/$BQ13</f>
        <v>0</v>
      </c>
      <c r="K13" s="91">
        <f>(( 0 + 'BRAWLERS OFICIAL'!K13)-'BRAWLERS OFICIAL'!K13)/$BQ13</f>
        <v>0</v>
      </c>
      <c r="L13" s="91">
        <f>(( 0 + 'BRAWLERS OFICIAL'!L13)-'BRAWLERS OFICIAL'!L13)/$BQ13</f>
        <v>0</v>
      </c>
      <c r="M13" s="91">
        <f>(( 0 + 'BRAWLERS OFICIAL'!M13)-'BRAWLERS OFICIAL'!M13)/$BQ13</f>
        <v>0</v>
      </c>
      <c r="N13" s="91">
        <f>(( 0 + 'BRAWLERS OFICIAL'!N13)-'BRAWLERS OFICIAL'!N13)/$BQ13</f>
        <v>0</v>
      </c>
      <c r="O13" s="91">
        <f>(( 0 + 'BRAWLERS OFICIAL'!O13)-'BRAWLERS OFICIAL'!O13)/$BQ13</f>
        <v>0</v>
      </c>
      <c r="P13" s="91">
        <f>(( 0 + 'BRAWLERS OFICIAL'!P13)-'BRAWLERS OFICIAL'!P13)/$BQ13</f>
        <v>0</v>
      </c>
      <c r="Q13" s="91">
        <f>(( 'BRAWLERS OFICIAL'!Q13/20 + 'BRAWLERS OFICIAL'!Q13)-'BRAWLERS OFICIAL'!Q13)/$BQ13</f>
        <v>0</v>
      </c>
      <c r="R13" s="91">
        <f>(( 'BRAWLERS OFICIAL'!R13/20 + 'BRAWLERS OFICIAL'!R13)-'BRAWLERS OFICIAL'!R13)/$BQ13</f>
        <v>0</v>
      </c>
      <c r="S13" s="91">
        <f>(( 'BRAWLERS OFICIAL'!S13/20 + 'BRAWLERS OFICIAL'!S13)-'BRAWLERS OFICIAL'!S13)/$BQ13</f>
        <v>0</v>
      </c>
      <c r="T13" s="91">
        <f>(( 'BRAWLERS OFICIAL'!T13/20 + 'BRAWLERS OFICIAL'!T13)-'BRAWLERS OFICIAL'!T13)/$BQ13</f>
        <v>0</v>
      </c>
      <c r="U13" s="91">
        <f>(( 'BRAWLERS OFICIAL'!U13/20 + 'BRAWLERS OFICIAL'!U13)-'BRAWLERS OFICIAL'!U13)/$BQ13</f>
        <v>0</v>
      </c>
      <c r="V13" s="91">
        <f>(( 0 + 'BRAWLERS OFICIAL'!V13)-'BRAWLERS OFICIAL'!V13)/$BQ13</f>
        <v>0</v>
      </c>
      <c r="W13" s="91">
        <f>(( 0 + 'BRAWLERS OFICIAL'!W13)-'BRAWLERS OFICIAL'!W13)/$BQ13</f>
        <v>0</v>
      </c>
      <c r="X13" s="102">
        <f>(( ('BRAWLERS OFICIAL'!X13/20) + 'BRAWLERS OFICIAL'!X13 + AP13 + AY13/3.5 )-'BRAWLERS OFICIAL'!X13)/($BQ13)</f>
        <v>3.9047619047619025E-2</v>
      </c>
      <c r="Y13" s="92">
        <f>((0 + 'BRAWLERS OFICIAL'!Y13)-'BRAWLERS OFICIAL'!Y13)/($BQ13)</f>
        <v>0</v>
      </c>
      <c r="Z13" s="92">
        <f>(((1 + 2 + 3)/3 + 'BRAWLERS OFICIAL'!Z13)-'BRAWLERS OFICIAL'!Z13)</f>
        <v>2</v>
      </c>
      <c r="AA13" s="92">
        <f>((0 + 'BRAWLERS OFICIAL'!AA13)-'BRAWLERS OFICIAL'!AA13)/($BQ13)</f>
        <v>0</v>
      </c>
      <c r="AB13" s="92">
        <f>((0 + 'BRAWLERS OFICIAL'!AB13)-'BRAWLERS OFICIAL'!AB13)</f>
        <v>0</v>
      </c>
      <c r="AC13" s="92">
        <f>(((0)/4 + 'BRAWLERS OFICIAL'!AC13)-'BRAWLERS OFICIAL'!AC13)/($BQ13)</f>
        <v>0</v>
      </c>
      <c r="AD13" s="92">
        <f>((0 + 'BRAWLERS OFICIAL'!AD13)-'BRAWLERS OFICIAL'!AD13)/($BQ13)</f>
        <v>0</v>
      </c>
      <c r="AE13" s="92">
        <f>((0 + 'BRAWLERS OFICIAL'!AE13)-'BRAWLERS OFICIAL'!AE13)/($BQ13)</f>
        <v>0</v>
      </c>
      <c r="AF13" s="92">
        <f>((0 + 'BRAWLERS OFICIAL'!AF13)-'BRAWLERS OFICIAL'!AF13)/($BQ13)</f>
        <v>0</v>
      </c>
      <c r="AG13" s="92">
        <f>((0 + 'BRAWLERS OFICIAL'!AG13)-'BRAWLERS OFICIAL'!AG13)/($BQ13)</f>
        <v>0</v>
      </c>
      <c r="AH13" s="92">
        <f>((0 + 'BRAWLERS OFICIAL'!AH13)-'BRAWLERS OFICIAL'!AH13)/($BQ13)</f>
        <v>0</v>
      </c>
      <c r="AI13" s="92">
        <f>((0 + 'BRAWLERS OFICIAL'!AI13)-'BRAWLERS OFICIAL'!AI13)/($BQ13)</f>
        <v>0</v>
      </c>
      <c r="AJ13" s="92">
        <f>(( ('BRAWLERS OFICIAL'!AJ13/5) + 'BRAWLERS OFICIAL'!AJ13)-'BRAWLERS OFICIAL'!AJ13)/($BQ13)</f>
        <v>0.16000000000000003</v>
      </c>
      <c r="AK13" s="92">
        <f>((0 + 'BRAWLERS OFICIAL'!AK13)-'BRAWLERS OFICIAL'!AK13)/($BQ13)</f>
        <v>0</v>
      </c>
      <c r="AL13" s="92">
        <f>(((BK13/5+1)*AK13 + 'BRAWLERS OFICIAL'!AL13)-'BRAWLERS OFICIAL'!AL13)/($BQ13)</f>
        <v>0</v>
      </c>
      <c r="AM13" s="92">
        <f>IF( 0 = (1-1), (1-1), ((0 + 'BRAWLERS OFICIAL'!AM13)/1.5)-'BRAWLERS OFICIAL'!AM13 )/($BQ13)</f>
        <v>0</v>
      </c>
      <c r="AN13" s="92">
        <f t="shared" si="0"/>
        <v>0</v>
      </c>
      <c r="AO13" s="92">
        <f>((0 + 'BRAWLERS OFICIAL'!AO13)-'BRAWLERS OFICIAL'!AO13)/($BQ13)</f>
        <v>0</v>
      </c>
      <c r="AP13" s="92">
        <f>((0/1000 + 'BRAWLERS OFICIAL'!AP13)-'BRAWLERS OFICIAL'!AP13)/($BQ13)</f>
        <v>0</v>
      </c>
      <c r="AQ13" s="92">
        <f>((0 + 'BRAWLERS OFICIAL'!AQ13)-'BRAWLERS OFICIAL'!AQ13)/($BQ13)</f>
        <v>0</v>
      </c>
      <c r="AR13" s="92">
        <f>IF( 0 = (1-1), (1-1), ((0 + 'BRAWLERS OFICIAL'!AR13)/1.5) )/($BQ13)</f>
        <v>0</v>
      </c>
      <c r="AS13" s="92">
        <f>IF( 0 = (1-1), (1-1), ((0 + 'BRAWLERS OFICIAL'!AS13)/1.5) )/($BQ13)</f>
        <v>0</v>
      </c>
      <c r="AT13" s="92">
        <f>IF( 0 = (1-1), (1-1), ((0 + 'BRAWLERS OFICIAL'!AT13)/2) )/($BQ13)</f>
        <v>0</v>
      </c>
      <c r="AU13" s="92">
        <f>((0 + 'BRAWLERS OFICIAL'!AU13)-'BRAWLERS OFICIAL'!AU13)/($BQ13)</f>
        <v>0</v>
      </c>
      <c r="AV13" s="92">
        <f>(((0)/4 + 'BRAWLERS OFICIAL'!AV13)-'BRAWLERS OFICIAL'!AV13)/($BQ13)</f>
        <v>0</v>
      </c>
      <c r="AW13" s="92">
        <v>0</v>
      </c>
      <c r="AX13" s="92" t="s">
        <v>390</v>
      </c>
      <c r="AY13" s="91">
        <f>((( 0 )/3 + 'BRAWLERS OFICIAL'!AY13)-'BRAWLERS OFICIAL'!AY13)</f>
        <v>0</v>
      </c>
      <c r="AZ13" s="91">
        <f>((( 0 )/2 + 'BRAWLERS OFICIAL'!AZ13)-'BRAWLERS OFICIAL'!AZ13)/($BQ13)</f>
        <v>0</v>
      </c>
      <c r="BA13" s="91">
        <f>((( 0 )/2 + 'BRAWLERS OFICIAL'!BA13)-'BRAWLERS OFICIAL'!BA13)</f>
        <v>0</v>
      </c>
      <c r="BB13" s="91">
        <f>((( 0 )/3 + 'BRAWLERS OFICIAL'!BB13)-'BRAWLERS OFICIAL'!BB13)</f>
        <v>0</v>
      </c>
      <c r="BC13" s="91">
        <f>((( 10 + 0.5 )/2 + 'BRAWLERS OFICIAL'!BC13)-'BRAWLERS OFICIAL'!BC13)/($BQ13)</f>
        <v>0.7</v>
      </c>
      <c r="BD13" s="91">
        <f>((( 0 )/3 + 'BRAWLERS OFICIAL'!BD13)-'BRAWLERS OFICIAL'!BD13)</f>
        <v>0</v>
      </c>
      <c r="BE13" s="91">
        <f>((( 0 )/3 + 'BRAWLERS OFICIAL'!BE13)-'BRAWLERS OFICIAL'!BE13)</f>
        <v>0</v>
      </c>
      <c r="BF13" s="91">
        <f>((0 + 'BRAWLERS OFICIAL'!BF13)-'BRAWLERS OFICIAL'!BF13)/($BQ13)</f>
        <v>0</v>
      </c>
      <c r="BG13" s="91">
        <f>((0 + 'BRAWLERS OFICIAL'!BG13)-'BRAWLERS OFICIAL'!BG13)/($BQ13)</f>
        <v>0</v>
      </c>
      <c r="BH13" s="91">
        <f>((( 0 )/2 + 'BRAWLERS OFICIAL'!BH13)-'BRAWLERS OFICIAL'!BH13)</f>
        <v>0</v>
      </c>
      <c r="BI13" s="91">
        <f>((0 + 'BRAWLERS OFICIAL'!BI13)-'BRAWLERS OFICIAL'!BI13)/($BQ13)</f>
        <v>0</v>
      </c>
      <c r="BJ13" s="91">
        <f>((( 0 )/2 + 'BRAWLERS OFICIAL'!BJ13)-'BRAWLERS OFICIAL'!BJ13)</f>
        <v>0</v>
      </c>
      <c r="BK13" s="91">
        <f>((( 0 )/3 + 'BRAWLERS OFICIAL'!BK13)-'BRAWLERS OFICIAL'!BK13)</f>
        <v>0</v>
      </c>
      <c r="BL13" s="91">
        <f>((( 0 )/2 + 'BRAWLERS OFICIAL'!BL13)-'BRAWLERS OFICIAL'!BL13)</f>
        <v>0</v>
      </c>
      <c r="BM13" s="91">
        <f>((0 + 'BRAWLERS OFICIAL'!BM13)-'BRAWLERS OFICIAL'!BM13)/($BQ13)</f>
        <v>0</v>
      </c>
      <c r="BN13" s="91">
        <f>((0 + 'BRAWLERS OFICIAL'!BN13)-'BRAWLERS OFICIAL'!BN13)/($BQ13)</f>
        <v>0</v>
      </c>
      <c r="BO13" s="91">
        <f>((0 + 'BRAWLERS OFICIAL'!BO13)-'BRAWLERS OFICIAL'!BO13)/($BQ13)</f>
        <v>0</v>
      </c>
      <c r="BQ13" s="100">
        <f>('BRAWLERS OFICIAL'!F13 / 'BRAWLERS OFICIAL'!J13 / (1 + ('BRAWLERS OFICIAL'!AA13/5)))*'BRAWLERS OFICIAL'!G13</f>
        <v>7.5</v>
      </c>
    </row>
    <row r="14" spans="1:69">
      <c r="B14" s="86" t="s">
        <v>500</v>
      </c>
      <c r="C14" s="88" t="s">
        <v>53</v>
      </c>
      <c r="D14" s="73" t="s">
        <v>325</v>
      </c>
      <c r="E14" s="73" t="s">
        <v>363</v>
      </c>
      <c r="F14" s="91">
        <f>(( 0 + 'BRAWLERS OFICIAL'!F14)-'BRAWLERS OFICIAL'!F14)/$BQ14</f>
        <v>0</v>
      </c>
      <c r="G14" s="91">
        <f>(( 0 + 'BRAWLERS OFICIAL'!G14)-'BRAWLERS OFICIAL'!G14)/$BQ14</f>
        <v>0</v>
      </c>
      <c r="H14" s="91">
        <f>(( ('BRAWLERS OFICIAL'!H14/20) + 'BRAWLERS OFICIAL'!H14)-'BRAWLERS OFICIAL'!H14)/$BQ14</f>
        <v>34.72</v>
      </c>
      <c r="I14" s="91">
        <f>(( 0 + 'BRAWLERS OFICIAL'!I14)-'BRAWLERS OFICIAL'!I14)/$BQ14</f>
        <v>0</v>
      </c>
      <c r="J14" s="91">
        <f>(( 0 + 'BRAWLERS OFICIAL'!J14)-'BRAWLERS OFICIAL'!J14)/$BQ14</f>
        <v>0</v>
      </c>
      <c r="K14" s="91">
        <f>(( 0 + 'BRAWLERS OFICIAL'!K14)-'BRAWLERS OFICIAL'!K14)/$BQ14</f>
        <v>0</v>
      </c>
      <c r="L14" s="91">
        <f>(( 0 + 'BRAWLERS OFICIAL'!L14)-'BRAWLERS OFICIAL'!L14)/$BQ14</f>
        <v>0</v>
      </c>
      <c r="M14" s="91">
        <f>(( 0 + 'BRAWLERS OFICIAL'!M14)-'BRAWLERS OFICIAL'!M14)/$BQ14</f>
        <v>0</v>
      </c>
      <c r="N14" s="91">
        <f>(( 0 + 'BRAWLERS OFICIAL'!N14)-'BRAWLERS OFICIAL'!N14)/$BQ14</f>
        <v>0</v>
      </c>
      <c r="O14" s="91">
        <f>(( 0 + 'BRAWLERS OFICIAL'!O14)-'BRAWLERS OFICIAL'!O14)/$BQ14</f>
        <v>0</v>
      </c>
      <c r="P14" s="91">
        <f>(( 0 + 'BRAWLERS OFICIAL'!P14)-'BRAWLERS OFICIAL'!P14)/$BQ14</f>
        <v>0</v>
      </c>
      <c r="Q14" s="91">
        <f>(( 'BRAWLERS OFICIAL'!Q14/20 + 'BRAWLERS OFICIAL'!Q14)-'BRAWLERS OFICIAL'!Q14)/$BQ14</f>
        <v>0</v>
      </c>
      <c r="R14" s="91">
        <f>(( 'BRAWLERS OFICIAL'!R14/20 + 'BRAWLERS OFICIAL'!R14)-'BRAWLERS OFICIAL'!R14)/$BQ14</f>
        <v>0</v>
      </c>
      <c r="S14" s="91">
        <f>(( 'BRAWLERS OFICIAL'!S14/20 + 'BRAWLERS OFICIAL'!S14)-'BRAWLERS OFICIAL'!S14)/$BQ14</f>
        <v>0</v>
      </c>
      <c r="T14" s="91">
        <f>(( 'BRAWLERS OFICIAL'!T14/20 + 'BRAWLERS OFICIAL'!T14)-'BRAWLERS OFICIAL'!T14)/$BQ14</f>
        <v>0</v>
      </c>
      <c r="U14" s="91">
        <f>(( 'BRAWLERS OFICIAL'!U14/20 + 'BRAWLERS OFICIAL'!U14)-'BRAWLERS OFICIAL'!U14)/$BQ14</f>
        <v>0</v>
      </c>
      <c r="V14" s="91">
        <f>(( 0 + 'BRAWLERS OFICIAL'!V14)-'BRAWLERS OFICIAL'!V14)/$BQ14</f>
        <v>0</v>
      </c>
      <c r="W14" s="91">
        <f>(( 0 + 'BRAWLERS OFICIAL'!W14)-'BRAWLERS OFICIAL'!W14)/$BQ14</f>
        <v>0</v>
      </c>
      <c r="X14" s="102">
        <f>(( ('BRAWLERS OFICIAL'!X14/20) + 'BRAWLERS OFICIAL'!X14 + AP14 + AY14/3.5 )-'BRAWLERS OFICIAL'!X14)/($BQ14)</f>
        <v>9.9999999999999895E-2</v>
      </c>
      <c r="Y14" s="92">
        <f>((0 + 'BRAWLERS OFICIAL'!Y14)-'BRAWLERS OFICIAL'!Y14)/($BQ14)</f>
        <v>0</v>
      </c>
      <c r="Z14" s="92">
        <f>(((0)/3 + 'BRAWLERS OFICIAL'!Z14)-'BRAWLERS OFICIAL'!Z14)</f>
        <v>0</v>
      </c>
      <c r="AA14" s="92">
        <f>((0 + 'BRAWLERS OFICIAL'!AA14)-'BRAWLERS OFICIAL'!AA14)/($BQ14)</f>
        <v>0</v>
      </c>
      <c r="AB14" s="92">
        <f>((0 + 'BRAWLERS OFICIAL'!AB14)-'BRAWLERS OFICIAL'!AB14)</f>
        <v>0</v>
      </c>
      <c r="AC14" s="92">
        <f>(((0)/4 + 'BRAWLERS OFICIAL'!AC14)-'BRAWLERS OFICIAL'!AC14)/($BQ14)</f>
        <v>0</v>
      </c>
      <c r="AD14" s="92">
        <f>((0 + 'BRAWLERS OFICIAL'!AD14)-'BRAWLERS OFICIAL'!AD14)/($BQ14)</f>
        <v>0</v>
      </c>
      <c r="AE14" s="92">
        <f>((0 + 'BRAWLERS OFICIAL'!AE14)-'BRAWLERS OFICIAL'!AE14)/($BQ14)</f>
        <v>0</v>
      </c>
      <c r="AF14" s="92">
        <f>((0 + 'BRAWLERS OFICIAL'!AF14)-'BRAWLERS OFICIAL'!AF14)/($BQ14)</f>
        <v>0</v>
      </c>
      <c r="AG14" s="92">
        <f>((0 + 'BRAWLERS OFICIAL'!AG14)-'BRAWLERS OFICIAL'!AG14)/($BQ14)</f>
        <v>0</v>
      </c>
      <c r="AH14" s="92">
        <f>((0 + 'BRAWLERS OFICIAL'!AH14)-'BRAWLERS OFICIAL'!AH14)/($BQ14)</f>
        <v>0</v>
      </c>
      <c r="AI14" s="92">
        <f>((0 + 'BRAWLERS OFICIAL'!AI14)-'BRAWLERS OFICIAL'!AI14)/($BQ14)</f>
        <v>0</v>
      </c>
      <c r="AJ14" s="92">
        <f>(( ('BRAWLERS OFICIAL'!AJ14/5) + 'BRAWLERS OFICIAL'!AJ14)-'BRAWLERS OFICIAL'!AJ14)/($BQ14)</f>
        <v>0.33600000000000002</v>
      </c>
      <c r="AK14" s="92">
        <f>((0 + 'BRAWLERS OFICIAL'!AK14)-'BRAWLERS OFICIAL'!AK14)/($BQ14)</f>
        <v>0</v>
      </c>
      <c r="AL14" s="92">
        <f>(((BK14/5+1)*AK14 + 'BRAWLERS OFICIAL'!AL14)-'BRAWLERS OFICIAL'!AL14)/($BQ14)</f>
        <v>0</v>
      </c>
      <c r="AM14" s="92">
        <f>IF( 0 = (1-1), (1-1), ((0 + 'BRAWLERS OFICIAL'!AM14)/1.5)-'BRAWLERS OFICIAL'!AM14 )/($BQ14)</f>
        <v>0</v>
      </c>
      <c r="AN14" s="92">
        <f t="shared" si="0"/>
        <v>0</v>
      </c>
      <c r="AO14" s="92">
        <f>((0 + 'BRAWLERS OFICIAL'!AO14)-'BRAWLERS OFICIAL'!AO14)/($BQ14)</f>
        <v>0</v>
      </c>
      <c r="AP14" s="92">
        <f>((0/1000 + 'BRAWLERS OFICIAL'!AP14)-'BRAWLERS OFICIAL'!AP14)/($BQ14)</f>
        <v>0</v>
      </c>
      <c r="AQ14" s="92">
        <f>((0 + 'BRAWLERS OFICIAL'!AQ14)-'BRAWLERS OFICIAL'!AQ14)/($BQ14)</f>
        <v>0</v>
      </c>
      <c r="AR14" s="92">
        <f>IF( 0 = (1-1), (1-1), ((0 + 'BRAWLERS OFICIAL'!AR14)/1.5) )/($BQ14)</f>
        <v>0</v>
      </c>
      <c r="AS14" s="92">
        <f>IF( 0 = (1-1), (1-1), ((0 + 'BRAWLERS OFICIAL'!AS14)/1.5) )/($BQ14)</f>
        <v>0</v>
      </c>
      <c r="AT14" s="92">
        <f>IF( 0 = (1-1), (1-1), ((0 + 'BRAWLERS OFICIAL'!AT14)/2) )/($BQ14)</f>
        <v>0</v>
      </c>
      <c r="AU14" s="92">
        <f>((0 + 'BRAWLERS OFICIAL'!AU14)-'BRAWLERS OFICIAL'!AU14)/($BQ14)</f>
        <v>0</v>
      </c>
      <c r="AV14" s="92">
        <f>(((0)/4 + 'BRAWLERS OFICIAL'!AV14)-'BRAWLERS OFICIAL'!AV14)/($BQ14)</f>
        <v>0</v>
      </c>
      <c r="AW14" s="92">
        <v>0</v>
      </c>
      <c r="AX14" s="92" t="s">
        <v>390</v>
      </c>
      <c r="AY14" s="91">
        <f>((( 0 )/3 + 'BRAWLERS OFICIAL'!AY14)-'BRAWLERS OFICIAL'!AY14)</f>
        <v>0</v>
      </c>
      <c r="AZ14" s="91">
        <f>((( 0 )/2 + 'BRAWLERS OFICIAL'!AZ14)-'BRAWLERS OFICIAL'!AZ14)/($BQ14)</f>
        <v>0</v>
      </c>
      <c r="BA14" s="91">
        <f>((( 0 )/2 + 'BRAWLERS OFICIAL'!BA14)-'BRAWLERS OFICIAL'!BA14)</f>
        <v>0</v>
      </c>
      <c r="BB14" s="91">
        <f>((( 0 )/3 + 'BRAWLERS OFICIAL'!BB14)-'BRAWLERS OFICIAL'!BB14)</f>
        <v>0</v>
      </c>
      <c r="BC14" s="91">
        <f>((( 0 )/2 + 'BRAWLERS OFICIAL'!BC14)-'BRAWLERS OFICIAL'!BC14)/($BQ14)</f>
        <v>0</v>
      </c>
      <c r="BD14" s="91">
        <f>((( 0 )/3 + 'BRAWLERS OFICIAL'!BD14)-'BRAWLERS OFICIAL'!BD14)</f>
        <v>0</v>
      </c>
      <c r="BE14" s="91">
        <f>((( 0 )/3 + 'BRAWLERS OFICIAL'!BE14)-'BRAWLERS OFICIAL'!BE14)</f>
        <v>0</v>
      </c>
      <c r="BF14" s="91">
        <f>((0 + 'BRAWLERS OFICIAL'!BF14)-'BRAWLERS OFICIAL'!BF14)/($BQ14)</f>
        <v>0</v>
      </c>
      <c r="BG14" s="91">
        <f>((0 + 'BRAWLERS OFICIAL'!BG14)-'BRAWLERS OFICIAL'!BG14)/($BQ14)</f>
        <v>0</v>
      </c>
      <c r="BH14" s="91">
        <f>((( 0 )/2 + 'BRAWLERS OFICIAL'!BH14)-'BRAWLERS OFICIAL'!BH14)</f>
        <v>0</v>
      </c>
      <c r="BI14" s="91">
        <f>((0 + 'BRAWLERS OFICIAL'!BI14)-'BRAWLERS OFICIAL'!BI14)/($BQ14)</f>
        <v>0</v>
      </c>
      <c r="BJ14" s="91">
        <f>((( 0 )/2 + 'BRAWLERS OFICIAL'!BJ14)-'BRAWLERS OFICIAL'!BJ14)</f>
        <v>0</v>
      </c>
      <c r="BK14" s="91">
        <f>((( 1 + 5 + 3 )/3)-'BRAWLERS OFICIAL'!BK14)</f>
        <v>3</v>
      </c>
      <c r="BL14" s="91">
        <f>((( 0 )/2 + 'BRAWLERS OFICIAL'!BL14)-'BRAWLERS OFICIAL'!BL14)</f>
        <v>0</v>
      </c>
      <c r="BM14" s="91">
        <f>((0 + 'BRAWLERS OFICIAL'!BM14)-'BRAWLERS OFICIAL'!BM14)/($BQ14)</f>
        <v>0</v>
      </c>
      <c r="BN14" s="91">
        <f>((0 + 'BRAWLERS OFICIAL'!BN14)-'BRAWLERS OFICIAL'!BN14)/($BQ14)</f>
        <v>0</v>
      </c>
      <c r="BO14" s="91">
        <f>((0 + 'BRAWLERS OFICIAL'!BO14)-'BRAWLERS OFICIAL'!BO14)/($BQ14)</f>
        <v>0</v>
      </c>
      <c r="BQ14" s="100">
        <f>('BRAWLERS OFICIAL'!F14 / 'BRAWLERS OFICIAL'!J14 / (1 + ('BRAWLERS OFICIAL'!AA14/5)))*'BRAWLERS OFICIAL'!G14</f>
        <v>3.5714285714285716</v>
      </c>
    </row>
    <row r="15" spans="1:69">
      <c r="B15" s="86" t="s">
        <v>501</v>
      </c>
      <c r="C15" s="88" t="s">
        <v>84</v>
      </c>
      <c r="D15" s="73" t="s">
        <v>386</v>
      </c>
      <c r="E15" s="73" t="s">
        <v>383</v>
      </c>
      <c r="F15" s="91">
        <f>(( 0 + 'BRAWLERS OFICIAL'!F15)-'BRAWLERS OFICIAL'!F15)/$BQ15</f>
        <v>0</v>
      </c>
      <c r="G15" s="91">
        <f>(( 0 + 'BRAWLERS OFICIAL'!G15)-'BRAWLERS OFICIAL'!G15)/$BQ15</f>
        <v>0</v>
      </c>
      <c r="H15" s="91">
        <f>(( ('BRAWLERS OFICIAL'!H15/20) + 'BRAWLERS OFICIAL'!H15)-'BRAWLERS OFICIAL'!H15)/$BQ15</f>
        <v>7.3499999999999988</v>
      </c>
      <c r="I15" s="91">
        <f>(( 0 + 'BRAWLERS OFICIAL'!I15)-'BRAWLERS OFICIAL'!I15)/$BQ15</f>
        <v>0</v>
      </c>
      <c r="J15" s="91">
        <f>(( 0 + 'BRAWLERS OFICIAL'!J15)-'BRAWLERS OFICIAL'!J15)/$BQ15</f>
        <v>0</v>
      </c>
      <c r="K15" s="91">
        <f>(( 0 + 'BRAWLERS OFICIAL'!K15)-'BRAWLERS OFICIAL'!K15)/$BQ15</f>
        <v>0</v>
      </c>
      <c r="L15" s="91">
        <f>(( 0 + 'BRAWLERS OFICIAL'!L15)-'BRAWLERS OFICIAL'!L15)/$BQ15</f>
        <v>0</v>
      </c>
      <c r="M15" s="91">
        <f>(( 0 + 'BRAWLERS OFICIAL'!M15)-'BRAWLERS OFICIAL'!M15)/$BQ15</f>
        <v>0</v>
      </c>
      <c r="N15" s="91">
        <f>(( 0 + 'BRAWLERS OFICIAL'!N15)-'BRAWLERS OFICIAL'!N15)/$BQ15</f>
        <v>0</v>
      </c>
      <c r="O15" s="91">
        <f>(( 0 + 'BRAWLERS OFICIAL'!O15)-'BRAWLERS OFICIAL'!O15)/$BQ15</f>
        <v>0</v>
      </c>
      <c r="P15" s="91">
        <f>(( 0 + 'BRAWLERS OFICIAL'!P15)-'BRAWLERS OFICIAL'!P15)/$BQ15</f>
        <v>0</v>
      </c>
      <c r="Q15" s="91">
        <f>(( 'BRAWLERS OFICIAL'!Q15 + 'BRAWLERS OFICIAL'!Q15)-'BRAWLERS OFICIAL'!Q15)/$BQ15</f>
        <v>89.999999999999986</v>
      </c>
      <c r="R15" s="91">
        <f>(( 'BRAWLERS OFICIAL'!R15 + 'BRAWLERS OFICIAL'!R15)-'BRAWLERS OFICIAL'!R15)/$BQ15</f>
        <v>89.999999999999986</v>
      </c>
      <c r="S15" s="91">
        <f>(( 'BRAWLERS OFICIAL'!S15 + 'BRAWLERS OFICIAL'!S15)-'BRAWLERS OFICIAL'!S15)/$BQ15</f>
        <v>179.99999999999997</v>
      </c>
      <c r="T15" s="91">
        <f>(( 'BRAWLERS OFICIAL'!T15 + 'BRAWLERS OFICIAL'!T15)-'BRAWLERS OFICIAL'!T15)/$BQ15</f>
        <v>179.99999999999997</v>
      </c>
      <c r="U15" s="91">
        <f>(( 'BRAWLERS OFICIAL'!U15 + 'BRAWLERS OFICIAL'!U15)-'BRAWLERS OFICIAL'!U15)/$BQ15</f>
        <v>539.99999999999989</v>
      </c>
      <c r="V15" s="91">
        <f>(( 0 + 'BRAWLERS OFICIAL'!V15)-'BRAWLERS OFICIAL'!V15)/$BQ15</f>
        <v>0</v>
      </c>
      <c r="W15" s="91">
        <f>(( 0 + 'BRAWLERS OFICIAL'!W15)-'BRAWLERS OFICIAL'!W15)/$BQ15</f>
        <v>0</v>
      </c>
      <c r="X15" s="102">
        <f>(( ('BRAWLERS OFICIAL'!X15/20) + 'BRAWLERS OFICIAL'!X15 + AP15 + AY15/3.5 )-'BRAWLERS OFICIAL'!X15)/($BQ15)</f>
        <v>1.8749999999999996E-2</v>
      </c>
      <c r="Y15" s="92">
        <f>((0 + 'BRAWLERS OFICIAL'!Y15)-'BRAWLERS OFICIAL'!Y15)/($BQ15)</f>
        <v>0</v>
      </c>
      <c r="Z15" s="92">
        <f>(((0)/3 + 'BRAWLERS OFICIAL'!Z15)-'BRAWLERS OFICIAL'!Z15)</f>
        <v>0</v>
      </c>
      <c r="AA15" s="92">
        <f>((0 + 'BRAWLERS OFICIAL'!AA15)-'BRAWLERS OFICIAL'!AA15)/($BQ15)</f>
        <v>0</v>
      </c>
      <c r="AB15" s="92">
        <f>((0 + 'BRAWLERS OFICIAL'!AB15)-'BRAWLERS OFICIAL'!AB15)</f>
        <v>0</v>
      </c>
      <c r="AC15" s="92">
        <f>(((0)/4 + 'BRAWLERS OFICIAL'!AC15)-'BRAWLERS OFICIAL'!AC15)/($BQ15)</f>
        <v>0</v>
      </c>
      <c r="AD15" s="92">
        <f>((0 + 'BRAWLERS OFICIAL'!AD15)-'BRAWLERS OFICIAL'!AD15)/($BQ15)</f>
        <v>0</v>
      </c>
      <c r="AE15" s="92">
        <f>((0 + 'BRAWLERS OFICIAL'!AE15)-'BRAWLERS OFICIAL'!AE15)/($BQ15)</f>
        <v>0</v>
      </c>
      <c r="AF15" s="92">
        <f>((0 + 'BRAWLERS OFICIAL'!AF15)-'BRAWLERS OFICIAL'!AF15)/($BQ15)</f>
        <v>0</v>
      </c>
      <c r="AG15" s="92">
        <f>((0 + 'BRAWLERS OFICIAL'!AG15)-'BRAWLERS OFICIAL'!AG15)/($BQ15)</f>
        <v>0</v>
      </c>
      <c r="AH15" s="92">
        <f>((0 + 'BRAWLERS OFICIAL'!AH15)-'BRAWLERS OFICIAL'!AH15)/($BQ15)</f>
        <v>0</v>
      </c>
      <c r="AI15" s="92">
        <f>((0 + 'BRAWLERS OFICIAL'!AI15)-'BRAWLERS OFICIAL'!AI15)/($BQ15)</f>
        <v>0</v>
      </c>
      <c r="AJ15" s="92">
        <f>(( ('BRAWLERS OFICIAL'!AJ15/5) + 'BRAWLERS OFICIAL'!AJ15)-'BRAWLERS OFICIAL'!AJ15)/($BQ15)</f>
        <v>7.4999999999999983E-2</v>
      </c>
      <c r="AK15" s="92">
        <f>((0 + 'BRAWLERS OFICIAL'!AK15)-'BRAWLERS OFICIAL'!AK15)/($BQ15)</f>
        <v>0</v>
      </c>
      <c r="AL15" s="92">
        <f>(((BK15/5+1)*AK15 + 'BRAWLERS OFICIAL'!AL15)-'BRAWLERS OFICIAL'!AL15)/($BQ15)</f>
        <v>0</v>
      </c>
      <c r="AM15" s="92">
        <f>IF( 0 = (1-1), (1-1), ((0 + 'BRAWLERS OFICIAL'!AM15)/1.5)-'BRAWLERS OFICIAL'!AM15 )/($BQ15)</f>
        <v>0</v>
      </c>
      <c r="AN15" s="92">
        <f t="shared" si="0"/>
        <v>0</v>
      </c>
      <c r="AO15" s="92">
        <f>((0 + 'BRAWLERS OFICIAL'!AO15)-'BRAWLERS OFICIAL'!AO15)/($BQ15)</f>
        <v>0</v>
      </c>
      <c r="AP15" s="92">
        <f>((0/1000 + 'BRAWLERS OFICIAL'!AP15)-'BRAWLERS OFICIAL'!AP15)/($BQ15)</f>
        <v>0</v>
      </c>
      <c r="AQ15" s="92">
        <f>((0 + 'BRAWLERS OFICIAL'!AQ15)-'BRAWLERS OFICIAL'!AQ15)/($BQ15)</f>
        <v>0</v>
      </c>
      <c r="AR15" s="92">
        <f>IF( 0 = (1-1), (1-1), ((0 + 'BRAWLERS OFICIAL'!AR15)/1.5) )/($BQ15)</f>
        <v>0</v>
      </c>
      <c r="AS15" s="92">
        <f>IF( 0 = (1-1), (1-1), ((0 + 'BRAWLERS OFICIAL'!AS15)/1.5) )/($BQ15)</f>
        <v>0</v>
      </c>
      <c r="AT15" s="92">
        <f>IF( 0 = (1-1), (1-1), ((0 + 'BRAWLERS OFICIAL'!AT15)/2) )/($BQ15)</f>
        <v>0</v>
      </c>
      <c r="AU15" s="92">
        <f>((0 + 'BRAWLERS OFICIAL'!AU15)-'BRAWLERS OFICIAL'!AU15)/($BQ15)</f>
        <v>0</v>
      </c>
      <c r="AV15" s="92">
        <f>(((0)/4 + 'BRAWLERS OFICIAL'!AV15)-'BRAWLERS OFICIAL'!AV15)/($BQ15)</f>
        <v>0</v>
      </c>
      <c r="AW15" s="92">
        <v>0</v>
      </c>
      <c r="AX15" s="92" t="s">
        <v>390</v>
      </c>
      <c r="AY15" s="91">
        <f>((( 0 )/3 + 'BRAWLERS OFICIAL'!AY15)-'BRAWLERS OFICIAL'!AY15)</f>
        <v>0</v>
      </c>
      <c r="AZ15" s="91">
        <f>((( 0 )/2 + 'BRAWLERS OFICIAL'!AZ15)-'BRAWLERS OFICIAL'!AZ15)/($BQ15)</f>
        <v>0</v>
      </c>
      <c r="BA15" s="91">
        <f>((( 0 )/2 + 'BRAWLERS OFICIAL'!BA15)-'BRAWLERS OFICIAL'!BA15)</f>
        <v>0</v>
      </c>
      <c r="BB15" s="91">
        <f>((( 0 )/3 + 'BRAWLERS OFICIAL'!BB15)-'BRAWLERS OFICIAL'!BB15)</f>
        <v>0</v>
      </c>
      <c r="BC15" s="91">
        <f>((( 0 )/2 + 'BRAWLERS OFICIAL'!BC15)-'BRAWLERS OFICIAL'!BC15)/($BQ15)</f>
        <v>0</v>
      </c>
      <c r="BD15" s="91">
        <f>((( 0 )/3 + 'BRAWLERS OFICIAL'!BD15)-'BRAWLERS OFICIAL'!BD15)</f>
        <v>0</v>
      </c>
      <c r="BE15" s="91">
        <f>((( 0 )/3 + 'BRAWLERS OFICIAL'!BE15)-'BRAWLERS OFICIAL'!BE15)</f>
        <v>0</v>
      </c>
      <c r="BF15" s="91">
        <f>((0 + 'BRAWLERS OFICIAL'!BF15)-'BRAWLERS OFICIAL'!BF15)/($BQ15)</f>
        <v>0</v>
      </c>
      <c r="BG15" s="91">
        <f>((0 + 'BRAWLERS OFICIAL'!BG15)-'BRAWLERS OFICIAL'!BG15)/($BQ15)</f>
        <v>0</v>
      </c>
      <c r="BH15" s="91">
        <f>((( 0 )/2 + 'BRAWLERS OFICIAL'!BH15)-'BRAWLERS OFICIAL'!BH15)</f>
        <v>0</v>
      </c>
      <c r="BI15" s="91">
        <f>((0 + 'BRAWLERS OFICIAL'!BI15)-'BRAWLERS OFICIAL'!BI15)/($BQ15)</f>
        <v>0</v>
      </c>
      <c r="BJ15" s="91">
        <f>((( 0 )/2 + 'BRAWLERS OFICIAL'!BJ15)-'BRAWLERS OFICIAL'!BJ15)</f>
        <v>0</v>
      </c>
      <c r="BK15" s="91">
        <f>((( 0 )/3 + 'BRAWLERS OFICIAL'!BK15)-'BRAWLERS OFICIAL'!BK15)</f>
        <v>0</v>
      </c>
      <c r="BL15" s="91">
        <f>((( 0 )/2 + 'BRAWLERS OFICIAL'!BL15)-'BRAWLERS OFICIAL'!BL15)</f>
        <v>0</v>
      </c>
      <c r="BM15" s="91">
        <f>((0 + 'BRAWLERS OFICIAL'!BM15)-'BRAWLERS OFICIAL'!BM15)/($BQ15)</f>
        <v>0</v>
      </c>
      <c r="BN15" s="91">
        <f>((0 + 'BRAWLERS OFICIAL'!BN15)-'BRAWLERS OFICIAL'!BN15)/($BQ15)</f>
        <v>0</v>
      </c>
      <c r="BO15" s="91">
        <f>((0 + 'BRAWLERS OFICIAL'!BO15)-'BRAWLERS OFICIAL'!BO15)/($BQ15)</f>
        <v>0</v>
      </c>
      <c r="BQ15" s="100">
        <f>('BRAWLERS OFICIAL'!F15 / 'BRAWLERS OFICIAL'!J15 / (1 + ('BRAWLERS OFICIAL'!AA15/5)))*'BRAWLERS OFICIAL'!G15</f>
        <v>13.333333333333336</v>
      </c>
    </row>
    <row r="16" spans="1:69">
      <c r="B16" s="86" t="s">
        <v>502</v>
      </c>
      <c r="C16" s="87" t="s">
        <v>77</v>
      </c>
      <c r="D16" s="61" t="s">
        <v>383</v>
      </c>
      <c r="E16" s="61" t="s">
        <v>384</v>
      </c>
      <c r="F16" s="91">
        <f>(( 0 + 'BRAWLERS OFICIAL'!F16)-'BRAWLERS OFICIAL'!F16)/$BQ16</f>
        <v>0</v>
      </c>
      <c r="G16" s="91">
        <f>(( 0 + 'BRAWLERS OFICIAL'!G16)-'BRAWLERS OFICIAL'!G16)/$BQ16</f>
        <v>0</v>
      </c>
      <c r="H16" s="91">
        <f>(( ('BRAWLERS OFICIAL'!H16/20 + 'BRAWLERS OFICIAL'!H16/2) + 'BRAWLERS OFICIAL'!H16)-'BRAWLERS OFICIAL'!H16)/$BQ16</f>
        <v>82.499999999999986</v>
      </c>
      <c r="I16" s="91">
        <f>(( 0 + 'BRAWLERS OFICIAL'!I16)-'BRAWLERS OFICIAL'!I16)/$BQ16</f>
        <v>0</v>
      </c>
      <c r="J16" s="91">
        <f>(( 0 + 'BRAWLERS OFICIAL'!J16)-'BRAWLERS OFICIAL'!J16)/$BQ16</f>
        <v>0</v>
      </c>
      <c r="K16" s="91">
        <f>(( 0 + 'BRAWLERS OFICIAL'!K16)-'BRAWLERS OFICIAL'!K16)/$BQ16</f>
        <v>0</v>
      </c>
      <c r="L16" s="91">
        <f>(( 0 + 'BRAWLERS OFICIAL'!L16)-'BRAWLERS OFICIAL'!L16)/$BQ16</f>
        <v>0</v>
      </c>
      <c r="M16" s="91">
        <f>(( 0 + 'BRAWLERS OFICIAL'!M16)-'BRAWLERS OFICIAL'!M16)/$BQ16</f>
        <v>0</v>
      </c>
      <c r="N16" s="91">
        <f>(( 0 + 'BRAWLERS OFICIAL'!N16)-'BRAWLERS OFICIAL'!N16)/$BQ16</f>
        <v>0</v>
      </c>
      <c r="O16" s="91">
        <f>(( 0 + 'BRAWLERS OFICIAL'!O16)-'BRAWLERS OFICIAL'!O16)/$BQ16</f>
        <v>0</v>
      </c>
      <c r="P16" s="91">
        <f>(( 0 + 'BRAWLERS OFICIAL'!P16)-'BRAWLERS OFICIAL'!P16)/$BQ16</f>
        <v>0</v>
      </c>
      <c r="Q16" s="91">
        <f>(( 'BRAWLERS OFICIAL'!Q16 + 'BRAWLERS OFICIAL'!Q16/20 + 'BRAWLERS OFICIAL'!Q16)-'BRAWLERS OFICIAL'!Q16)/$BQ16</f>
        <v>141.74999999999997</v>
      </c>
      <c r="R16" s="91">
        <f>(( 'BRAWLERS OFICIAL'!R16 + 'BRAWLERS OFICIAL'!R16/20 + 'BRAWLERS OFICIAL'!R16)-'BRAWLERS OFICIAL'!R16)/$BQ16</f>
        <v>141.74999999999997</v>
      </c>
      <c r="S16" s="91">
        <f>(( 'BRAWLERS OFICIAL'!S16 + 'BRAWLERS OFICIAL'!S16/20 + 'BRAWLERS OFICIAL'!S16)-'BRAWLERS OFICIAL'!S16)/$BQ16</f>
        <v>141.74999999999997</v>
      </c>
      <c r="T16" s="91">
        <f>(( 'BRAWLERS OFICIAL'!T16 + 'BRAWLERS OFICIAL'!T16/20 + 'BRAWLERS OFICIAL'!T16)-'BRAWLERS OFICIAL'!T16)/$BQ16</f>
        <v>141.74999999999997</v>
      </c>
      <c r="U16" s="91">
        <f>(( 'BRAWLERS OFICIAL'!U16 + 'BRAWLERS OFICIAL'!U16/20 + 'BRAWLERS OFICIAL'!U16)-'BRAWLERS OFICIAL'!U16)/$BQ16</f>
        <v>141.74999999999997</v>
      </c>
      <c r="V16" s="91">
        <f>(( 0 + 'BRAWLERS OFICIAL'!V16)-'BRAWLERS OFICIAL'!V16)/$BQ16</f>
        <v>0</v>
      </c>
      <c r="W16" s="91">
        <f>(( 0 + 'BRAWLERS OFICIAL'!W16)-'BRAWLERS OFICIAL'!W16)/$BQ16</f>
        <v>0</v>
      </c>
      <c r="X16" s="102">
        <f>(( ('BRAWLERS OFICIAL'!X16/20) + 'BRAWLERS OFICIAL'!X16 + AP16 + AY16/3.5 )-'BRAWLERS OFICIAL'!X16)/($BQ16)</f>
        <v>2.7500000000000031E-2</v>
      </c>
      <c r="Y16" s="92">
        <f>((0 + 'BRAWLERS OFICIAL'!Y16)-'BRAWLERS OFICIAL'!Y16)/($BQ16)</f>
        <v>0</v>
      </c>
      <c r="Z16" s="92">
        <f>(((0)/3 + 'BRAWLERS OFICIAL'!Z16)-'BRAWLERS OFICIAL'!Z16)</f>
        <v>0</v>
      </c>
      <c r="AA16" s="92">
        <f>((0 + 'BRAWLERS OFICIAL'!AA16)-'BRAWLERS OFICIAL'!AA16)/($BQ16)</f>
        <v>0</v>
      </c>
      <c r="AB16" s="92">
        <f>((0 + 'BRAWLERS OFICIAL'!AB16)-'BRAWLERS OFICIAL'!AB16)</f>
        <v>0</v>
      </c>
      <c r="AC16" s="92">
        <f>(((0)/4 + 'BRAWLERS OFICIAL'!AC16)-'BRAWLERS OFICIAL'!AC16)/($BQ16)</f>
        <v>0</v>
      </c>
      <c r="AD16" s="92">
        <f>((0 + 'BRAWLERS OFICIAL'!AD16)-'BRAWLERS OFICIAL'!AD16)/($BQ16)</f>
        <v>0</v>
      </c>
      <c r="AE16" s="92">
        <f>((0 + 'BRAWLERS OFICIAL'!AE16)-'BRAWLERS OFICIAL'!AE16)/($BQ16)</f>
        <v>0</v>
      </c>
      <c r="AF16" s="92">
        <f>((0 + 'BRAWLERS OFICIAL'!AF16)-'BRAWLERS OFICIAL'!AF16)/($BQ16)</f>
        <v>0</v>
      </c>
      <c r="AG16" s="92">
        <f>((0 + 'BRAWLERS OFICIAL'!AG16)-'BRAWLERS OFICIAL'!AG16)/($BQ16)</f>
        <v>0</v>
      </c>
      <c r="AH16" s="92">
        <f>((0 + 'BRAWLERS OFICIAL'!AH16)-'BRAWLERS OFICIAL'!AH16)/($BQ16)</f>
        <v>0</v>
      </c>
      <c r="AI16" s="92">
        <f>((0 + 'BRAWLERS OFICIAL'!AI16)-'BRAWLERS OFICIAL'!AI16)/($BQ16)</f>
        <v>0</v>
      </c>
      <c r="AJ16" s="92">
        <f>(( ('BRAWLERS OFICIAL'!AJ16/5) + 'BRAWLERS OFICIAL'!AJ16)-'BRAWLERS OFICIAL'!AJ16)/($BQ16)</f>
        <v>0.13500000000000004</v>
      </c>
      <c r="AK16" s="92">
        <f>((0 + 'BRAWLERS OFICIAL'!AK16)-'BRAWLERS OFICIAL'!AK16)/($BQ16)</f>
        <v>0</v>
      </c>
      <c r="AL16" s="92">
        <f>(((BK16/5+1)*AK16 + 'BRAWLERS OFICIAL'!AL16)-'BRAWLERS OFICIAL'!AL16)/($BQ16)</f>
        <v>0</v>
      </c>
      <c r="AM16" s="92">
        <f>IF( 0 = (1-1), (1-1), ((0 + 'BRAWLERS OFICIAL'!AM16)/1.5)-'BRAWLERS OFICIAL'!AM16 )/($BQ16)</f>
        <v>0</v>
      </c>
      <c r="AN16" s="92">
        <f t="shared" si="0"/>
        <v>0</v>
      </c>
      <c r="AO16" s="92">
        <f>((0 + 'BRAWLERS OFICIAL'!AO16)-'BRAWLERS OFICIAL'!AO16)/($BQ16)</f>
        <v>0</v>
      </c>
      <c r="AP16" s="92">
        <f>((0/1000 + 'BRAWLERS OFICIAL'!AP16)-'BRAWLERS OFICIAL'!AP16)/($BQ16)</f>
        <v>0</v>
      </c>
      <c r="AQ16" s="92">
        <f>((0 + 'BRAWLERS OFICIAL'!AQ16)-'BRAWLERS OFICIAL'!AQ16)/($BQ16)</f>
        <v>0</v>
      </c>
      <c r="AR16" s="92">
        <f>IF( 0 = (1-1), (1-1), ((0 + 'BRAWLERS OFICIAL'!AR16)/1.5) )/($BQ16)</f>
        <v>0</v>
      </c>
      <c r="AS16" s="92">
        <f>IF( 0 = (1-1), (1-1), ((0 + 'BRAWLERS OFICIAL'!AS16)/1.5) )/($BQ16)</f>
        <v>0</v>
      </c>
      <c r="AT16" s="92">
        <f>IF( 0 = (1-1), (1-1), ((0 + 'BRAWLERS OFICIAL'!AT16)/2) )/($BQ16)</f>
        <v>0</v>
      </c>
      <c r="AU16" s="92">
        <f>((0 + 'BRAWLERS OFICIAL'!AU16)-'BRAWLERS OFICIAL'!AU16)/($BQ16)</f>
        <v>0</v>
      </c>
      <c r="AV16" s="92">
        <f>(((0)/4 + 'BRAWLERS OFICIAL'!AV16)-'BRAWLERS OFICIAL'!AV16)/($BQ16)</f>
        <v>0</v>
      </c>
      <c r="AW16" s="92">
        <v>0</v>
      </c>
      <c r="AX16" s="92" t="s">
        <v>390</v>
      </c>
      <c r="AY16" s="91">
        <f>((( 0 )/3 + 'BRAWLERS OFICIAL'!AY16)-'BRAWLERS OFICIAL'!AY16)</f>
        <v>0</v>
      </c>
      <c r="AZ16" s="91">
        <f>((( 0 )/2 + 'BRAWLERS OFICIAL'!AZ16)-'BRAWLERS OFICIAL'!AZ16)/($BQ16)</f>
        <v>0</v>
      </c>
      <c r="BA16" s="91">
        <f>((( 0 )/2 + 'BRAWLERS OFICIAL'!BA16)-'BRAWLERS OFICIAL'!BA16)</f>
        <v>0</v>
      </c>
      <c r="BB16" s="91">
        <f>((( 0 )/3 + 'BRAWLERS OFICIAL'!BB16)-'BRAWLERS OFICIAL'!BB16)</f>
        <v>0</v>
      </c>
      <c r="BC16" s="91">
        <f>((( 0 )/2 + 'BRAWLERS OFICIAL'!BC16)-'BRAWLERS OFICIAL'!BC16)/($BQ16)</f>
        <v>0</v>
      </c>
      <c r="BD16" s="91">
        <f>((( 0 )/3 + 'BRAWLERS OFICIAL'!BD16)-'BRAWLERS OFICIAL'!BD16)</f>
        <v>0</v>
      </c>
      <c r="BE16" s="91">
        <f>((( 0 )/3 + 'BRAWLERS OFICIAL'!BE16)-'BRAWLERS OFICIAL'!BE16)</f>
        <v>0</v>
      </c>
      <c r="BF16" s="91">
        <f>((0 + 'BRAWLERS OFICIAL'!BF16)-'BRAWLERS OFICIAL'!BF16)/($BQ16)</f>
        <v>0</v>
      </c>
      <c r="BG16" s="91">
        <f>((0 + 'BRAWLERS OFICIAL'!BG16)-'BRAWLERS OFICIAL'!BG16)/($BQ16)</f>
        <v>0</v>
      </c>
      <c r="BH16" s="91">
        <f>((( 0 )/2 + 'BRAWLERS OFICIAL'!BH16)-'BRAWLERS OFICIAL'!BH16)</f>
        <v>0</v>
      </c>
      <c r="BI16" s="91">
        <f>((0 + 'BRAWLERS OFICIAL'!BI16)-'BRAWLERS OFICIAL'!BI16)/($BQ16)</f>
        <v>0</v>
      </c>
      <c r="BJ16" s="91">
        <f>((( 0 )/2 + 'BRAWLERS OFICIAL'!BJ16)-'BRAWLERS OFICIAL'!BJ16)</f>
        <v>0</v>
      </c>
      <c r="BK16" s="91">
        <f>((( 0 )/3 + 'BRAWLERS OFICIAL'!BK16)-'BRAWLERS OFICIAL'!BK16)</f>
        <v>0</v>
      </c>
      <c r="BL16" s="91">
        <f>((( 0 )/2 + 'BRAWLERS OFICIAL'!BL16)-'BRAWLERS OFICIAL'!BL16)</f>
        <v>0</v>
      </c>
      <c r="BM16" s="91">
        <f>((0 + 'BRAWLERS OFICIAL'!BM16)-'BRAWLERS OFICIAL'!BM16)/($BQ16)</f>
        <v>0</v>
      </c>
      <c r="BN16" s="91">
        <f>((0 + 'BRAWLERS OFICIAL'!BN16)-'BRAWLERS OFICIAL'!BN16)/($BQ16)</f>
        <v>0</v>
      </c>
      <c r="BO16" s="91">
        <f>((0 + 'BRAWLERS OFICIAL'!BO16)-'BRAWLERS OFICIAL'!BO16)/($BQ16)</f>
        <v>0</v>
      </c>
      <c r="BQ16" s="100">
        <f>('BRAWLERS OFICIAL'!F16 / 'BRAWLERS OFICIAL'!J16 / (1 + ('BRAWLERS OFICIAL'!AA16/5)))*'BRAWLERS OFICIAL'!G16</f>
        <v>13.333333333333336</v>
      </c>
    </row>
    <row r="17" spans="2:69">
      <c r="B17" s="86" t="s">
        <v>218</v>
      </c>
      <c r="C17" s="88" t="s">
        <v>101</v>
      </c>
      <c r="D17" s="73" t="s">
        <v>387</v>
      </c>
      <c r="E17" s="73" t="s">
        <v>388</v>
      </c>
      <c r="F17" s="91">
        <f>(( 0 + 'BRAWLERS OFICIAL'!F17)-'BRAWLERS OFICIAL'!F17)/$BQ17</f>
        <v>0</v>
      </c>
      <c r="G17" s="91">
        <f>(( 0 + 'BRAWLERS OFICIAL'!G17)-'BRAWLERS OFICIAL'!G17)/$BQ17</f>
        <v>0</v>
      </c>
      <c r="H17" s="91">
        <f>(( ('BRAWLERS OFICIAL'!H17/20) + 'BRAWLERS OFICIAL'!H17)-'BRAWLERS OFICIAL'!H17)/$BQ17</f>
        <v>8.742857142857142</v>
      </c>
      <c r="I17" s="91">
        <f>(( 0 + 'BRAWLERS OFICIAL'!I17)-'BRAWLERS OFICIAL'!I17)/$BQ17</f>
        <v>0</v>
      </c>
      <c r="J17" s="91">
        <f>(( 0 + 'BRAWLERS OFICIAL'!J17)-'BRAWLERS OFICIAL'!J17)/$BQ17</f>
        <v>0</v>
      </c>
      <c r="K17" s="91">
        <f>(( 0 + 'BRAWLERS OFICIAL'!K17)-'BRAWLERS OFICIAL'!K17)/$BQ17</f>
        <v>0</v>
      </c>
      <c r="L17" s="91">
        <f>(( 0 + 'BRAWLERS OFICIAL'!L17)-'BRAWLERS OFICIAL'!L17)/$BQ17</f>
        <v>0</v>
      </c>
      <c r="M17" s="91">
        <f>(( 0 + 'BRAWLERS OFICIAL'!M17)-'BRAWLERS OFICIAL'!M17)/$BQ17</f>
        <v>0</v>
      </c>
      <c r="N17" s="91">
        <f>(( 0 + 'BRAWLERS OFICIAL'!N17)-'BRAWLERS OFICIAL'!N17)/$BQ17</f>
        <v>0</v>
      </c>
      <c r="O17" s="91">
        <f>(( 0 + 'BRAWLERS OFICIAL'!O17)-'BRAWLERS OFICIAL'!O17)/$BQ17</f>
        <v>0</v>
      </c>
      <c r="P17" s="91">
        <f>(( 0 + 'BRAWLERS OFICIAL'!P17)-'BRAWLERS OFICIAL'!P17)/$BQ17</f>
        <v>0</v>
      </c>
      <c r="Q17" s="91">
        <f>(( 'BRAWLERS OFICIAL'!Q17+('BRAWLERS OFICIAL'!Q17/20) + 'BRAWLERS OFICIAL'!Q17/20 + 'BRAWLERS OFICIAL'!Q17)-'BRAWLERS OFICIAL'!Q17)/$BQ17</f>
        <v>565.71428571428567</v>
      </c>
      <c r="R17" s="91">
        <f>(( 'BRAWLERS OFICIAL'!R17+('BRAWLERS OFICIAL'!R17/20) + 'BRAWLERS OFICIAL'!R17/20 + 'BRAWLERS OFICIAL'!R17)-'BRAWLERS OFICIAL'!R17)/$BQ17</f>
        <v>424.28571428571422</v>
      </c>
      <c r="S17" s="91">
        <f>(( 'BRAWLERS OFICIAL'!S17+('BRAWLERS OFICIAL'!S17/20) + 'BRAWLERS OFICIAL'!S17/20 + 'BRAWLERS OFICIAL'!S17)-'BRAWLERS OFICIAL'!S17)/$BQ17</f>
        <v>282.85714285714283</v>
      </c>
      <c r="T17" s="91">
        <f>(( 'BRAWLERS OFICIAL'!T17+('BRAWLERS OFICIAL'!T17/20) + 'BRAWLERS OFICIAL'!T17/20 + 'BRAWLERS OFICIAL'!T17)-'BRAWLERS OFICIAL'!T17)/$BQ17</f>
        <v>141.42857142857142</v>
      </c>
      <c r="U17" s="91">
        <f>(( 'BRAWLERS OFICIAL'!U17+('BRAWLERS OFICIAL'!U17/20) + 'BRAWLERS OFICIAL'!U17/20 + 'BRAWLERS OFICIAL'!U17)-'BRAWLERS OFICIAL'!U17)/$BQ17</f>
        <v>565.71428571428567</v>
      </c>
      <c r="V17" s="91">
        <f>(( 0 + 'BRAWLERS OFICIAL'!V17)-'BRAWLERS OFICIAL'!V17)/$BQ17</f>
        <v>0</v>
      </c>
      <c r="W17" s="91">
        <f>(( 0 + 'BRAWLERS OFICIAL'!W17)-'BRAWLERS OFICIAL'!W17)/$BQ17</f>
        <v>0</v>
      </c>
      <c r="X17" s="102">
        <f>(( ('BRAWLERS OFICIAL'!X17/20) + 'BRAWLERS OFICIAL'!X17 + AP17 + AY17/3.5 )-'BRAWLERS OFICIAL'!X17)/($BQ17)</f>
        <v>2.2040816326530589E-2</v>
      </c>
      <c r="Y17" s="92">
        <f>((0 + 'BRAWLERS OFICIAL'!Y17)-'BRAWLERS OFICIAL'!Y17)/($BQ17)</f>
        <v>0</v>
      </c>
      <c r="Z17" s="92">
        <f>(((0)/3 + 'BRAWLERS OFICIAL'!Z17)-'BRAWLERS OFICIAL'!Z17)</f>
        <v>0</v>
      </c>
      <c r="AA17" s="92">
        <f>((0 + 'BRAWLERS OFICIAL'!AA17)-'BRAWLERS OFICIAL'!AA17)/($BQ17)</f>
        <v>0</v>
      </c>
      <c r="AB17" s="92">
        <f>((0 + 'BRAWLERS OFICIAL'!AB17)-'BRAWLERS OFICIAL'!AB17)</f>
        <v>0</v>
      </c>
      <c r="AC17" s="92">
        <f>(((0)/4 + 'BRAWLERS OFICIAL'!AC17)-'BRAWLERS OFICIAL'!AC17)/($BQ17)</f>
        <v>0</v>
      </c>
      <c r="AD17" s="92">
        <f>((0 + 'BRAWLERS OFICIAL'!AD17)-'BRAWLERS OFICIAL'!AD17)/($BQ17)</f>
        <v>0</v>
      </c>
      <c r="AE17" s="92">
        <f>((0 + 'BRAWLERS OFICIAL'!AE17)-'BRAWLERS OFICIAL'!AE17)/($BQ17)</f>
        <v>0</v>
      </c>
      <c r="AF17" s="92">
        <f>((0 + 'BRAWLERS OFICIAL'!AF17)-'BRAWLERS OFICIAL'!AF17)/($BQ17)</f>
        <v>0</v>
      </c>
      <c r="AG17" s="92">
        <f>((0 + 'BRAWLERS OFICIAL'!AG17)-'BRAWLERS OFICIAL'!AG17)/($BQ17)</f>
        <v>0</v>
      </c>
      <c r="AH17" s="92">
        <f>((0 + 'BRAWLERS OFICIAL'!AH17)-'BRAWLERS OFICIAL'!AH17)/($BQ17)</f>
        <v>0</v>
      </c>
      <c r="AI17" s="92">
        <f>((0 + 'BRAWLERS OFICIAL'!AI17)-'BRAWLERS OFICIAL'!AI17)/($BQ17)</f>
        <v>0</v>
      </c>
      <c r="AJ17" s="92">
        <f>(( ('BRAWLERS OFICIAL'!AJ17/5) + 'BRAWLERS OFICIAL'!AJ17)-'BRAWLERS OFICIAL'!AJ17)/($BQ17)</f>
        <v>0.12857142857142856</v>
      </c>
      <c r="AK17" s="92">
        <f>((0 + 'BRAWLERS OFICIAL'!AK17)-'BRAWLERS OFICIAL'!AK17)/($BQ17)</f>
        <v>0</v>
      </c>
      <c r="AL17" s="92">
        <f>(((BK17/5+1)*AK17 + 'BRAWLERS OFICIAL'!AL17)-'BRAWLERS OFICIAL'!AL17)/($BQ17)</f>
        <v>0</v>
      </c>
      <c r="AM17" s="92">
        <f>IF( 0 = (1-1), (1-1), ((0 + 'BRAWLERS OFICIAL'!AM17)/1.5)-'BRAWLERS OFICIAL'!AM17 )/($BQ17)</f>
        <v>0</v>
      </c>
      <c r="AN17" s="92">
        <f t="shared" si="0"/>
        <v>0</v>
      </c>
      <c r="AO17" s="92">
        <f>((0 + 'BRAWLERS OFICIAL'!AO17)-'BRAWLERS OFICIAL'!AO17)/($BQ17)</f>
        <v>0</v>
      </c>
      <c r="AP17" s="92">
        <f>((0/1000 + 'BRAWLERS OFICIAL'!AP17)-'BRAWLERS OFICIAL'!AP17)/($BQ17)</f>
        <v>0</v>
      </c>
      <c r="AQ17" s="92">
        <f>((0 + 'BRAWLERS OFICIAL'!AQ17)-'BRAWLERS OFICIAL'!AQ17)/($BQ17)</f>
        <v>0</v>
      </c>
      <c r="AR17" s="92">
        <f>IF( 0 = (1-1), (1-1), ((0 + 'BRAWLERS OFICIAL'!AR17)/1.5) )/($BQ17)</f>
        <v>0</v>
      </c>
      <c r="AS17" s="92">
        <f>IF( 2 = (1-1), (1-1), ((2 + 'BRAWLERS OFICIAL'!AS17)/1.5) )/($BQ17)</f>
        <v>1.0285714285714285</v>
      </c>
      <c r="AT17" s="92">
        <f>IF( 0 = (1-1), (1-1), ((0 + 'BRAWLERS OFICIAL'!AT17)/2) )/($BQ17)</f>
        <v>0</v>
      </c>
      <c r="AU17" s="92">
        <f>((0 + 'BRAWLERS OFICIAL'!AU17)-'BRAWLERS OFICIAL'!AU17)/($BQ17)</f>
        <v>0</v>
      </c>
      <c r="AV17" s="92">
        <f>(((0)/4 + 'BRAWLERS OFICIAL'!AV17)-'BRAWLERS OFICIAL'!AV17)/($BQ17)</f>
        <v>0</v>
      </c>
      <c r="AW17" s="92">
        <v>0</v>
      </c>
      <c r="AX17" s="92" t="s">
        <v>390</v>
      </c>
      <c r="AY17" s="91">
        <f>((( 0 )/3 + 'BRAWLERS OFICIAL'!AY17)-'BRAWLERS OFICIAL'!AY17)</f>
        <v>0</v>
      </c>
      <c r="AZ17" s="91">
        <f>((( 0 )/2 + 'BRAWLERS OFICIAL'!AZ17)-'BRAWLERS OFICIAL'!AZ17)/($BQ17)</f>
        <v>0</v>
      </c>
      <c r="BA17" s="91">
        <f>((( 0 )/2 + 'BRAWLERS OFICIAL'!BA17)-'BRAWLERS OFICIAL'!BA17)</f>
        <v>0</v>
      </c>
      <c r="BB17" s="91">
        <f>((( 0 )/3 + 'BRAWLERS OFICIAL'!BB17)-'BRAWLERS OFICIAL'!BB17)</f>
        <v>0</v>
      </c>
      <c r="BC17" s="91">
        <f>((( 0 )/2 + 'BRAWLERS OFICIAL'!BC17)-'BRAWLERS OFICIAL'!BC17)/($BQ17)</f>
        <v>0</v>
      </c>
      <c r="BD17" s="91">
        <f>((( 0 )/3 + 'BRAWLERS OFICIAL'!BD17)-'BRAWLERS OFICIAL'!BD17)</f>
        <v>0</v>
      </c>
      <c r="BE17" s="91">
        <f>((( 0 )/3 + 'BRAWLERS OFICIAL'!BE17)-'BRAWLERS OFICIAL'!BE17)</f>
        <v>0</v>
      </c>
      <c r="BF17" s="91">
        <f>((0 + 'BRAWLERS OFICIAL'!BF17)-'BRAWLERS OFICIAL'!BF17)/($BQ17)</f>
        <v>0</v>
      </c>
      <c r="BG17" s="91">
        <f>((0 + 'BRAWLERS OFICIAL'!BG17)-'BRAWLERS OFICIAL'!BG17)/($BQ17)</f>
        <v>0</v>
      </c>
      <c r="BH17" s="91">
        <f>((( 0 )/2 + 'BRAWLERS OFICIAL'!BH17)-'BRAWLERS OFICIAL'!BH17)</f>
        <v>0</v>
      </c>
      <c r="BI17" s="91">
        <f>((0 + 'BRAWLERS OFICIAL'!BI17)-'BRAWLERS OFICIAL'!BI17)/($BQ17)</f>
        <v>0</v>
      </c>
      <c r="BJ17" s="91">
        <f>((( 0 )/2 + 'BRAWLERS OFICIAL'!BJ17)-'BRAWLERS OFICIAL'!BJ17)</f>
        <v>0</v>
      </c>
      <c r="BK17" s="91">
        <f>((( 0 )/3 + 'BRAWLERS OFICIAL'!BK17)-'BRAWLERS OFICIAL'!BK17)</f>
        <v>0</v>
      </c>
      <c r="BL17" s="91">
        <f>((( 0 )/2 + 'BRAWLERS OFICIAL'!BL17)-'BRAWLERS OFICIAL'!BL17)</f>
        <v>0</v>
      </c>
      <c r="BM17" s="91">
        <f>((0 + 'BRAWLERS OFICIAL'!BM17)-'BRAWLERS OFICIAL'!BM17)/($BQ17)</f>
        <v>0</v>
      </c>
      <c r="BN17" s="91">
        <f>((0 + 'BRAWLERS OFICIAL'!BN17)-'BRAWLERS OFICIAL'!BN17)/($BQ17)</f>
        <v>0</v>
      </c>
      <c r="BO17" s="91">
        <f>((0 + 'BRAWLERS OFICIAL'!BO17)-'BRAWLERS OFICIAL'!BO17)/($BQ17)</f>
        <v>0</v>
      </c>
      <c r="BQ17" s="100">
        <f>('BRAWLERS OFICIAL'!F17 / 'BRAWLERS OFICIAL'!J17 / (1 + ('BRAWLERS OFICIAL'!AA17/5)))*'BRAWLERS OFICIAL'!G17</f>
        <v>7.7777777777777786</v>
      </c>
    </row>
    <row r="18" spans="2:69">
      <c r="B18" s="86" t="s">
        <v>503</v>
      </c>
      <c r="C18" s="87" t="s">
        <v>57</v>
      </c>
      <c r="D18" s="61" t="s">
        <v>369</v>
      </c>
      <c r="E18" s="61" t="s">
        <v>389</v>
      </c>
      <c r="F18" s="91">
        <f>(( 0 + 'BRAWLERS OFICIAL'!F18)-'BRAWLERS OFICIAL'!F18)/$BQ18</f>
        <v>0</v>
      </c>
      <c r="G18" s="91">
        <f>(( 0 + 'BRAWLERS OFICIAL'!G18)-'BRAWLERS OFICIAL'!G18)/$BQ18</f>
        <v>0</v>
      </c>
      <c r="H18" s="91">
        <f>(( ('BRAWLERS OFICIAL'!H18/20) + 'BRAWLERS OFICIAL'!H18)-'BRAWLERS OFICIAL'!H18)/$BQ18</f>
        <v>6.75</v>
      </c>
      <c r="I18" s="91">
        <f>(( 0 + 'BRAWLERS OFICIAL'!I18)-'BRAWLERS OFICIAL'!I18)/$BQ18</f>
        <v>0</v>
      </c>
      <c r="J18" s="91">
        <f>(( 0 + 'BRAWLERS OFICIAL'!J18)-'BRAWLERS OFICIAL'!J18)/$BQ18</f>
        <v>0</v>
      </c>
      <c r="K18" s="91">
        <f>(( 0 + 'BRAWLERS OFICIAL'!K18)-'BRAWLERS OFICIAL'!K18)/$BQ18</f>
        <v>0</v>
      </c>
      <c r="L18" s="91">
        <f>(( 0 + 'BRAWLERS OFICIAL'!L18)-'BRAWLERS OFICIAL'!L18)/$BQ18</f>
        <v>0</v>
      </c>
      <c r="M18" s="91">
        <f>(( 0 + 'BRAWLERS OFICIAL'!M18)-'BRAWLERS OFICIAL'!M18)/$BQ18</f>
        <v>0</v>
      </c>
      <c r="N18" s="91">
        <f>(( 0 + 'BRAWLERS OFICIAL'!N18)-'BRAWLERS OFICIAL'!N18)/$BQ18</f>
        <v>0</v>
      </c>
      <c r="O18" s="91">
        <f>(( 0 + 'BRAWLERS OFICIAL'!O18)-'BRAWLERS OFICIAL'!O18)/$BQ18</f>
        <v>0</v>
      </c>
      <c r="P18" s="91">
        <f>(( 0 + 'BRAWLERS OFICIAL'!P18)-'BRAWLERS OFICIAL'!P18)/$BQ18</f>
        <v>0</v>
      </c>
      <c r="Q18" s="91">
        <f>(( 'BRAWLERS OFICIAL'!Q18/5 + 'BRAWLERS OFICIAL'!Q18)-'BRAWLERS OFICIAL'!Q18)/$BQ18</f>
        <v>24</v>
      </c>
      <c r="R18" s="91">
        <f>(( 'BRAWLERS OFICIAL'!R18/5 + 'BRAWLERS OFICIAL'!R18)-'BRAWLERS OFICIAL'!R18)/$BQ18</f>
        <v>48</v>
      </c>
      <c r="S18" s="91">
        <f>(( 'BRAWLERS OFICIAL'!S18/5 + 'BRAWLERS OFICIAL'!S18)-'BRAWLERS OFICIAL'!S18)/$BQ18</f>
        <v>36</v>
      </c>
      <c r="T18" s="91">
        <f>(( 'BRAWLERS OFICIAL'!T18/5 + 'BRAWLERS OFICIAL'!T18)-'BRAWLERS OFICIAL'!T18)/$BQ18</f>
        <v>0</v>
      </c>
      <c r="U18" s="91">
        <f>(( 'BRAWLERS OFICIAL'!U18/5 + 'BRAWLERS OFICIAL'!U18)-'BRAWLERS OFICIAL'!U18)/$BQ18</f>
        <v>96</v>
      </c>
      <c r="V18" s="91">
        <f>(( 0 + 'BRAWLERS OFICIAL'!V18)-'BRAWLERS OFICIAL'!V18)/$BQ18</f>
        <v>0</v>
      </c>
      <c r="W18" s="91">
        <f>(( 0 + 'BRAWLERS OFICIAL'!W18)-'BRAWLERS OFICIAL'!W18)/$BQ18</f>
        <v>0</v>
      </c>
      <c r="X18" s="102">
        <f>(( ('BRAWLERS OFICIAL'!X18/20) + 'BRAWLERS OFICIAL'!X18 + AP18 + AY18/3.5 )-'BRAWLERS OFICIAL'!X18)/($BQ18)</f>
        <v>2.4482142857142897E-2</v>
      </c>
      <c r="Y18" s="92">
        <f>((0 + 'BRAWLERS OFICIAL'!Y18)-'BRAWLERS OFICIAL'!Y18)/($BQ18)</f>
        <v>0</v>
      </c>
      <c r="Z18" s="92">
        <f>(((0)/3 + 'BRAWLERS OFICIAL'!Z18)-'BRAWLERS OFICIAL'!Z18)</f>
        <v>0</v>
      </c>
      <c r="AA18" s="92">
        <f>((0 + 'BRAWLERS OFICIAL'!AA18)-'BRAWLERS OFICIAL'!AA18)/($BQ18)</f>
        <v>0</v>
      </c>
      <c r="AB18" s="92">
        <f>((0 + 'BRAWLERS OFICIAL'!AB18)-'BRAWLERS OFICIAL'!AB18)</f>
        <v>0</v>
      </c>
      <c r="AC18" s="92">
        <f>(((0)/4 + 'BRAWLERS OFICIAL'!AC18)-'BRAWLERS OFICIAL'!AC18)/($BQ18)</f>
        <v>0</v>
      </c>
      <c r="AD18" s="92">
        <f>((0 + 'BRAWLERS OFICIAL'!AD18)-'BRAWLERS OFICIAL'!AD18)/($BQ18)</f>
        <v>0</v>
      </c>
      <c r="AE18" s="92">
        <f>((0 + 'BRAWLERS OFICIAL'!AE18)-'BRAWLERS OFICIAL'!AE18)/($BQ18)</f>
        <v>0</v>
      </c>
      <c r="AF18" s="92">
        <f>((0 + 'BRAWLERS OFICIAL'!AF18)-'BRAWLERS OFICIAL'!AF18)/($BQ18)</f>
        <v>0</v>
      </c>
      <c r="AG18" s="92">
        <f>((0 + 'BRAWLERS OFICIAL'!AG18)-'BRAWLERS OFICIAL'!AG18)/($BQ18)</f>
        <v>0</v>
      </c>
      <c r="AH18" s="92">
        <f>((0 + 'BRAWLERS OFICIAL'!AH18)-'BRAWLERS OFICIAL'!AH18)/($BQ18)</f>
        <v>0</v>
      </c>
      <c r="AI18" s="92">
        <f>((0 + 'BRAWLERS OFICIAL'!AI18)-'BRAWLERS OFICIAL'!AI18)/($BQ18)</f>
        <v>0</v>
      </c>
      <c r="AJ18" s="92">
        <f>(( ('BRAWLERS OFICIAL'!AJ18/5) + 'BRAWLERS OFICIAL'!AJ18)-'BRAWLERS OFICIAL'!AJ18)/($BQ18)</f>
        <v>7.4999999999999997E-2</v>
      </c>
      <c r="AK18" s="92">
        <f>((0 + 'BRAWLERS OFICIAL'!AK18)-'BRAWLERS OFICIAL'!AK18)/($BQ18)</f>
        <v>0</v>
      </c>
      <c r="AL18" s="92">
        <f>(((BK18/5+1)*AK18 + 'BRAWLERS OFICIAL'!AL18)-'BRAWLERS OFICIAL'!AL18)/($BQ18)</f>
        <v>0</v>
      </c>
      <c r="AM18" s="92">
        <f>IF( 0 = (1-1), (1-1), ((0 + 'BRAWLERS OFICIAL'!AM18)/1.5)-'BRAWLERS OFICIAL'!AM18 )/($BQ18)</f>
        <v>0</v>
      </c>
      <c r="AN18" s="92">
        <f t="shared" si="0"/>
        <v>0</v>
      </c>
      <c r="AO18" s="92">
        <f>((0 + 'BRAWLERS OFICIAL'!AO18)-'BRAWLERS OFICIAL'!AO18)/($BQ18)</f>
        <v>0</v>
      </c>
      <c r="AP18" s="92">
        <f>(('BRAWLERS OFICIAL'!AP18/5 + 'BRAWLERS OFICIAL'!AP18)-'BRAWLERS OFICIAL'!AP18)/($BQ18)</f>
        <v>0.10500000000000002</v>
      </c>
      <c r="AQ18" s="92">
        <f>(('BRAWLERS OFICIAL'!AQ18/5 + 'BRAWLERS OFICIAL'!AQ18)-'BRAWLERS OFICIAL'!AQ18)/($BQ18)</f>
        <v>5.9999999999999984E-2</v>
      </c>
      <c r="AR18" s="92">
        <f>IF( 1 = (1-1), (1-1), ((1 + 'BRAWLERS OFICIAL'!AR18)/1.5) )/($BQ18)</f>
        <v>0.25</v>
      </c>
      <c r="AS18" s="92">
        <f>IF( 'BRAWLERS OFICIAL'!AS18/4 = (1-1), (1-1), (('BRAWLERS OFICIAL'!AS18/4 + 'BRAWLERS OFICIAL'!AS18)/1.5) )/($BQ18)</f>
        <v>0.25</v>
      </c>
      <c r="AT18" s="92">
        <f>IF( 0 = (1-1), (1-1), ((0 + 'BRAWLERS OFICIAL'!AT18)/2) )/($BQ18)</f>
        <v>0</v>
      </c>
      <c r="AU18" s="92">
        <f>((0 + 'BRAWLERS OFICIAL'!AU18)-'BRAWLERS OFICIAL'!AU18)/($BQ18)</f>
        <v>0</v>
      </c>
      <c r="AV18" s="92">
        <f>(((0)/4 + 'BRAWLERS OFICIAL'!AV18)-'BRAWLERS OFICIAL'!AV18)/($BQ18)</f>
        <v>0</v>
      </c>
      <c r="AW18" s="92">
        <v>0</v>
      </c>
      <c r="AX18" s="92" t="s">
        <v>390</v>
      </c>
      <c r="AY18" s="91">
        <f>((( 0 )/3 + 'BRAWLERS OFICIAL'!AY18)-'BRAWLERS OFICIAL'!AY18)</f>
        <v>0</v>
      </c>
      <c r="AZ18" s="91">
        <f>((( 0 )/2 + 'BRAWLERS OFICIAL'!AZ18)-'BRAWLERS OFICIAL'!AZ18)/($BQ18)</f>
        <v>0</v>
      </c>
      <c r="BA18" s="91">
        <f>((( 0 )/2 + 'BRAWLERS OFICIAL'!BA18)-'BRAWLERS OFICIAL'!BA18)</f>
        <v>0</v>
      </c>
      <c r="BB18" s="91">
        <f>((( 0 )/3 + 'BRAWLERS OFICIAL'!BB18)-'BRAWLERS OFICIAL'!BB18)</f>
        <v>0</v>
      </c>
      <c r="BC18" s="91">
        <f>((( 0 )/2 + 'BRAWLERS OFICIAL'!BC18)-'BRAWLERS OFICIAL'!BC18)/($BQ18)</f>
        <v>0</v>
      </c>
      <c r="BD18" s="91">
        <f>((( 0 )/3 + 'BRAWLERS OFICIAL'!BD18)-'BRAWLERS OFICIAL'!BD18)</f>
        <v>0</v>
      </c>
      <c r="BE18" s="91">
        <f>((( 0 )/3 + 'BRAWLERS OFICIAL'!BE18)-'BRAWLERS OFICIAL'!BE18)</f>
        <v>0</v>
      </c>
      <c r="BF18" s="91">
        <f>((0 + 'BRAWLERS OFICIAL'!BF18)-'BRAWLERS OFICIAL'!BF18)/($BQ18)</f>
        <v>0</v>
      </c>
      <c r="BG18" s="91">
        <f>((0 + 'BRAWLERS OFICIAL'!BG18)-'BRAWLERS OFICIAL'!BG18)/($BQ18)</f>
        <v>0</v>
      </c>
      <c r="BH18" s="91">
        <f>((( 0 )/2 + 'BRAWLERS OFICIAL'!BH18)-'BRAWLERS OFICIAL'!BH18)</f>
        <v>0</v>
      </c>
      <c r="BI18" s="91">
        <f>((0 + 'BRAWLERS OFICIAL'!BI18)-'BRAWLERS OFICIAL'!BI18)/($BQ18)</f>
        <v>0</v>
      </c>
      <c r="BJ18" s="91">
        <f>((( 0 )/2 + 'BRAWLERS OFICIAL'!BJ18)-'BRAWLERS OFICIAL'!BJ18)</f>
        <v>0</v>
      </c>
      <c r="BK18" s="91">
        <f>((( 0 )/3 + 'BRAWLERS OFICIAL'!BK18)-'BRAWLERS OFICIAL'!BK18)</f>
        <v>0</v>
      </c>
      <c r="BL18" s="91">
        <f>((( 0 )/2 + 'BRAWLERS OFICIAL'!BL18)-'BRAWLERS OFICIAL'!BL18)</f>
        <v>0</v>
      </c>
      <c r="BM18" s="91">
        <f>((0 + 'BRAWLERS OFICIAL'!BM18)-'BRAWLERS OFICIAL'!BM18)/($BQ18)</f>
        <v>0</v>
      </c>
      <c r="BN18" s="91">
        <f>((0 + 'BRAWLERS OFICIAL'!BN18)-'BRAWLERS OFICIAL'!BN18)/($BQ18)</f>
        <v>0</v>
      </c>
      <c r="BO18" s="91">
        <f>((0 + 'BRAWLERS OFICIAL'!BO18)-'BRAWLERS OFICIAL'!BO18)/($BQ18)</f>
        <v>0</v>
      </c>
      <c r="BQ18" s="100">
        <f>('BRAWLERS OFICIAL'!F18 / 'BRAWLERS OFICIAL'!J18 / (1 + ('BRAWLERS OFICIAL'!AA18/5)))*'BRAWLERS OFICIAL'!G18</f>
        <v>13.333333333333334</v>
      </c>
    </row>
    <row r="19" spans="2:69">
      <c r="B19" s="86" t="s">
        <v>504</v>
      </c>
      <c r="C19" s="87" t="s">
        <v>40</v>
      </c>
      <c r="D19" s="61" t="s">
        <v>326</v>
      </c>
      <c r="E19" s="61" t="s">
        <v>389</v>
      </c>
      <c r="F19" s="91">
        <f>(( 0 + 'BRAWLERS OFICIAL'!F19)-'BRAWLERS OFICIAL'!F19)/$BQ19</f>
        <v>0</v>
      </c>
      <c r="G19" s="91">
        <f>(( 0 + 'BRAWLERS OFICIAL'!G19)-'BRAWLERS OFICIAL'!G19)/$BQ19</f>
        <v>0</v>
      </c>
      <c r="H19" s="91">
        <f>(( ('BRAWLERS OFICIAL'!H19/20) + 'BRAWLERS OFICIAL'!H19)-'BRAWLERS OFICIAL'!H19)/$BQ19</f>
        <v>10.4</v>
      </c>
      <c r="I19" s="91">
        <f>(( 0 + 'BRAWLERS OFICIAL'!I19)-'BRAWLERS OFICIAL'!I19)/$BQ19</f>
        <v>0</v>
      </c>
      <c r="J19" s="91">
        <f>(( 0 + 'BRAWLERS OFICIAL'!J19)-'BRAWLERS OFICIAL'!J19)/$BQ19</f>
        <v>0</v>
      </c>
      <c r="K19" s="91">
        <f>(( 0 + 'BRAWLERS OFICIAL'!K19)-'BRAWLERS OFICIAL'!K19)/$BQ19</f>
        <v>0</v>
      </c>
      <c r="L19" s="91">
        <f>(( 0 + 'BRAWLERS OFICIAL'!L19)-'BRAWLERS OFICIAL'!L19)/$BQ19</f>
        <v>0</v>
      </c>
      <c r="M19" s="91">
        <f>(( 0 + 'BRAWLERS OFICIAL'!M19)-'BRAWLERS OFICIAL'!M19)/$BQ19</f>
        <v>0</v>
      </c>
      <c r="N19" s="91">
        <f>(( 0 + 'BRAWLERS OFICIAL'!N19)-'BRAWLERS OFICIAL'!N19)/$BQ19</f>
        <v>0</v>
      </c>
      <c r="O19" s="91">
        <f>(( 0 + 'BRAWLERS OFICIAL'!O19)-'BRAWLERS OFICIAL'!O19)/$BQ19</f>
        <v>0</v>
      </c>
      <c r="P19" s="91">
        <f>(( 0 + 'BRAWLERS OFICIAL'!P19)-'BRAWLERS OFICIAL'!P19)/$BQ19</f>
        <v>0</v>
      </c>
      <c r="Q19" s="91">
        <f>(( 'BRAWLERS OFICIAL'!Q19*3/20 + 'BRAWLERS OFICIAL'!Q19)-'BRAWLERS OFICIAL'!Q19)/$BQ19</f>
        <v>0</v>
      </c>
      <c r="R19" s="91">
        <f>(( 'BRAWLERS OFICIAL'!R19*3/20 + 'BRAWLERS OFICIAL'!R19)-'BRAWLERS OFICIAL'!R19)/$BQ19</f>
        <v>12</v>
      </c>
      <c r="S19" s="91">
        <f>(( 'BRAWLERS OFICIAL'!S19*3/20 + 'BRAWLERS OFICIAL'!S19)-'BRAWLERS OFICIAL'!S19)/$BQ19</f>
        <v>36</v>
      </c>
      <c r="T19" s="91">
        <f>(( 'BRAWLERS OFICIAL'!T19*3/20 + 'BRAWLERS OFICIAL'!T19)-'BRAWLERS OFICIAL'!T19)/$BQ19</f>
        <v>24</v>
      </c>
      <c r="U19" s="91">
        <f>(( 'BRAWLERS OFICIAL'!U19*3/20 + 'BRAWLERS OFICIAL'!U19)-'BRAWLERS OFICIAL'!U19)/$BQ19</f>
        <v>12</v>
      </c>
      <c r="V19" s="91">
        <f>(( 0 + 'BRAWLERS OFICIAL'!V19)-'BRAWLERS OFICIAL'!V19)/$BQ19</f>
        <v>0</v>
      </c>
      <c r="W19" s="91">
        <f>(( 0 + 'BRAWLERS OFICIAL'!W19)-'BRAWLERS OFICIAL'!W19)/$BQ19</f>
        <v>0</v>
      </c>
      <c r="X19" s="102">
        <f>(( ('BRAWLERS OFICIAL'!X19/20) + 'BRAWLERS OFICIAL'!X19 + AP19 + AY19/3.5 )-'BRAWLERS OFICIAL'!X19)/($BQ19)</f>
        <v>4.4285714285714303E-2</v>
      </c>
      <c r="Y19" s="92">
        <f>((0 + 'BRAWLERS OFICIAL'!Y19)-'BRAWLERS OFICIAL'!Y19)/($BQ19)</f>
        <v>0</v>
      </c>
      <c r="Z19" s="92">
        <f>(((0)/3 + 'BRAWLERS OFICIAL'!Z19)-'BRAWLERS OFICIAL'!Z19)</f>
        <v>0</v>
      </c>
      <c r="AA19" s="92">
        <f>((0 + 'BRAWLERS OFICIAL'!AA19)-'BRAWLERS OFICIAL'!AA19)/($BQ19)</f>
        <v>0</v>
      </c>
      <c r="AB19" s="92">
        <f>((0 + 'BRAWLERS OFICIAL'!AB19)-'BRAWLERS OFICIAL'!AB19)</f>
        <v>0</v>
      </c>
      <c r="AC19" s="92">
        <f>(((0)/4 + 'BRAWLERS OFICIAL'!AC19)-'BRAWLERS OFICIAL'!AC19)/($BQ19)</f>
        <v>0</v>
      </c>
      <c r="AD19" s="92">
        <f>((0 + 'BRAWLERS OFICIAL'!AD19)-'BRAWLERS OFICIAL'!AD19)/($BQ19)</f>
        <v>0</v>
      </c>
      <c r="AE19" s="92">
        <f>((0 + 'BRAWLERS OFICIAL'!AE19)-'BRAWLERS OFICIAL'!AE19)/($BQ19)</f>
        <v>0</v>
      </c>
      <c r="AF19" s="92">
        <f>((0 + 'BRAWLERS OFICIAL'!AF19)-'BRAWLERS OFICIAL'!AF19)/($BQ19)</f>
        <v>0</v>
      </c>
      <c r="AG19" s="92">
        <f>((0 + 'BRAWLERS OFICIAL'!AG19)-'BRAWLERS OFICIAL'!AG19)/($BQ19)</f>
        <v>0</v>
      </c>
      <c r="AH19" s="92">
        <f>((0 + 'BRAWLERS OFICIAL'!AH19)-'BRAWLERS OFICIAL'!AH19)/($BQ19)</f>
        <v>0</v>
      </c>
      <c r="AI19" s="92">
        <f>((0 + 'BRAWLERS OFICIAL'!AI19)-'BRAWLERS OFICIAL'!AI19)/($BQ19)</f>
        <v>0</v>
      </c>
      <c r="AJ19" s="92">
        <f>(( ('BRAWLERS OFICIAL'!AJ19/5) + 'BRAWLERS OFICIAL'!AJ19)-'BRAWLERS OFICIAL'!AJ19)/($BQ19)</f>
        <v>0.2</v>
      </c>
      <c r="AK19" s="92">
        <f>((0 + 'BRAWLERS OFICIAL'!AK19)-'BRAWLERS OFICIAL'!AK19)/($BQ19)</f>
        <v>0</v>
      </c>
      <c r="AL19" s="92">
        <f>(((BK19/5+1)*AK19 + 'BRAWLERS OFICIAL'!AL19)-'BRAWLERS OFICIAL'!AL19)/($BQ19)</f>
        <v>0</v>
      </c>
      <c r="AM19" s="92">
        <f>IF( 4 = (1-1), (1-1), ((12 + 'BRAWLERS OFICIAL'!AM19)/1.5)-'BRAWLERS OFICIAL'!AM19 )/($BQ19)</f>
        <v>1.0666666666666669</v>
      </c>
      <c r="AN19" s="92">
        <f>IF( 3 = (1-1), (1-1), ( 3 ) )/($BQ19)</f>
        <v>0.6</v>
      </c>
      <c r="AO19" s="92">
        <f>((0 + 'BRAWLERS OFICIAL'!AO19)-'BRAWLERS OFICIAL'!AO19)/($BQ19)</f>
        <v>0</v>
      </c>
      <c r="AP19" s="92">
        <f>((0/1000 + 'BRAWLERS OFICIAL'!AP19)-'BRAWLERS OFICIAL'!AP19)/($BQ19)</f>
        <v>0</v>
      </c>
      <c r="AQ19" s="92">
        <f>((0.4 + 'BRAWLERS OFICIAL'!AQ19)-'BRAWLERS OFICIAL'!AQ19)/($BQ19)</f>
        <v>7.9999999999999988E-2</v>
      </c>
      <c r="AR19" s="92">
        <f>IF( 0 = (1-1), (1-1), ((0 + 'BRAWLERS OFICIAL'!AR19)/1.5) )/($BQ19)</f>
        <v>0</v>
      </c>
      <c r="AS19" s="92">
        <f>IF( 0 = (1-1), (1-1), ((0 + 'BRAWLERS OFICIAL'!AS19)/1.5) )/($BQ19)</f>
        <v>0</v>
      </c>
      <c r="AT19" s="92">
        <f>IF( 0 = (1-1), (1-1), ((0 + 'BRAWLERS OFICIAL'!AT19)/2) )/($BQ19)</f>
        <v>0</v>
      </c>
      <c r="AU19" s="92">
        <f>((0 + 'BRAWLERS OFICIAL'!AU19)-'BRAWLERS OFICIAL'!AU19)/($BQ19)</f>
        <v>0</v>
      </c>
      <c r="AV19" s="92">
        <f>(((0)/4 + 'BRAWLERS OFICIAL'!AV19)-'BRAWLERS OFICIAL'!AV19)/($BQ19)</f>
        <v>0</v>
      </c>
      <c r="AW19" s="92">
        <v>0</v>
      </c>
      <c r="AX19" s="92" t="s">
        <v>390</v>
      </c>
      <c r="AY19" s="91">
        <f>((( 0 )/3 + 'BRAWLERS OFICIAL'!AY19)-'BRAWLERS OFICIAL'!AY19)</f>
        <v>0</v>
      </c>
      <c r="AZ19" s="91">
        <f>((( 0 )/2 + 'BRAWLERS OFICIAL'!AZ19)-'BRAWLERS OFICIAL'!AZ19)/($BQ19)</f>
        <v>0</v>
      </c>
      <c r="BA19" s="91">
        <f>((( 0 )/2 + 'BRAWLERS OFICIAL'!BA19)-'BRAWLERS OFICIAL'!BA19)</f>
        <v>0</v>
      </c>
      <c r="BB19" s="91">
        <f>((( 0 )/3 + 'BRAWLERS OFICIAL'!BB19)-'BRAWLERS OFICIAL'!BB19)</f>
        <v>0</v>
      </c>
      <c r="BC19" s="91">
        <f>((( 0 )/2 + 'BRAWLERS OFICIAL'!BC19)-'BRAWLERS OFICIAL'!BC19)/($BQ19)</f>
        <v>0</v>
      </c>
      <c r="BD19" s="91">
        <f>((( 0 )/3 + 'BRAWLERS OFICIAL'!BD19)-'BRAWLERS OFICIAL'!BD19)</f>
        <v>0</v>
      </c>
      <c r="BE19" s="91">
        <f>((( 0 )/3 + 'BRAWLERS OFICIAL'!BE19)-'BRAWLERS OFICIAL'!BE19)</f>
        <v>0</v>
      </c>
      <c r="BF19" s="91">
        <f>((0 + 'BRAWLERS OFICIAL'!BF19)-'BRAWLERS OFICIAL'!BF19)/($BQ19)</f>
        <v>0</v>
      </c>
      <c r="BG19" s="91">
        <f>((0 + 'BRAWLERS OFICIAL'!BG19)-'BRAWLERS OFICIAL'!BG19)/($BQ19)</f>
        <v>0</v>
      </c>
      <c r="BH19" s="91">
        <f>((( 0 )/2 + 'BRAWLERS OFICIAL'!BH19)-'BRAWLERS OFICIAL'!BH19)</f>
        <v>0</v>
      </c>
      <c r="BI19" s="91">
        <f>((0 + 'BRAWLERS OFICIAL'!BI19)-'BRAWLERS OFICIAL'!BI19)/($BQ19)</f>
        <v>0</v>
      </c>
      <c r="BJ19" s="91">
        <f>((( 0 )/2 + 'BRAWLERS OFICIAL'!BJ19)-'BRAWLERS OFICIAL'!BJ19)</f>
        <v>0</v>
      </c>
      <c r="BK19" s="91">
        <f>((( 0 )/3 + 'BRAWLERS OFICIAL'!BK19)-'BRAWLERS OFICIAL'!BK19)</f>
        <v>0</v>
      </c>
      <c r="BL19" s="91">
        <f>((( 0 )/2 + 'BRAWLERS OFICIAL'!BL19)-'BRAWLERS OFICIAL'!BL19)</f>
        <v>0</v>
      </c>
      <c r="BM19" s="91">
        <f>((0 + 'BRAWLERS OFICIAL'!BM19)-'BRAWLERS OFICIAL'!BM19)/($BQ19)</f>
        <v>0</v>
      </c>
      <c r="BN19" s="91">
        <f>((0 + 'BRAWLERS OFICIAL'!BN19)-'BRAWLERS OFICIAL'!BN19)/($BQ19)</f>
        <v>0</v>
      </c>
      <c r="BO19" s="91">
        <f>((0 + 'BRAWLERS OFICIAL'!BO19)-'BRAWLERS OFICIAL'!BO19)/($BQ19)</f>
        <v>0</v>
      </c>
      <c r="BQ19" s="100">
        <f>('BRAWLERS OFICIAL'!F19 / 'BRAWLERS OFICIAL'!J19 / (1 + ('BRAWLERS OFICIAL'!AA19/5)))*'BRAWLERS OFICIAL'!G19</f>
        <v>5</v>
      </c>
    </row>
    <row r="20" spans="2:69">
      <c r="B20" s="89" t="s">
        <v>505</v>
      </c>
      <c r="C20" s="90" t="s">
        <v>69</v>
      </c>
      <c r="D20" s="21" t="s">
        <v>325</v>
      </c>
      <c r="E20" s="21" t="s">
        <v>362</v>
      </c>
      <c r="F20" s="91">
        <f>(( 0 + 'BRAWLERS OFICIAL'!F20)-'BRAWLERS OFICIAL'!F20)/$BQ20</f>
        <v>0</v>
      </c>
      <c r="G20" s="91">
        <f>(( 0 + 'BRAWLERS OFICIAL'!G20)-'BRAWLERS OFICIAL'!G20)/$BQ20</f>
        <v>0</v>
      </c>
      <c r="H20" s="91">
        <f>(( ('BRAWLERS OFICIAL'!H20/20) + 'BRAWLERS OFICIAL'!H20)-'BRAWLERS OFICIAL'!H20)/$BQ20</f>
        <v>6.6064516129032258</v>
      </c>
      <c r="I20" s="91">
        <f>(( 0 + 'BRAWLERS OFICIAL'!I20)-'BRAWLERS OFICIAL'!I20)/$BQ20</f>
        <v>0</v>
      </c>
      <c r="J20" s="91">
        <f>(( 0 + 'BRAWLERS OFICIAL'!J20)-'BRAWLERS OFICIAL'!J20)/$BQ20</f>
        <v>0</v>
      </c>
      <c r="K20" s="91">
        <f>(( 0 + 'BRAWLERS OFICIAL'!K20)-'BRAWLERS OFICIAL'!K20)/$BQ20</f>
        <v>0</v>
      </c>
      <c r="L20" s="91">
        <f>(( 0 + 'BRAWLERS OFICIAL'!L20)-'BRAWLERS OFICIAL'!L20)/$BQ20</f>
        <v>0</v>
      </c>
      <c r="M20" s="91">
        <f>(( 0 + 'BRAWLERS OFICIAL'!M20)-'BRAWLERS OFICIAL'!M20)/$BQ20</f>
        <v>0</v>
      </c>
      <c r="N20" s="91">
        <f>(( 0 + 'BRAWLERS OFICIAL'!N20)-'BRAWLERS OFICIAL'!N20)/$BQ20</f>
        <v>0</v>
      </c>
      <c r="O20" s="91">
        <f>(( 0 + 'BRAWLERS OFICIAL'!O20)-'BRAWLERS OFICIAL'!O20)/$BQ20</f>
        <v>0</v>
      </c>
      <c r="P20" s="91">
        <f>(( 0 + 'BRAWLERS OFICIAL'!P20)-'BRAWLERS OFICIAL'!P20)/$BQ20</f>
        <v>0</v>
      </c>
      <c r="Q20" s="91">
        <f>(( 'BRAWLERS OFICIAL'!Q20/20 + 'BRAWLERS OFICIAL'!Q20)-'BRAWLERS OFICIAL'!Q20)/$BQ20</f>
        <v>0</v>
      </c>
      <c r="R20" s="91">
        <f>(( 'BRAWLERS OFICIAL'!R20/20 + 'BRAWLERS OFICIAL'!R20)-'BRAWLERS OFICIAL'!R20)/$BQ20</f>
        <v>0</v>
      </c>
      <c r="S20" s="91">
        <f>(( 'BRAWLERS OFICIAL'!S20/20 + 'BRAWLERS OFICIAL'!S20)-'BRAWLERS OFICIAL'!S20)/$BQ20</f>
        <v>0</v>
      </c>
      <c r="T20" s="91">
        <f>(( 'BRAWLERS OFICIAL'!T20/20 + 'BRAWLERS OFICIAL'!T20)-'BRAWLERS OFICIAL'!T20)/$BQ20</f>
        <v>0</v>
      </c>
      <c r="U20" s="91">
        <f>(( 'BRAWLERS OFICIAL'!U20/20 + 'BRAWLERS OFICIAL'!U20)-'BRAWLERS OFICIAL'!U20)/$BQ20</f>
        <v>0</v>
      </c>
      <c r="V20" s="91">
        <f>(( 0 + 'BRAWLERS OFICIAL'!V20)-'BRAWLERS OFICIAL'!V20)/$BQ20</f>
        <v>0</v>
      </c>
      <c r="W20" s="91">
        <f>(( 0 + 'BRAWLERS OFICIAL'!W20)-'BRAWLERS OFICIAL'!W20)/$BQ20</f>
        <v>0</v>
      </c>
      <c r="X20" s="102">
        <f>(( ('BRAWLERS OFICIAL'!X20/20) + 'BRAWLERS OFICIAL'!X20 + AP20 + AY20/3.5 )-'BRAWLERS OFICIAL'!X20)/($BQ20)</f>
        <v>5.1612903225806452E-2</v>
      </c>
      <c r="Y20" s="92">
        <f>((0 + 'BRAWLERS OFICIAL'!Y20)-'BRAWLERS OFICIAL'!Y20)/($BQ20)</f>
        <v>0</v>
      </c>
      <c r="Z20" s="92">
        <f>(((0)/3 + 'BRAWLERS OFICIAL'!Z20)-'BRAWLERS OFICIAL'!Z20)</f>
        <v>0</v>
      </c>
      <c r="AA20" s="92">
        <f>((0 + 'BRAWLERS OFICIAL'!AA20)-'BRAWLERS OFICIAL'!AA20)/($BQ20)</f>
        <v>0</v>
      </c>
      <c r="AB20" s="92">
        <f>((0 + 'BRAWLERS OFICIAL'!AB20)-'BRAWLERS OFICIAL'!AB20)</f>
        <v>0</v>
      </c>
      <c r="AC20" s="92">
        <f>(((0)/4 + 'BRAWLERS OFICIAL'!AC20)-'BRAWLERS OFICIAL'!AC20)/($BQ20)</f>
        <v>0</v>
      </c>
      <c r="AD20" s="92">
        <f>((0 + 'BRAWLERS OFICIAL'!AD20)-'BRAWLERS OFICIAL'!AD20)/($BQ20)</f>
        <v>0</v>
      </c>
      <c r="AE20" s="92">
        <f>((0 + 'BRAWLERS OFICIAL'!AE20)-'BRAWLERS OFICIAL'!AE20)/($BQ20)</f>
        <v>0</v>
      </c>
      <c r="AF20" s="92">
        <f>((0 + 'BRAWLERS OFICIAL'!AF20)-'BRAWLERS OFICIAL'!AF20)/($BQ20)</f>
        <v>0</v>
      </c>
      <c r="AG20" s="92">
        <f>((0 + 'BRAWLERS OFICIAL'!AG20)-'BRAWLERS OFICIAL'!AG20)/($BQ20)</f>
        <v>0</v>
      </c>
      <c r="AH20" s="92">
        <f>((0 + 'BRAWLERS OFICIAL'!AH20)-'BRAWLERS OFICIAL'!AH20)/($BQ20)</f>
        <v>0</v>
      </c>
      <c r="AI20" s="92">
        <f>((0 + 'BRAWLERS OFICIAL'!AI20)-'BRAWLERS OFICIAL'!AI20)/($BQ20)</f>
        <v>0</v>
      </c>
      <c r="AJ20" s="92">
        <f>(( ('BRAWLERS OFICIAL'!AJ20/5) + 'BRAWLERS OFICIAL'!AJ20)-'BRAWLERS OFICIAL'!AJ20)/($BQ20)</f>
        <v>0.41290322580645161</v>
      </c>
      <c r="AK20" s="92">
        <f>((0 + 'BRAWLERS OFICIAL'!AK20)-'BRAWLERS OFICIAL'!AK20)/($BQ20)</f>
        <v>0</v>
      </c>
      <c r="AL20" s="92">
        <f>(((BK20/5+1)*AK20 + 'BRAWLERS OFICIAL'!AL20)-'BRAWLERS OFICIAL'!AL20)/($BQ20)</f>
        <v>0</v>
      </c>
      <c r="AM20" s="92">
        <f>IF( 0 = (1-1), (1-1), ((0 + 'BRAWLERS OFICIAL'!AM20)/1.5)-'BRAWLERS OFICIAL'!AM20 )/($BQ20)</f>
        <v>0</v>
      </c>
      <c r="AN20" s="92">
        <f t="shared" si="0"/>
        <v>0</v>
      </c>
      <c r="AO20" s="92">
        <f>((0 + 'BRAWLERS OFICIAL'!AO20)-'BRAWLERS OFICIAL'!AO20)/($BQ20)</f>
        <v>0</v>
      </c>
      <c r="AP20" s="92">
        <f>((0/1000 + 'BRAWLERS OFICIAL'!AP20)-'BRAWLERS OFICIAL'!AP20)/($BQ20)</f>
        <v>0</v>
      </c>
      <c r="AQ20" s="92">
        <f>((0 + 'BRAWLERS OFICIAL'!AQ20)-'BRAWLERS OFICIAL'!AQ20)/($BQ20)</f>
        <v>0</v>
      </c>
      <c r="AR20" s="92">
        <f>IF( 0 = (1-1), (1-1), ((0 + 'BRAWLERS OFICIAL'!AR20)/1.5) )/($BQ20)</f>
        <v>0</v>
      </c>
      <c r="AS20" s="92">
        <f>IF( 0 = (1-1), (1-1), ((0 + 'BRAWLERS OFICIAL'!AS20)/1.5) )/($BQ20)</f>
        <v>0</v>
      </c>
      <c r="AT20" s="92">
        <f>IF( 0 = (1-1), (1-1), ((0 + 'BRAWLERS OFICIAL'!AT20)/2) )/($BQ20)</f>
        <v>0</v>
      </c>
      <c r="AU20" s="92">
        <f>((0 + 'BRAWLERS OFICIAL'!AU20)-'BRAWLERS OFICIAL'!AU20)/($BQ20)</f>
        <v>0</v>
      </c>
      <c r="AV20" s="92">
        <f>(((0)/4 + 'BRAWLERS OFICIAL'!AV20)-'BRAWLERS OFICIAL'!AV20)/($BQ20)</f>
        <v>0</v>
      </c>
      <c r="AW20" s="92">
        <v>2.5</v>
      </c>
      <c r="AX20" s="92" t="s">
        <v>506</v>
      </c>
      <c r="AY20" s="91">
        <f>((( 0 )/3 + 'BRAWLERS OFICIAL'!AY20)-'BRAWLERS OFICIAL'!AY20)</f>
        <v>0</v>
      </c>
      <c r="AZ20" s="91">
        <f>((( 0 )/2 + 'BRAWLERS OFICIAL'!AZ20)-'BRAWLERS OFICIAL'!AZ20)/($BQ20)</f>
        <v>0</v>
      </c>
      <c r="BA20" s="91">
        <f>((( 0 )/2 + 'BRAWLERS OFICIAL'!BA20)-'BRAWLERS OFICIAL'!BA20)</f>
        <v>0</v>
      </c>
      <c r="BB20" s="91">
        <f>((( 0 )/3 + 'BRAWLERS OFICIAL'!BB20)-'BRAWLERS OFICIAL'!BB20)</f>
        <v>0</v>
      </c>
      <c r="BC20" s="91">
        <f>((( 0 )/2 + 'BRAWLERS OFICIAL'!BC20)-'BRAWLERS OFICIAL'!BC20)/($BQ20)</f>
        <v>0</v>
      </c>
      <c r="BD20" s="91">
        <f>((( 6 + 4 )/2)-'BRAWLERS OFICIAL'!BD20)</f>
        <v>0.5</v>
      </c>
      <c r="BE20" s="91">
        <f>((( 0 )/3 + 'BRAWLERS OFICIAL'!BE20)-'BRAWLERS OFICIAL'!BE20)</f>
        <v>0</v>
      </c>
      <c r="BF20" s="91">
        <f>((0 + 'BRAWLERS OFICIAL'!BF20)-'BRAWLERS OFICIAL'!BF20)/($BQ20)</f>
        <v>0</v>
      </c>
      <c r="BG20" s="91">
        <f>((0 + 'BRAWLERS OFICIAL'!BG20)-'BRAWLERS OFICIAL'!BG20)/($BQ20)</f>
        <v>0</v>
      </c>
      <c r="BH20" s="91">
        <f>((( 0 )/2 + 'BRAWLERS OFICIAL'!BH20)-'BRAWLERS OFICIAL'!BH20)</f>
        <v>0</v>
      </c>
      <c r="BI20" s="91">
        <f>((0 + 'BRAWLERS OFICIAL'!BI20)-'BRAWLERS OFICIAL'!BI20)/($BQ20)</f>
        <v>0</v>
      </c>
      <c r="BJ20" s="91">
        <f>((( 0 )/2 + 'BRAWLERS OFICIAL'!BJ20)-'BRAWLERS OFICIAL'!BJ20)</f>
        <v>0</v>
      </c>
      <c r="BK20" s="91">
        <f>((( 0 )/3 + 'BRAWLERS OFICIAL'!BK20)-'BRAWLERS OFICIAL'!BK20)</f>
        <v>0</v>
      </c>
      <c r="BL20" s="91">
        <f>((( 0 )/2 + 'BRAWLERS OFICIAL'!BL20)-'BRAWLERS OFICIAL'!BL20)</f>
        <v>0</v>
      </c>
      <c r="BM20" s="91">
        <f>((0 + 'BRAWLERS OFICIAL'!BM20)-'BRAWLERS OFICIAL'!BM20)/($BQ20)</f>
        <v>0</v>
      </c>
      <c r="BN20" s="91">
        <f>((0 + 'BRAWLERS OFICIAL'!BN20)-'BRAWLERS OFICIAL'!BN20)/($BQ20)</f>
        <v>0</v>
      </c>
      <c r="BO20" s="91">
        <f>((0 + 'BRAWLERS OFICIAL'!BO20)-'BRAWLERS OFICIAL'!BO20)/($BQ20)</f>
        <v>0</v>
      </c>
      <c r="BQ20" s="100">
        <f>('BRAWLERS OFICIAL'!F20 / 'BRAWLERS OFICIAL'!J20 / (1 + ('BRAWLERS OFICIAL'!AA20/5)))*'BRAWLERS OFICIAL'!G20</f>
        <v>4.84375</v>
      </c>
    </row>
    <row r="21" spans="2:69">
      <c r="C21" t="s">
        <v>393</v>
      </c>
    </row>
    <row r="23" spans="2:69">
      <c r="L23" t="s">
        <v>507</v>
      </c>
    </row>
  </sheetData>
  <conditionalFormatting sqref="F3:BO20">
    <cfRule type="cellIs" dxfId="1" priority="15" operator="greaterThan">
      <formula>0</formula>
    </cfRule>
  </conditionalFormatting>
  <conditionalFormatting sqref="BQ3:BQ20">
    <cfRule type="cellIs" dxfId="0" priority="12" operator="greaterThan">
      <formula>0</formula>
    </cfRule>
  </conditionalFormatting>
  <dataValidations count="1">
    <dataValidation allowBlank="1" showInputMessage="1" showErrorMessage="1" sqref="B2:B20" xr:uid="{BA7926C3-E578-4FE2-A89B-65A4EA91E54D}"/>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EA901C5D-7EB1-41B1-AFB5-239889696983}">
          <x14:formula1>
            <xm:f>'BRAWLERS OFICIAL'!$F$2:$CP$2</xm:f>
          </x14:formula1>
          <xm:sqref>D3:E20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2025-05-09T23:59:11Z</dcterms:created>
  <dcterms:modified xsi:type="dcterms:W3CDTF">2026-06-22T19:28:14Z</dcterms:modified>
  <cp:category/>
  <cp:contentStatus/>
</cp:coreProperties>
</file>